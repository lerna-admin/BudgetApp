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alexandracastanotrochez/Documents/Mindful Finance/"/>
    </mc:Choice>
  </mc:AlternateContent>
  <xr:revisionPtr revIDLastSave="0" documentId="13_ncr:1_{0573C0E9-F43E-6443-B56F-3D9750FFEF40}" xr6:coauthVersionLast="47" xr6:coauthVersionMax="47" xr10:uidLastSave="{00000000-0000-0000-0000-000000000000}"/>
  <bookViews>
    <workbookView minimized="1" xWindow="0" yWindow="760" windowWidth="30240" windowHeight="17740" tabRatio="885" activeTab="5" xr2:uid="{00000000-000D-0000-FFFF-FFFF00000000}"/>
  </bookViews>
  <sheets>
    <sheet name="Resumen" sheetId="39" r:id="rId1"/>
    <sheet name="Plantilla Ppto" sheetId="33" r:id="rId2"/>
    <sheet name="Para proyectar" sheetId="18" r:id="rId3"/>
    <sheet name="Limpieza" sheetId="40" r:id="rId4"/>
    <sheet name="Ene" sheetId="29" r:id="rId5"/>
    <sheet name="Enero - registro gastos" sheetId="41" r:id="rId6"/>
    <sheet name="Feb" sheetId="30" r:id="rId7"/>
    <sheet name="Feb - registro gastos" sheetId="43" r:id="rId8"/>
    <sheet name="Mar" sheetId="31" r:id="rId9"/>
    <sheet name="Mar - registro gastos" sheetId="44" r:id="rId10"/>
    <sheet name="Abr" sheetId="32" r:id="rId11"/>
    <sheet name="Abr - registro gastos" sheetId="45" r:id="rId12"/>
    <sheet name="May" sheetId="21" r:id="rId13"/>
    <sheet name="May - registro gastos" sheetId="46" r:id="rId14"/>
    <sheet name="Jun" sheetId="22" r:id="rId15"/>
    <sheet name="Jun - registro gastos" sheetId="47" r:id="rId16"/>
    <sheet name="Jul" sheetId="23" r:id="rId17"/>
    <sheet name="Jul - registro gastos" sheetId="48" r:id="rId18"/>
    <sheet name="Ago" sheetId="24" r:id="rId19"/>
    <sheet name="Ago - registro gastos" sheetId="49" r:id="rId20"/>
    <sheet name="Sep" sheetId="25" r:id="rId21"/>
    <sheet name="Sep - registro gastos" sheetId="50" r:id="rId22"/>
    <sheet name="Oct" sheetId="26" r:id="rId23"/>
    <sheet name="Oct - registro gastos" sheetId="51" r:id="rId24"/>
    <sheet name="Nov" sheetId="27" r:id="rId25"/>
    <sheet name="Nov - registro gastos" sheetId="52" r:id="rId26"/>
    <sheet name="Dec" sheetId="28" r:id="rId27"/>
    <sheet name="Dec - registro gastos" sheetId="54" r:id="rId28"/>
    <sheet name="Master data" sheetId="4" state="hidden" r:id="rId29"/>
  </sheets>
  <definedNames>
    <definedName name="_xlnm._FilterDatabase" localSheetId="19" hidden="1">'Ago - registro gastos'!$AN$4:$AO$141</definedName>
    <definedName name="_xlnm._FilterDatabase" localSheetId="26" hidden="1">Dec!$K$13:$K$108</definedName>
    <definedName name="_xlnm._FilterDatabase" localSheetId="27" hidden="1">'Dec - registro gastos'!$AN$4:$AO$141</definedName>
    <definedName name="_xlnm._FilterDatabase" localSheetId="25" hidden="1">'Nov - registro gastos'!$AN$4:$AO$141</definedName>
    <definedName name="_xlnm._FilterDatabase" localSheetId="23" hidden="1">'Oct - registro gastos'!$AN$4:$AO$141</definedName>
    <definedName name="_xlnm._FilterDatabase" localSheetId="21" hidden="1">'Sep - registro gastos'!$AN$4:$AO$141</definedName>
  </definedNames>
  <calcPr calcId="191028"/>
  <pivotCaches>
    <pivotCache cacheId="0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91" i="29" l="1"/>
  <c r="J24" i="29"/>
  <c r="E4" i="40"/>
  <c r="D5" i="41"/>
  <c r="J15" i="29"/>
  <c r="J108" i="18"/>
  <c r="D108" i="18"/>
  <c r="K107" i="18"/>
  <c r="L107" i="18" s="1"/>
  <c r="E107" i="18"/>
  <c r="F107" i="18" s="1"/>
  <c r="K106" i="18"/>
  <c r="L106" i="18" s="1"/>
  <c r="E106" i="18"/>
  <c r="F106" i="18" s="1"/>
  <c r="K105" i="18"/>
  <c r="L105" i="18" s="1"/>
  <c r="E105" i="18"/>
  <c r="F105" i="18" s="1"/>
  <c r="K104" i="18"/>
  <c r="L104" i="18" s="1"/>
  <c r="E104" i="18"/>
  <c r="F104" i="18" s="1"/>
  <c r="K103" i="18"/>
  <c r="L103" i="18" s="1"/>
  <c r="E103" i="18"/>
  <c r="F103" i="18" s="1"/>
  <c r="K102" i="18"/>
  <c r="L102" i="18" s="1"/>
  <c r="E102" i="18"/>
  <c r="K101" i="18"/>
  <c r="L101" i="18" s="1"/>
  <c r="E101" i="18"/>
  <c r="F101" i="18" s="1"/>
  <c r="J98" i="18"/>
  <c r="D98" i="18"/>
  <c r="K97" i="18"/>
  <c r="L97" i="18" s="1"/>
  <c r="E97" i="18"/>
  <c r="F97" i="18" s="1"/>
  <c r="K96" i="18"/>
  <c r="L96" i="18" s="1"/>
  <c r="E96" i="18"/>
  <c r="F96" i="18" s="1"/>
  <c r="K95" i="18"/>
  <c r="L95" i="18" s="1"/>
  <c r="E95" i="18"/>
  <c r="F95" i="18" s="1"/>
  <c r="K94" i="18"/>
  <c r="L94" i="18" s="1"/>
  <c r="E94" i="18"/>
  <c r="F94" i="18" s="1"/>
  <c r="K93" i="18"/>
  <c r="L93" i="18" s="1"/>
  <c r="E93" i="18"/>
  <c r="F93" i="18" s="1"/>
  <c r="K92" i="18"/>
  <c r="L92" i="18" s="1"/>
  <c r="E92" i="18"/>
  <c r="D92" i="18"/>
  <c r="K91" i="18"/>
  <c r="E91" i="18"/>
  <c r="F91" i="18" s="1"/>
  <c r="J88" i="18"/>
  <c r="D88" i="18"/>
  <c r="K87" i="18"/>
  <c r="L87" i="18" s="1"/>
  <c r="E87" i="18"/>
  <c r="F87" i="18" s="1"/>
  <c r="K86" i="18"/>
  <c r="L86" i="18" s="1"/>
  <c r="E86" i="18"/>
  <c r="F86" i="18" s="1"/>
  <c r="K85" i="18"/>
  <c r="L85" i="18" s="1"/>
  <c r="E85" i="18"/>
  <c r="F85" i="18" s="1"/>
  <c r="K84" i="18"/>
  <c r="L84" i="18" s="1"/>
  <c r="E84" i="18"/>
  <c r="F84" i="18" s="1"/>
  <c r="K83" i="18"/>
  <c r="L83" i="18" s="1"/>
  <c r="E83" i="18"/>
  <c r="F83" i="18" s="1"/>
  <c r="K82" i="18"/>
  <c r="E82" i="18"/>
  <c r="F82" i="18" s="1"/>
  <c r="J79" i="18"/>
  <c r="D79" i="18"/>
  <c r="K78" i="18"/>
  <c r="L78" i="18" s="1"/>
  <c r="E78" i="18"/>
  <c r="F78" i="18" s="1"/>
  <c r="K77" i="18"/>
  <c r="L77" i="18" s="1"/>
  <c r="E77" i="18"/>
  <c r="F77" i="18" s="1"/>
  <c r="K76" i="18"/>
  <c r="L76" i="18" s="1"/>
  <c r="E76" i="18"/>
  <c r="F76" i="18" s="1"/>
  <c r="K75" i="18"/>
  <c r="L75" i="18" s="1"/>
  <c r="E75" i="18"/>
  <c r="F75" i="18" s="1"/>
  <c r="K74" i="18"/>
  <c r="L74" i="18" s="1"/>
  <c r="E74" i="18"/>
  <c r="F74" i="18" s="1"/>
  <c r="K73" i="18"/>
  <c r="L73" i="18" s="1"/>
  <c r="E73" i="18"/>
  <c r="F73" i="18" s="1"/>
  <c r="K72" i="18"/>
  <c r="L72" i="18" s="1"/>
  <c r="E72" i="18"/>
  <c r="F72" i="18" s="1"/>
  <c r="K71" i="18"/>
  <c r="L71" i="18" s="1"/>
  <c r="E71" i="18"/>
  <c r="F71" i="18" s="1"/>
  <c r="K70" i="18"/>
  <c r="L70" i="18" s="1"/>
  <c r="E70" i="18"/>
  <c r="F70" i="18" s="1"/>
  <c r="K69" i="18"/>
  <c r="L69" i="18" s="1"/>
  <c r="E69" i="18"/>
  <c r="F69" i="18" s="1"/>
  <c r="K68" i="18"/>
  <c r="E68" i="18"/>
  <c r="J65" i="18"/>
  <c r="D65" i="18"/>
  <c r="K64" i="18"/>
  <c r="L64" i="18" s="1"/>
  <c r="E64" i="18"/>
  <c r="F64" i="18" s="1"/>
  <c r="K63" i="18"/>
  <c r="L63" i="18" s="1"/>
  <c r="E63" i="18"/>
  <c r="F63" i="18" s="1"/>
  <c r="K62" i="18"/>
  <c r="L62" i="18" s="1"/>
  <c r="E62" i="18"/>
  <c r="F62" i="18" s="1"/>
  <c r="K61" i="18"/>
  <c r="L61" i="18" s="1"/>
  <c r="E61" i="18"/>
  <c r="F61" i="18" s="1"/>
  <c r="K60" i="18"/>
  <c r="L60" i="18" s="1"/>
  <c r="E60" i="18"/>
  <c r="F60" i="18" s="1"/>
  <c r="K59" i="18"/>
  <c r="L59" i="18" s="1"/>
  <c r="E59" i="18"/>
  <c r="F59" i="18" s="1"/>
  <c r="K58" i="18"/>
  <c r="L58" i="18" s="1"/>
  <c r="E58" i="18"/>
  <c r="F58" i="18" s="1"/>
  <c r="J55" i="18"/>
  <c r="D55" i="18"/>
  <c r="K54" i="18"/>
  <c r="L54" i="18" s="1"/>
  <c r="E54" i="18"/>
  <c r="F54" i="18" s="1"/>
  <c r="K53" i="18"/>
  <c r="L53" i="18" s="1"/>
  <c r="E53" i="18"/>
  <c r="F53" i="18" s="1"/>
  <c r="K52" i="18"/>
  <c r="L52" i="18" s="1"/>
  <c r="E52" i="18"/>
  <c r="F52" i="18" s="1"/>
  <c r="K51" i="18"/>
  <c r="L51" i="18" s="1"/>
  <c r="E51" i="18"/>
  <c r="F51" i="18" s="1"/>
  <c r="K50" i="18"/>
  <c r="E50" i="18"/>
  <c r="F50" i="18" s="1"/>
  <c r="K49" i="18"/>
  <c r="L49" i="18" s="1"/>
  <c r="E49" i="18"/>
  <c r="J46" i="18"/>
  <c r="D46" i="18"/>
  <c r="K45" i="18"/>
  <c r="L45" i="18" s="1"/>
  <c r="E45" i="18"/>
  <c r="F45" i="18" s="1"/>
  <c r="K44" i="18"/>
  <c r="L44" i="18" s="1"/>
  <c r="E44" i="18"/>
  <c r="F44" i="18" s="1"/>
  <c r="K43" i="18"/>
  <c r="L43" i="18" s="1"/>
  <c r="E43" i="18"/>
  <c r="F43" i="18" s="1"/>
  <c r="K42" i="18"/>
  <c r="L42" i="18" s="1"/>
  <c r="E42" i="18"/>
  <c r="F42" i="18" s="1"/>
  <c r="K41" i="18"/>
  <c r="E41" i="18"/>
  <c r="F41" i="18" s="1"/>
  <c r="K40" i="18"/>
  <c r="L40" i="18" s="1"/>
  <c r="E40" i="18"/>
  <c r="F40" i="18" s="1"/>
  <c r="K39" i="18"/>
  <c r="L39" i="18" s="1"/>
  <c r="E39" i="18"/>
  <c r="F39" i="18" s="1"/>
  <c r="J36" i="18"/>
  <c r="D36" i="18"/>
  <c r="K35" i="18"/>
  <c r="L35" i="18" s="1"/>
  <c r="E35" i="18"/>
  <c r="F35" i="18" s="1"/>
  <c r="K34" i="18"/>
  <c r="L34" i="18" s="1"/>
  <c r="E34" i="18"/>
  <c r="F34" i="18" s="1"/>
  <c r="K33" i="18"/>
  <c r="L33" i="18" s="1"/>
  <c r="E33" i="18"/>
  <c r="F33" i="18" s="1"/>
  <c r="K32" i="18"/>
  <c r="L32" i="18" s="1"/>
  <c r="E32" i="18"/>
  <c r="F32" i="18" s="1"/>
  <c r="K31" i="18"/>
  <c r="L31" i="18" s="1"/>
  <c r="E31" i="18"/>
  <c r="F31" i="18" s="1"/>
  <c r="K30" i="18"/>
  <c r="L30" i="18" s="1"/>
  <c r="E30" i="18"/>
  <c r="F30" i="18" s="1"/>
  <c r="K29" i="18"/>
  <c r="L29" i="18" s="1"/>
  <c r="E29" i="18"/>
  <c r="F29" i="18" s="1"/>
  <c r="K28" i="18"/>
  <c r="L28" i="18" s="1"/>
  <c r="E28" i="18"/>
  <c r="D25" i="18"/>
  <c r="K24" i="18"/>
  <c r="L24" i="18" s="1"/>
  <c r="E24" i="18"/>
  <c r="F24" i="18" s="1"/>
  <c r="K23" i="18"/>
  <c r="L23" i="18" s="1"/>
  <c r="E23" i="18"/>
  <c r="F23" i="18" s="1"/>
  <c r="K22" i="18"/>
  <c r="L22" i="18" s="1"/>
  <c r="E22" i="18"/>
  <c r="F22" i="18" s="1"/>
  <c r="K21" i="18"/>
  <c r="L21" i="18" s="1"/>
  <c r="E21" i="18"/>
  <c r="F21" i="18" s="1"/>
  <c r="K20" i="18"/>
  <c r="L20" i="18" s="1"/>
  <c r="E20" i="18"/>
  <c r="F20" i="18" s="1"/>
  <c r="K19" i="18"/>
  <c r="L19" i="18" s="1"/>
  <c r="E19" i="18"/>
  <c r="F19" i="18" s="1"/>
  <c r="K18" i="18"/>
  <c r="L18" i="18" s="1"/>
  <c r="E18" i="18"/>
  <c r="F18" i="18" s="1"/>
  <c r="K17" i="18"/>
  <c r="L17" i="18" s="1"/>
  <c r="J17" i="18"/>
  <c r="E17" i="18"/>
  <c r="F17" i="18" s="1"/>
  <c r="K16" i="18"/>
  <c r="J16" i="18"/>
  <c r="E16" i="18"/>
  <c r="F16" i="18" s="1"/>
  <c r="K15" i="18"/>
  <c r="L15" i="18" s="1"/>
  <c r="J15" i="18"/>
  <c r="J25" i="18" s="1"/>
  <c r="E15" i="18"/>
  <c r="F15" i="18" s="1"/>
  <c r="K14" i="18"/>
  <c r="L14" i="18" s="1"/>
  <c r="E14" i="18"/>
  <c r="K13" i="18"/>
  <c r="L13" i="18" s="1"/>
  <c r="E13" i="18"/>
  <c r="F13" i="18" s="1"/>
  <c r="E10" i="18"/>
  <c r="K10" i="18" s="1"/>
  <c r="M10" i="18" s="1"/>
  <c r="U1" i="18"/>
  <c r="D92" i="29"/>
  <c r="K88" i="18" l="1"/>
  <c r="E36" i="18"/>
  <c r="F36" i="18" s="1"/>
  <c r="L16" i="18"/>
  <c r="K25" i="18"/>
  <c r="L25" i="18" s="1"/>
  <c r="E55" i="18"/>
  <c r="F55" i="18" s="1"/>
  <c r="E98" i="18"/>
  <c r="F98" i="18" s="1"/>
  <c r="E108" i="18"/>
  <c r="F108" i="18" s="1"/>
  <c r="F28" i="18"/>
  <c r="K55" i="18"/>
  <c r="L55" i="18" s="1"/>
  <c r="E88" i="18"/>
  <c r="F88" i="18" s="1"/>
  <c r="K79" i="18"/>
  <c r="L79" i="18" s="1"/>
  <c r="L88" i="18"/>
  <c r="E25" i="18"/>
  <c r="F25" i="18" s="1"/>
  <c r="K98" i="18"/>
  <c r="L98" i="18" s="1"/>
  <c r="K46" i="18"/>
  <c r="L46" i="18" s="1"/>
  <c r="L91" i="18"/>
  <c r="K108" i="18"/>
  <c r="L108" i="18" s="1"/>
  <c r="E79" i="18"/>
  <c r="F79" i="18" s="1"/>
  <c r="E46" i="18"/>
  <c r="F46" i="18" s="1"/>
  <c r="E65" i="18"/>
  <c r="F65" i="18" s="1"/>
  <c r="L50" i="18"/>
  <c r="F102" i="18"/>
  <c r="K65" i="18"/>
  <c r="L65" i="18" s="1"/>
  <c r="K36" i="18"/>
  <c r="L36" i="18" s="1"/>
  <c r="F92" i="18"/>
  <c r="F14" i="18"/>
  <c r="L41" i="18"/>
  <c r="F49" i="18"/>
  <c r="L68" i="18"/>
  <c r="L82" i="18"/>
  <c r="F68" i="18"/>
  <c r="J17" i="29"/>
  <c r="J16" i="29"/>
  <c r="B11" i="39"/>
  <c r="B9" i="39"/>
  <c r="B6" i="39"/>
  <c r="B5" i="39"/>
  <c r="K107" i="28"/>
  <c r="K106" i="28"/>
  <c r="K105" i="28"/>
  <c r="K104" i="28"/>
  <c r="K103" i="28"/>
  <c r="K102" i="28"/>
  <c r="K101" i="28"/>
  <c r="K97" i="28"/>
  <c r="K96" i="28"/>
  <c r="K95" i="28"/>
  <c r="K94" i="28"/>
  <c r="K93" i="28"/>
  <c r="K92" i="28"/>
  <c r="K91" i="28"/>
  <c r="K87" i="28"/>
  <c r="K86" i="28"/>
  <c r="K88" i="28" s="1"/>
  <c r="K85" i="28"/>
  <c r="K84" i="28"/>
  <c r="K83" i="28"/>
  <c r="K82" i="28"/>
  <c r="K78" i="28"/>
  <c r="K77" i="28"/>
  <c r="K76" i="28"/>
  <c r="K75" i="28"/>
  <c r="K74" i="28"/>
  <c r="K73" i="28"/>
  <c r="K72" i="28"/>
  <c r="K71" i="28"/>
  <c r="K70" i="28"/>
  <c r="K69" i="28"/>
  <c r="K68" i="28"/>
  <c r="K64" i="28"/>
  <c r="K63" i="28"/>
  <c r="K62" i="28"/>
  <c r="K61" i="28"/>
  <c r="K60" i="28"/>
  <c r="K59" i="28"/>
  <c r="K58" i="28"/>
  <c r="K54" i="28"/>
  <c r="K53" i="28"/>
  <c r="K52" i="28"/>
  <c r="K51" i="28"/>
  <c r="K50" i="28"/>
  <c r="K49" i="28"/>
  <c r="K45" i="28"/>
  <c r="K44" i="28"/>
  <c r="K43" i="28"/>
  <c r="K42" i="28"/>
  <c r="K41" i="28"/>
  <c r="K40" i="28"/>
  <c r="K39" i="28"/>
  <c r="K35" i="28"/>
  <c r="K34" i="28"/>
  <c r="K33" i="28"/>
  <c r="K32" i="28"/>
  <c r="K31" i="28"/>
  <c r="K36" i="28" s="1"/>
  <c r="K30" i="28"/>
  <c r="K29" i="28"/>
  <c r="K28" i="28"/>
  <c r="K24" i="28"/>
  <c r="K23" i="28"/>
  <c r="K22" i="28"/>
  <c r="K21" i="28"/>
  <c r="K20" i="28"/>
  <c r="K19" i="28"/>
  <c r="K18" i="28"/>
  <c r="K17" i="28"/>
  <c r="K16" i="28"/>
  <c r="K15" i="28"/>
  <c r="K14" i="28"/>
  <c r="K13" i="28"/>
  <c r="K108" i="28"/>
  <c r="E107" i="28"/>
  <c r="E106" i="28"/>
  <c r="E105" i="28"/>
  <c r="E104" i="28"/>
  <c r="E103" i="28"/>
  <c r="E102" i="28"/>
  <c r="E101" i="28"/>
  <c r="E97" i="28"/>
  <c r="E96" i="28"/>
  <c r="E95" i="28"/>
  <c r="E94" i="28"/>
  <c r="E93" i="28"/>
  <c r="E92" i="28"/>
  <c r="E91" i="28"/>
  <c r="E87" i="28"/>
  <c r="E86" i="28"/>
  <c r="E85" i="28"/>
  <c r="E84" i="28"/>
  <c r="E83" i="28"/>
  <c r="E82" i="28"/>
  <c r="E78" i="28"/>
  <c r="E77" i="28"/>
  <c r="E76" i="28"/>
  <c r="E75" i="28"/>
  <c r="E74" i="28"/>
  <c r="E73" i="28"/>
  <c r="E72" i="28"/>
  <c r="E71" i="28"/>
  <c r="E70" i="28"/>
  <c r="E69" i="28"/>
  <c r="E68" i="28"/>
  <c r="E64" i="28"/>
  <c r="E63" i="28"/>
  <c r="E62" i="28"/>
  <c r="E61" i="28"/>
  <c r="E60" i="28"/>
  <c r="E59" i="28"/>
  <c r="E58" i="28"/>
  <c r="E54" i="28"/>
  <c r="E53" i="28"/>
  <c r="E52" i="28"/>
  <c r="E51" i="28"/>
  <c r="E50" i="28"/>
  <c r="E49" i="28"/>
  <c r="E45" i="28"/>
  <c r="E44" i="28"/>
  <c r="E43" i="28"/>
  <c r="E42" i="28"/>
  <c r="E41" i="28"/>
  <c r="E40" i="28"/>
  <c r="E39" i="28"/>
  <c r="E35" i="28"/>
  <c r="E34" i="28"/>
  <c r="E33" i="28"/>
  <c r="E32" i="28"/>
  <c r="E31" i="28"/>
  <c r="E30" i="28"/>
  <c r="E29" i="28"/>
  <c r="E28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AO141" i="54"/>
  <c r="AN141" i="54"/>
  <c r="AO140" i="54"/>
  <c r="AN140" i="54"/>
  <c r="AO139" i="54"/>
  <c r="AN139" i="54"/>
  <c r="AP139" i="54" s="1"/>
  <c r="AQ139" i="54" s="1"/>
  <c r="AO138" i="54"/>
  <c r="AN138" i="54"/>
  <c r="AP138" i="54" s="1"/>
  <c r="AQ138" i="54" s="1"/>
  <c r="AO137" i="54"/>
  <c r="AN137" i="54"/>
  <c r="AO136" i="54"/>
  <c r="AN136" i="54"/>
  <c r="AO135" i="54"/>
  <c r="AN135" i="54"/>
  <c r="AP135" i="54" s="1"/>
  <c r="AQ135" i="54" s="1"/>
  <c r="AO134" i="54"/>
  <c r="AN134" i="54"/>
  <c r="AP134" i="54" s="1"/>
  <c r="AQ134" i="54" s="1"/>
  <c r="AO133" i="54"/>
  <c r="AN133" i="54"/>
  <c r="AO132" i="54"/>
  <c r="AN132" i="54"/>
  <c r="AP132" i="54" s="1"/>
  <c r="AQ132" i="54" s="1"/>
  <c r="AO131" i="54"/>
  <c r="AN131" i="54"/>
  <c r="AP131" i="54" s="1"/>
  <c r="AQ131" i="54" s="1"/>
  <c r="AO130" i="54"/>
  <c r="AN130" i="54"/>
  <c r="AP130" i="54" s="1"/>
  <c r="AQ130" i="54" s="1"/>
  <c r="AO129" i="54"/>
  <c r="AN129" i="54"/>
  <c r="AO128" i="54"/>
  <c r="AN128" i="54"/>
  <c r="AP128" i="54" s="1"/>
  <c r="AQ128" i="54" s="1"/>
  <c r="AO127" i="54"/>
  <c r="AN127" i="54"/>
  <c r="AO126" i="54"/>
  <c r="AN126" i="54"/>
  <c r="AP126" i="54" s="1"/>
  <c r="AQ126" i="54" s="1"/>
  <c r="AO125" i="54"/>
  <c r="AN125" i="54"/>
  <c r="AO124" i="54"/>
  <c r="AN124" i="54"/>
  <c r="AO123" i="54"/>
  <c r="AN123" i="54"/>
  <c r="AP123" i="54" s="1"/>
  <c r="AQ123" i="54" s="1"/>
  <c r="AO122" i="54"/>
  <c r="AN122" i="54"/>
  <c r="AP122" i="54" s="1"/>
  <c r="AQ122" i="54" s="1"/>
  <c r="AO121" i="54"/>
  <c r="AN121" i="54"/>
  <c r="AO120" i="54"/>
  <c r="AN120" i="54"/>
  <c r="AO119" i="54"/>
  <c r="AN119" i="54"/>
  <c r="AO118" i="54"/>
  <c r="AN118" i="54"/>
  <c r="AP118" i="54" s="1"/>
  <c r="AQ118" i="54" s="1"/>
  <c r="AO117" i="54"/>
  <c r="AN117" i="54"/>
  <c r="AO116" i="54"/>
  <c r="AN116" i="54"/>
  <c r="AO115" i="54"/>
  <c r="AN115" i="54"/>
  <c r="AO114" i="54"/>
  <c r="AN114" i="54"/>
  <c r="AP114" i="54" s="1"/>
  <c r="AQ114" i="54" s="1"/>
  <c r="AO113" i="54"/>
  <c r="AN113" i="54"/>
  <c r="AO112" i="54"/>
  <c r="AN112" i="54"/>
  <c r="AO111" i="54"/>
  <c r="AN111" i="54"/>
  <c r="AP111" i="54" s="1"/>
  <c r="AQ111" i="54" s="1"/>
  <c r="AO110" i="54"/>
  <c r="AN110" i="54"/>
  <c r="AP110" i="54" s="1"/>
  <c r="AQ110" i="54" s="1"/>
  <c r="AO109" i="54"/>
  <c r="AN109" i="54"/>
  <c r="AO108" i="54"/>
  <c r="AN108" i="54"/>
  <c r="AO107" i="54"/>
  <c r="AN107" i="54"/>
  <c r="AP107" i="54" s="1"/>
  <c r="AQ107" i="54" s="1"/>
  <c r="AO106" i="54"/>
  <c r="AN106" i="54"/>
  <c r="AP106" i="54" s="1"/>
  <c r="AQ106" i="54" s="1"/>
  <c r="AO105" i="54"/>
  <c r="AN105" i="54"/>
  <c r="AO104" i="54"/>
  <c r="AN104" i="54"/>
  <c r="AO103" i="54"/>
  <c r="AN103" i="54"/>
  <c r="AO102" i="54"/>
  <c r="AN102" i="54"/>
  <c r="AP102" i="54" s="1"/>
  <c r="AQ102" i="54" s="1"/>
  <c r="AO101" i="54"/>
  <c r="AN101" i="54"/>
  <c r="AO100" i="54"/>
  <c r="AN100" i="54"/>
  <c r="AO99" i="54"/>
  <c r="AN99" i="54"/>
  <c r="AO98" i="54"/>
  <c r="AN98" i="54"/>
  <c r="AP98" i="54" s="1"/>
  <c r="AQ98" i="54" s="1"/>
  <c r="AO97" i="54"/>
  <c r="AN97" i="54"/>
  <c r="AO96" i="54"/>
  <c r="AN96" i="54"/>
  <c r="AO95" i="54"/>
  <c r="AN95" i="54"/>
  <c r="AO94" i="54"/>
  <c r="AN94" i="54"/>
  <c r="AP94" i="54" s="1"/>
  <c r="AQ94" i="54" s="1"/>
  <c r="AO93" i="54"/>
  <c r="AN93" i="54"/>
  <c r="AO92" i="54"/>
  <c r="AN92" i="54"/>
  <c r="AO91" i="54"/>
  <c r="AN91" i="54"/>
  <c r="AO90" i="54"/>
  <c r="AN90" i="54"/>
  <c r="AP90" i="54" s="1"/>
  <c r="AQ90" i="54" s="1"/>
  <c r="AO89" i="54"/>
  <c r="AN89" i="54"/>
  <c r="AO88" i="54"/>
  <c r="AN88" i="54"/>
  <c r="AO87" i="54"/>
  <c r="AN87" i="54"/>
  <c r="AO86" i="54"/>
  <c r="AN86" i="54"/>
  <c r="AO85" i="54"/>
  <c r="AN85" i="54"/>
  <c r="AO84" i="54"/>
  <c r="AN84" i="54"/>
  <c r="AO83" i="54"/>
  <c r="AN83" i="54"/>
  <c r="AO82" i="54"/>
  <c r="AN82" i="54"/>
  <c r="AP82" i="54" s="1"/>
  <c r="AQ82" i="54" s="1"/>
  <c r="AO81" i="54"/>
  <c r="AN81" i="54"/>
  <c r="AO80" i="54"/>
  <c r="AN80" i="54"/>
  <c r="AO79" i="54"/>
  <c r="AN79" i="54"/>
  <c r="AO78" i="54"/>
  <c r="AN78" i="54"/>
  <c r="AP78" i="54" s="1"/>
  <c r="AQ78" i="54" s="1"/>
  <c r="AO77" i="54"/>
  <c r="AN77" i="54"/>
  <c r="AO76" i="54"/>
  <c r="AN76" i="54"/>
  <c r="AO75" i="54"/>
  <c r="AN75" i="54"/>
  <c r="AO74" i="54"/>
  <c r="AN74" i="54"/>
  <c r="AP74" i="54" s="1"/>
  <c r="AQ74" i="54" s="1"/>
  <c r="AO73" i="54"/>
  <c r="AN73" i="54"/>
  <c r="AO72" i="54"/>
  <c r="AN72" i="54"/>
  <c r="AO71" i="54"/>
  <c r="AN71" i="54"/>
  <c r="AO70" i="54"/>
  <c r="AN70" i="54"/>
  <c r="AP70" i="54" s="1"/>
  <c r="AQ70" i="54" s="1"/>
  <c r="AO69" i="54"/>
  <c r="AN69" i="54"/>
  <c r="AO68" i="54"/>
  <c r="AN68" i="54"/>
  <c r="AO67" i="54"/>
  <c r="AN67" i="54"/>
  <c r="AP67" i="54" s="1"/>
  <c r="AQ67" i="54" s="1"/>
  <c r="AO66" i="54"/>
  <c r="AN66" i="54"/>
  <c r="AP66" i="54" s="1"/>
  <c r="AQ66" i="54" s="1"/>
  <c r="AO65" i="54"/>
  <c r="AN65" i="54"/>
  <c r="AO64" i="54"/>
  <c r="AN64" i="54"/>
  <c r="AP64" i="54" s="1"/>
  <c r="AQ64" i="54" s="1"/>
  <c r="AO63" i="54"/>
  <c r="AN63" i="54"/>
  <c r="AP63" i="54" s="1"/>
  <c r="AQ63" i="54" s="1"/>
  <c r="AO62" i="54"/>
  <c r="AN62" i="54"/>
  <c r="AP62" i="54" s="1"/>
  <c r="AQ62" i="54" s="1"/>
  <c r="AO61" i="54"/>
  <c r="AN61" i="54"/>
  <c r="AO60" i="54"/>
  <c r="AN60" i="54"/>
  <c r="AO59" i="54"/>
  <c r="AN59" i="54"/>
  <c r="AO58" i="54"/>
  <c r="AN58" i="54"/>
  <c r="AP58" i="54" s="1"/>
  <c r="AQ58" i="54" s="1"/>
  <c r="AO57" i="54"/>
  <c r="AN57" i="54"/>
  <c r="AO56" i="54"/>
  <c r="AN56" i="54"/>
  <c r="AP56" i="54" s="1"/>
  <c r="AQ56" i="54" s="1"/>
  <c r="AO55" i="54"/>
  <c r="AN55" i="54"/>
  <c r="AO54" i="54"/>
  <c r="AN54" i="54"/>
  <c r="AP54" i="54" s="1"/>
  <c r="AQ54" i="54" s="1"/>
  <c r="AO53" i="54"/>
  <c r="AN53" i="54"/>
  <c r="AO52" i="54"/>
  <c r="AN52" i="54"/>
  <c r="AP52" i="54" s="1"/>
  <c r="AQ52" i="54" s="1"/>
  <c r="AO51" i="54"/>
  <c r="AN51" i="54"/>
  <c r="AP51" i="54" s="1"/>
  <c r="AQ51" i="54" s="1"/>
  <c r="AO50" i="54"/>
  <c r="AN50" i="54"/>
  <c r="AP50" i="54" s="1"/>
  <c r="AQ50" i="54" s="1"/>
  <c r="AO49" i="54"/>
  <c r="AN49" i="54"/>
  <c r="AO48" i="54"/>
  <c r="AN48" i="54"/>
  <c r="AP48" i="54" s="1"/>
  <c r="AQ48" i="54" s="1"/>
  <c r="AO47" i="54"/>
  <c r="AN47" i="54"/>
  <c r="AO46" i="54"/>
  <c r="AN46" i="54"/>
  <c r="AO45" i="54"/>
  <c r="AN45" i="54"/>
  <c r="AO44" i="54"/>
  <c r="AN44" i="54"/>
  <c r="AP44" i="54" s="1"/>
  <c r="AQ44" i="54" s="1"/>
  <c r="AO43" i="54"/>
  <c r="AN43" i="54"/>
  <c r="AP43" i="54" s="1"/>
  <c r="AQ43" i="54" s="1"/>
  <c r="AO42" i="54"/>
  <c r="AN42" i="54"/>
  <c r="AP42" i="54" s="1"/>
  <c r="AQ42" i="54" s="1"/>
  <c r="AO41" i="54"/>
  <c r="AN41" i="54"/>
  <c r="AO40" i="54"/>
  <c r="AN40" i="54"/>
  <c r="AP40" i="54" s="1"/>
  <c r="AQ40" i="54" s="1"/>
  <c r="AO39" i="54"/>
  <c r="AN39" i="54"/>
  <c r="AP39" i="54" s="1"/>
  <c r="AQ39" i="54" s="1"/>
  <c r="AO38" i="54"/>
  <c r="AN38" i="54"/>
  <c r="AP38" i="54" s="1"/>
  <c r="AQ38" i="54" s="1"/>
  <c r="AO37" i="54"/>
  <c r="AN37" i="54"/>
  <c r="AO36" i="54"/>
  <c r="AN36" i="54"/>
  <c r="AP36" i="54" s="1"/>
  <c r="AQ36" i="54" s="1"/>
  <c r="AO35" i="54"/>
  <c r="AN35" i="54"/>
  <c r="AP35" i="54" s="1"/>
  <c r="AQ35" i="54" s="1"/>
  <c r="AO34" i="54"/>
  <c r="AN34" i="54"/>
  <c r="AP34" i="54" s="1"/>
  <c r="AQ34" i="54" s="1"/>
  <c r="AO33" i="54"/>
  <c r="AN33" i="54"/>
  <c r="AO32" i="54"/>
  <c r="AN32" i="54"/>
  <c r="AP32" i="54" s="1"/>
  <c r="AQ32" i="54" s="1"/>
  <c r="AO31" i="54"/>
  <c r="AN31" i="54"/>
  <c r="AP31" i="54" s="1"/>
  <c r="AQ31" i="54" s="1"/>
  <c r="AO30" i="54"/>
  <c r="AN30" i="54"/>
  <c r="AO29" i="54"/>
  <c r="AN29" i="54"/>
  <c r="AO28" i="54"/>
  <c r="AN28" i="54"/>
  <c r="AO27" i="54"/>
  <c r="AN27" i="54"/>
  <c r="AP27" i="54" s="1"/>
  <c r="AQ27" i="54" s="1"/>
  <c r="AO26" i="54"/>
  <c r="AN26" i="54"/>
  <c r="AP26" i="54" s="1"/>
  <c r="AQ26" i="54" s="1"/>
  <c r="AO25" i="54"/>
  <c r="AN25" i="54"/>
  <c r="AO24" i="54"/>
  <c r="AN24" i="54"/>
  <c r="AP24" i="54" s="1"/>
  <c r="AQ24" i="54" s="1"/>
  <c r="AO23" i="54"/>
  <c r="AN23" i="54"/>
  <c r="AP23" i="54" s="1"/>
  <c r="AQ23" i="54" s="1"/>
  <c r="AO22" i="54"/>
  <c r="AN22" i="54"/>
  <c r="AP22" i="54" s="1"/>
  <c r="AQ22" i="54" s="1"/>
  <c r="AO21" i="54"/>
  <c r="AN21" i="54"/>
  <c r="AO20" i="54"/>
  <c r="AN20" i="54"/>
  <c r="AP20" i="54" s="1"/>
  <c r="AQ20" i="54" s="1"/>
  <c r="AO19" i="54"/>
  <c r="AN19" i="54"/>
  <c r="AO18" i="54"/>
  <c r="AN18" i="54"/>
  <c r="AO17" i="54"/>
  <c r="AN17" i="54"/>
  <c r="AO16" i="54"/>
  <c r="AN16" i="54"/>
  <c r="AP16" i="54" s="1"/>
  <c r="AQ16" i="54" s="1"/>
  <c r="AO15" i="54"/>
  <c r="AN15" i="54"/>
  <c r="AP15" i="54" s="1"/>
  <c r="AQ15" i="54" s="1"/>
  <c r="AO14" i="54"/>
  <c r="AN14" i="54"/>
  <c r="AP14" i="54" s="1"/>
  <c r="AQ14" i="54" s="1"/>
  <c r="AO13" i="54"/>
  <c r="AN13" i="54"/>
  <c r="AO12" i="54"/>
  <c r="AN12" i="54"/>
  <c r="AO11" i="54"/>
  <c r="AN11" i="54"/>
  <c r="AO10" i="54"/>
  <c r="AN10" i="54"/>
  <c r="AO9" i="54"/>
  <c r="AN9" i="54"/>
  <c r="AO8" i="54"/>
  <c r="AN8" i="54"/>
  <c r="AP8" i="54" s="1"/>
  <c r="AQ8" i="54" s="1"/>
  <c r="AO7" i="54"/>
  <c r="AN7" i="54"/>
  <c r="AO6" i="54"/>
  <c r="AN6" i="54"/>
  <c r="AP6" i="54" s="1"/>
  <c r="AQ6" i="54" s="1"/>
  <c r="AO5" i="54"/>
  <c r="AN5" i="54"/>
  <c r="AO4" i="54"/>
  <c r="AN4" i="54"/>
  <c r="H300" i="54"/>
  <c r="H299" i="54"/>
  <c r="H298" i="54"/>
  <c r="H297" i="54"/>
  <c r="H296" i="54"/>
  <c r="H295" i="54"/>
  <c r="H294" i="54"/>
  <c r="H293" i="54"/>
  <c r="H292" i="54"/>
  <c r="H291" i="54"/>
  <c r="H290" i="54"/>
  <c r="H289" i="54"/>
  <c r="H288" i="54"/>
  <c r="H287" i="54"/>
  <c r="H286" i="54"/>
  <c r="H285" i="54"/>
  <c r="H284" i="54"/>
  <c r="H283" i="54"/>
  <c r="H282" i="54"/>
  <c r="H281" i="54"/>
  <c r="H280" i="54"/>
  <c r="H279" i="54"/>
  <c r="H278" i="54"/>
  <c r="H277" i="54"/>
  <c r="H276" i="54"/>
  <c r="H275" i="54"/>
  <c r="H274" i="54"/>
  <c r="H273" i="54"/>
  <c r="H272" i="54"/>
  <c r="H271" i="54"/>
  <c r="H270" i="54"/>
  <c r="H269" i="54"/>
  <c r="H268" i="54"/>
  <c r="H267" i="54"/>
  <c r="H266" i="54"/>
  <c r="H265" i="54"/>
  <c r="H264" i="54"/>
  <c r="H263" i="54"/>
  <c r="H262" i="54"/>
  <c r="H261" i="54"/>
  <c r="H260" i="54"/>
  <c r="H259" i="54"/>
  <c r="H258" i="54"/>
  <c r="H257" i="54"/>
  <c r="H256" i="54"/>
  <c r="H255" i="54"/>
  <c r="H254" i="54"/>
  <c r="H253" i="54"/>
  <c r="H252" i="54"/>
  <c r="H251" i="54"/>
  <c r="H250" i="54"/>
  <c r="H249" i="54"/>
  <c r="H248" i="54"/>
  <c r="H247" i="54"/>
  <c r="H246" i="54"/>
  <c r="H245" i="54"/>
  <c r="H244" i="54"/>
  <c r="H243" i="54"/>
  <c r="H242" i="54"/>
  <c r="H241" i="54"/>
  <c r="H240" i="54"/>
  <c r="H239" i="54"/>
  <c r="H238" i="54"/>
  <c r="H237" i="54"/>
  <c r="H236" i="54"/>
  <c r="H235" i="54"/>
  <c r="H234" i="54"/>
  <c r="H233" i="54"/>
  <c r="H232" i="54"/>
  <c r="H231" i="54"/>
  <c r="H230" i="54"/>
  <c r="H229" i="54"/>
  <c r="H228" i="54"/>
  <c r="H227" i="54"/>
  <c r="H226" i="54"/>
  <c r="H225" i="54"/>
  <c r="H224" i="54"/>
  <c r="H223" i="54"/>
  <c r="H222" i="54"/>
  <c r="H221" i="54"/>
  <c r="H220" i="54"/>
  <c r="H219" i="54"/>
  <c r="H218" i="54"/>
  <c r="H217" i="54"/>
  <c r="H216" i="54"/>
  <c r="H215" i="54"/>
  <c r="H214" i="54"/>
  <c r="H213" i="54"/>
  <c r="H212" i="54"/>
  <c r="H211" i="54"/>
  <c r="H210" i="54"/>
  <c r="H209" i="54"/>
  <c r="H208" i="54"/>
  <c r="H207" i="54"/>
  <c r="H206" i="54"/>
  <c r="H205" i="54"/>
  <c r="H204" i="54"/>
  <c r="H203" i="54"/>
  <c r="H202" i="54"/>
  <c r="H201" i="54"/>
  <c r="H200" i="54"/>
  <c r="H199" i="54"/>
  <c r="H198" i="54"/>
  <c r="H197" i="54"/>
  <c r="H196" i="54"/>
  <c r="H195" i="54"/>
  <c r="H194" i="54"/>
  <c r="H193" i="54"/>
  <c r="H192" i="54"/>
  <c r="H191" i="54"/>
  <c r="H190" i="54"/>
  <c r="H189" i="54"/>
  <c r="H188" i="54"/>
  <c r="H187" i="54"/>
  <c r="H186" i="54"/>
  <c r="H185" i="54"/>
  <c r="H184" i="54"/>
  <c r="H183" i="54"/>
  <c r="H182" i="54"/>
  <c r="H181" i="54"/>
  <c r="H180" i="54"/>
  <c r="H179" i="54"/>
  <c r="H178" i="54"/>
  <c r="H177" i="54"/>
  <c r="H176" i="54"/>
  <c r="H175" i="54"/>
  <c r="H174" i="54"/>
  <c r="H173" i="54"/>
  <c r="H172" i="54"/>
  <c r="H171" i="54"/>
  <c r="H170" i="54"/>
  <c r="H169" i="54"/>
  <c r="H168" i="54"/>
  <c r="H167" i="54"/>
  <c r="H166" i="54"/>
  <c r="H165" i="54"/>
  <c r="H164" i="54"/>
  <c r="H163" i="54"/>
  <c r="H162" i="54"/>
  <c r="H161" i="54"/>
  <c r="H160" i="54"/>
  <c r="H159" i="54"/>
  <c r="H158" i="54"/>
  <c r="H157" i="54"/>
  <c r="H156" i="54"/>
  <c r="H155" i="54"/>
  <c r="H154" i="54"/>
  <c r="H153" i="54"/>
  <c r="H152" i="54"/>
  <c r="H151" i="54"/>
  <c r="H150" i="54"/>
  <c r="H149" i="54"/>
  <c r="H148" i="54"/>
  <c r="H147" i="54"/>
  <c r="H146" i="54"/>
  <c r="H145" i="54"/>
  <c r="H144" i="54"/>
  <c r="H143" i="54"/>
  <c r="H142" i="54"/>
  <c r="AP141" i="54"/>
  <c r="AQ141" i="54" s="1"/>
  <c r="H141" i="54"/>
  <c r="AP140" i="54"/>
  <c r="AQ140" i="54" s="1"/>
  <c r="H140" i="54"/>
  <c r="H139" i="54"/>
  <c r="H138" i="54"/>
  <c r="AP137" i="54"/>
  <c r="AQ137" i="54" s="1"/>
  <c r="H137" i="54"/>
  <c r="AP136" i="54"/>
  <c r="AQ136" i="54" s="1"/>
  <c r="H136" i="54"/>
  <c r="H135" i="54"/>
  <c r="H134" i="54"/>
  <c r="AP133" i="54"/>
  <c r="AQ133" i="54" s="1"/>
  <c r="H133" i="54"/>
  <c r="H132" i="54"/>
  <c r="H131" i="54"/>
  <c r="H130" i="54"/>
  <c r="AP129" i="54"/>
  <c r="AQ129" i="54" s="1"/>
  <c r="H129" i="54"/>
  <c r="H128" i="54"/>
  <c r="H127" i="54"/>
  <c r="H126" i="54"/>
  <c r="AP125" i="54"/>
  <c r="AQ125" i="54" s="1"/>
  <c r="H125" i="54"/>
  <c r="H124" i="54"/>
  <c r="H123" i="54"/>
  <c r="H122" i="54"/>
  <c r="AP121" i="54"/>
  <c r="AQ121" i="54" s="1"/>
  <c r="H121" i="54"/>
  <c r="AP120" i="54"/>
  <c r="AQ120" i="54" s="1"/>
  <c r="H120" i="54"/>
  <c r="H119" i="54"/>
  <c r="H118" i="54"/>
  <c r="AP117" i="54"/>
  <c r="AQ117" i="54" s="1"/>
  <c r="H117" i="54"/>
  <c r="H116" i="54"/>
  <c r="AP115" i="54"/>
  <c r="AQ115" i="54" s="1"/>
  <c r="H115" i="54"/>
  <c r="H114" i="54"/>
  <c r="AP113" i="54"/>
  <c r="AQ113" i="54" s="1"/>
  <c r="H113" i="54"/>
  <c r="AP112" i="54"/>
  <c r="AQ112" i="54" s="1"/>
  <c r="H112" i="54"/>
  <c r="H111" i="54"/>
  <c r="H110" i="54"/>
  <c r="AP109" i="54"/>
  <c r="AQ109" i="54" s="1"/>
  <c r="H109" i="54"/>
  <c r="AP108" i="54"/>
  <c r="AQ108" i="54" s="1"/>
  <c r="H108" i="54"/>
  <c r="H107" i="54"/>
  <c r="H106" i="54"/>
  <c r="AP105" i="54"/>
  <c r="AQ105" i="54" s="1"/>
  <c r="H105" i="54"/>
  <c r="AP104" i="54"/>
  <c r="AQ104" i="54" s="1"/>
  <c r="H104" i="54"/>
  <c r="H103" i="54"/>
  <c r="H102" i="54"/>
  <c r="AP101" i="54"/>
  <c r="AQ101" i="54" s="1"/>
  <c r="H101" i="54"/>
  <c r="H100" i="54"/>
  <c r="AP99" i="54"/>
  <c r="AQ99" i="54" s="1"/>
  <c r="H99" i="54"/>
  <c r="H98" i="54"/>
  <c r="AP97" i="54"/>
  <c r="AQ97" i="54" s="1"/>
  <c r="H97" i="54"/>
  <c r="AP96" i="54"/>
  <c r="AQ96" i="54" s="1"/>
  <c r="H96" i="54"/>
  <c r="AP95" i="54"/>
  <c r="AQ95" i="54" s="1"/>
  <c r="H95" i="54"/>
  <c r="H94" i="54"/>
  <c r="AP93" i="54"/>
  <c r="AQ93" i="54" s="1"/>
  <c r="H93" i="54"/>
  <c r="H92" i="54"/>
  <c r="AP91" i="54"/>
  <c r="AQ91" i="54" s="1"/>
  <c r="H91" i="54"/>
  <c r="H90" i="54"/>
  <c r="H89" i="54"/>
  <c r="AP88" i="54"/>
  <c r="AQ88" i="54" s="1"/>
  <c r="H88" i="54"/>
  <c r="H87" i="54"/>
  <c r="AP86" i="54"/>
  <c r="AQ86" i="54" s="1"/>
  <c r="H86" i="54"/>
  <c r="AP85" i="54"/>
  <c r="AQ85" i="54" s="1"/>
  <c r="H85" i="54"/>
  <c r="AP84" i="54"/>
  <c r="AQ84" i="54" s="1"/>
  <c r="H84" i="54"/>
  <c r="AP83" i="54"/>
  <c r="AQ83" i="54" s="1"/>
  <c r="H83" i="54"/>
  <c r="H82" i="54"/>
  <c r="AP81" i="54"/>
  <c r="AQ81" i="54" s="1"/>
  <c r="H81" i="54"/>
  <c r="AP80" i="54"/>
  <c r="AQ80" i="54" s="1"/>
  <c r="H80" i="54"/>
  <c r="AP79" i="54"/>
  <c r="AQ79" i="54" s="1"/>
  <c r="H79" i="54"/>
  <c r="H78" i="54"/>
  <c r="AP77" i="54"/>
  <c r="AQ77" i="54" s="1"/>
  <c r="H77" i="54"/>
  <c r="H76" i="54"/>
  <c r="AP75" i="54"/>
  <c r="AQ75" i="54" s="1"/>
  <c r="H75" i="54"/>
  <c r="H74" i="54"/>
  <c r="H73" i="54"/>
  <c r="AP72" i="54"/>
  <c r="AQ72" i="54" s="1"/>
  <c r="H72" i="54"/>
  <c r="H71" i="54"/>
  <c r="H70" i="54"/>
  <c r="AP69" i="54"/>
  <c r="AQ69" i="54" s="1"/>
  <c r="H69" i="54"/>
  <c r="H68" i="54"/>
  <c r="H67" i="54"/>
  <c r="H66" i="54"/>
  <c r="AP65" i="54"/>
  <c r="AQ65" i="54" s="1"/>
  <c r="H65" i="54"/>
  <c r="H64" i="54"/>
  <c r="H63" i="54"/>
  <c r="H62" i="54"/>
  <c r="AQ61" i="54"/>
  <c r="AP61" i="54"/>
  <c r="H61" i="54"/>
  <c r="H60" i="54"/>
  <c r="AP59" i="54"/>
  <c r="AQ59" i="54" s="1"/>
  <c r="H59" i="54"/>
  <c r="H58" i="54"/>
  <c r="H57" i="54"/>
  <c r="H56" i="54"/>
  <c r="H55" i="54"/>
  <c r="H54" i="54"/>
  <c r="AP53" i="54"/>
  <c r="AQ53" i="54" s="1"/>
  <c r="H53" i="54"/>
  <c r="H52" i="54"/>
  <c r="H51" i="54"/>
  <c r="H50" i="54"/>
  <c r="AP49" i="54"/>
  <c r="AQ49" i="54" s="1"/>
  <c r="H49" i="54"/>
  <c r="H48" i="54"/>
  <c r="AP47" i="54"/>
  <c r="AQ47" i="54" s="1"/>
  <c r="H47" i="54"/>
  <c r="H46" i="54"/>
  <c r="H45" i="54"/>
  <c r="H44" i="54"/>
  <c r="H43" i="54"/>
  <c r="H42" i="54"/>
  <c r="AP41" i="54"/>
  <c r="AQ41" i="54" s="1"/>
  <c r="H41" i="54"/>
  <c r="H40" i="54"/>
  <c r="H39" i="54"/>
  <c r="H38" i="54"/>
  <c r="H37" i="54"/>
  <c r="H36" i="54"/>
  <c r="H35" i="54"/>
  <c r="H34" i="54"/>
  <c r="AP33" i="54"/>
  <c r="AQ33" i="54" s="1"/>
  <c r="H33" i="54"/>
  <c r="H32" i="54"/>
  <c r="H31" i="54"/>
  <c r="H30" i="54"/>
  <c r="H29" i="54"/>
  <c r="AP28" i="54"/>
  <c r="AQ28" i="54" s="1"/>
  <c r="H28" i="54"/>
  <c r="H27" i="54"/>
  <c r="H26" i="54"/>
  <c r="AP25" i="54"/>
  <c r="AQ25" i="54" s="1"/>
  <c r="H25" i="54"/>
  <c r="H24" i="54"/>
  <c r="H23" i="54"/>
  <c r="H22" i="54"/>
  <c r="AP21" i="54"/>
  <c r="AQ21" i="54" s="1"/>
  <c r="H21" i="54"/>
  <c r="H20" i="54"/>
  <c r="AP19" i="54"/>
  <c r="AQ19" i="54" s="1"/>
  <c r="H19" i="54"/>
  <c r="H18" i="54"/>
  <c r="AP17" i="54"/>
  <c r="AQ17" i="54" s="1"/>
  <c r="H17" i="54"/>
  <c r="H16" i="54"/>
  <c r="H15" i="54"/>
  <c r="H14" i="54"/>
  <c r="AQ13" i="54"/>
  <c r="AP13" i="54"/>
  <c r="H13" i="54"/>
  <c r="AP12" i="54"/>
  <c r="AQ12" i="54" s="1"/>
  <c r="H12" i="54"/>
  <c r="AP11" i="54"/>
  <c r="AQ11" i="54" s="1"/>
  <c r="H11" i="54"/>
  <c r="H10" i="54"/>
  <c r="AP9" i="54"/>
  <c r="AQ9" i="54" s="1"/>
  <c r="H9" i="54"/>
  <c r="H8" i="54"/>
  <c r="AP7" i="54"/>
  <c r="AQ7" i="54" s="1"/>
  <c r="H7" i="54"/>
  <c r="H6" i="54"/>
  <c r="AQ5" i="54"/>
  <c r="AP5" i="54"/>
  <c r="H5" i="54"/>
  <c r="AP4" i="54"/>
  <c r="AQ4" i="54" s="1"/>
  <c r="H4" i="54"/>
  <c r="H3" i="54"/>
  <c r="K107" i="27"/>
  <c r="K106" i="27"/>
  <c r="K105" i="27"/>
  <c r="K104" i="27"/>
  <c r="K103" i="27"/>
  <c r="K102" i="27"/>
  <c r="K101" i="27"/>
  <c r="K97" i="27"/>
  <c r="K96" i="27"/>
  <c r="K95" i="27"/>
  <c r="K94" i="27"/>
  <c r="K93" i="27"/>
  <c r="K92" i="27"/>
  <c r="K91" i="27"/>
  <c r="K87" i="27"/>
  <c r="K86" i="27"/>
  <c r="K88" i="27" s="1"/>
  <c r="K85" i="27"/>
  <c r="K84" i="27"/>
  <c r="K83" i="27"/>
  <c r="K82" i="27"/>
  <c r="K78" i="27"/>
  <c r="K77" i="27"/>
  <c r="K76" i="27"/>
  <c r="K75" i="27"/>
  <c r="K74" i="27"/>
  <c r="K73" i="27"/>
  <c r="K72" i="27"/>
  <c r="K71" i="27"/>
  <c r="K70" i="27"/>
  <c r="K69" i="27"/>
  <c r="K68" i="27"/>
  <c r="K64" i="27"/>
  <c r="K63" i="27"/>
  <c r="K62" i="27"/>
  <c r="K61" i="27"/>
  <c r="K60" i="27"/>
  <c r="K59" i="27"/>
  <c r="K58" i="27"/>
  <c r="K54" i="27"/>
  <c r="K53" i="27"/>
  <c r="K55" i="27" s="1"/>
  <c r="K52" i="27"/>
  <c r="K51" i="27"/>
  <c r="K50" i="27"/>
  <c r="K49" i="27"/>
  <c r="K45" i="27"/>
  <c r="K44" i="27"/>
  <c r="K43" i="27"/>
  <c r="K42" i="27"/>
  <c r="K46" i="27" s="1"/>
  <c r="K41" i="27"/>
  <c r="K40" i="27"/>
  <c r="K39" i="27"/>
  <c r="K35" i="27"/>
  <c r="K34" i="27"/>
  <c r="K33" i="27"/>
  <c r="K32" i="27"/>
  <c r="K31" i="27"/>
  <c r="K36" i="27" s="1"/>
  <c r="K30" i="27"/>
  <c r="K29" i="27"/>
  <c r="K28" i="27"/>
  <c r="K24" i="27"/>
  <c r="K23" i="27"/>
  <c r="K22" i="27"/>
  <c r="K21" i="27"/>
  <c r="K20" i="27"/>
  <c r="K19" i="27"/>
  <c r="K18" i="27"/>
  <c r="K17" i="27"/>
  <c r="K16" i="27"/>
  <c r="K15" i="27"/>
  <c r="K14" i="27"/>
  <c r="K13" i="27"/>
  <c r="K108" i="27"/>
  <c r="E107" i="27"/>
  <c r="E106" i="27"/>
  <c r="E105" i="27"/>
  <c r="E104" i="27"/>
  <c r="E103" i="27"/>
  <c r="E102" i="27"/>
  <c r="E101" i="27"/>
  <c r="E97" i="27"/>
  <c r="E96" i="27"/>
  <c r="E95" i="27"/>
  <c r="E94" i="27"/>
  <c r="E93" i="27"/>
  <c r="E92" i="27"/>
  <c r="E91" i="27"/>
  <c r="E87" i="27"/>
  <c r="E86" i="27"/>
  <c r="E85" i="27"/>
  <c r="E84" i="27"/>
  <c r="E83" i="27"/>
  <c r="E82" i="27"/>
  <c r="E78" i="27"/>
  <c r="E77" i="27"/>
  <c r="E76" i="27"/>
  <c r="E75" i="27"/>
  <c r="E74" i="27"/>
  <c r="E73" i="27"/>
  <c r="E72" i="27"/>
  <c r="E71" i="27"/>
  <c r="E70" i="27"/>
  <c r="E69" i="27"/>
  <c r="E68" i="27"/>
  <c r="E64" i="27"/>
  <c r="E63" i="27"/>
  <c r="E62" i="27"/>
  <c r="E61" i="27"/>
  <c r="E60" i="27"/>
  <c r="E59" i="27"/>
  <c r="E58" i="27"/>
  <c r="E54" i="27"/>
  <c r="E53" i="27"/>
  <c r="E52" i="27"/>
  <c r="E51" i="27"/>
  <c r="E50" i="27"/>
  <c r="E49" i="27"/>
  <c r="E45" i="27"/>
  <c r="E44" i="27"/>
  <c r="E43" i="27"/>
  <c r="E42" i="27"/>
  <c r="E41" i="27"/>
  <c r="E40" i="27"/>
  <c r="E39" i="27"/>
  <c r="E35" i="27"/>
  <c r="E34" i="27"/>
  <c r="E33" i="27"/>
  <c r="E32" i="27"/>
  <c r="E31" i="27"/>
  <c r="E30" i="27"/>
  <c r="E29" i="27"/>
  <c r="E28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AO141" i="52"/>
  <c r="AN141" i="52"/>
  <c r="AO140" i="52"/>
  <c r="AN140" i="52"/>
  <c r="AO139" i="52"/>
  <c r="AN139" i="52"/>
  <c r="AO138" i="52"/>
  <c r="AN138" i="52"/>
  <c r="AP138" i="52" s="1"/>
  <c r="AQ138" i="52" s="1"/>
  <c r="AO137" i="52"/>
  <c r="AN137" i="52"/>
  <c r="AP137" i="52" s="1"/>
  <c r="AQ137" i="52" s="1"/>
  <c r="AO136" i="52"/>
  <c r="AN136" i="52"/>
  <c r="AO135" i="52"/>
  <c r="AN135" i="52"/>
  <c r="AP135" i="52" s="1"/>
  <c r="AQ135" i="52" s="1"/>
  <c r="AO134" i="52"/>
  <c r="AN134" i="52"/>
  <c r="AP134" i="52" s="1"/>
  <c r="AQ134" i="52" s="1"/>
  <c r="AO133" i="52"/>
  <c r="AN133" i="52"/>
  <c r="AP133" i="52" s="1"/>
  <c r="AQ133" i="52" s="1"/>
  <c r="AO132" i="52"/>
  <c r="AN132" i="52"/>
  <c r="AP132" i="52" s="1"/>
  <c r="AQ132" i="52" s="1"/>
  <c r="AO131" i="52"/>
  <c r="AN131" i="52"/>
  <c r="AP131" i="52" s="1"/>
  <c r="AQ131" i="52" s="1"/>
  <c r="AO130" i="52"/>
  <c r="AN130" i="52"/>
  <c r="AO129" i="52"/>
  <c r="AN129" i="52"/>
  <c r="AO128" i="52"/>
  <c r="AN128" i="52"/>
  <c r="AO127" i="52"/>
  <c r="AN127" i="52"/>
  <c r="AP127" i="52" s="1"/>
  <c r="AQ127" i="52" s="1"/>
  <c r="AO126" i="52"/>
  <c r="AN126" i="52"/>
  <c r="AP126" i="52" s="1"/>
  <c r="AQ126" i="52" s="1"/>
  <c r="AO125" i="52"/>
  <c r="AN125" i="52"/>
  <c r="AO124" i="52"/>
  <c r="AN124" i="52"/>
  <c r="AO123" i="52"/>
  <c r="AN123" i="52"/>
  <c r="AP123" i="52" s="1"/>
  <c r="AQ123" i="52" s="1"/>
  <c r="AO122" i="52"/>
  <c r="AN122" i="52"/>
  <c r="AP122" i="52" s="1"/>
  <c r="AQ122" i="52" s="1"/>
  <c r="AO121" i="52"/>
  <c r="AN121" i="52"/>
  <c r="AO120" i="52"/>
  <c r="AN120" i="52"/>
  <c r="AP120" i="52" s="1"/>
  <c r="AQ120" i="52" s="1"/>
  <c r="AO119" i="52"/>
  <c r="AN119" i="52"/>
  <c r="AP119" i="52" s="1"/>
  <c r="AQ119" i="52" s="1"/>
  <c r="AO118" i="52"/>
  <c r="AN118" i="52"/>
  <c r="AP118" i="52" s="1"/>
  <c r="AQ118" i="52" s="1"/>
  <c r="AO117" i="52"/>
  <c r="AN117" i="52"/>
  <c r="AO116" i="52"/>
  <c r="AN116" i="52"/>
  <c r="AO115" i="52"/>
  <c r="AN115" i="52"/>
  <c r="AP115" i="52" s="1"/>
  <c r="AQ115" i="52" s="1"/>
  <c r="AO114" i="52"/>
  <c r="AN114" i="52"/>
  <c r="AP114" i="52" s="1"/>
  <c r="AQ114" i="52" s="1"/>
  <c r="AO113" i="52"/>
  <c r="AN113" i="52"/>
  <c r="AO112" i="52"/>
  <c r="AN112" i="52"/>
  <c r="AO111" i="52"/>
  <c r="AN111" i="52"/>
  <c r="AO110" i="52"/>
  <c r="AN110" i="52"/>
  <c r="AP110" i="52" s="1"/>
  <c r="AQ110" i="52" s="1"/>
  <c r="AO109" i="52"/>
  <c r="AN109" i="52"/>
  <c r="AO108" i="52"/>
  <c r="AN108" i="52"/>
  <c r="AO107" i="52"/>
  <c r="AN107" i="52"/>
  <c r="AO106" i="52"/>
  <c r="AN106" i="52"/>
  <c r="AP106" i="52" s="1"/>
  <c r="AQ106" i="52" s="1"/>
  <c r="AO105" i="52"/>
  <c r="AN105" i="52"/>
  <c r="AO104" i="52"/>
  <c r="AN104" i="52"/>
  <c r="AO103" i="52"/>
  <c r="AN103" i="52"/>
  <c r="AO102" i="52"/>
  <c r="AN102" i="52"/>
  <c r="AP102" i="52" s="1"/>
  <c r="AQ102" i="52" s="1"/>
  <c r="AO101" i="52"/>
  <c r="AN101" i="52"/>
  <c r="AO100" i="52"/>
  <c r="AN100" i="52"/>
  <c r="AO99" i="52"/>
  <c r="AN99" i="52"/>
  <c r="AO98" i="52"/>
  <c r="AN98" i="52"/>
  <c r="AO97" i="52"/>
  <c r="AN97" i="52"/>
  <c r="AO96" i="52"/>
  <c r="AN96" i="52"/>
  <c r="AO95" i="52"/>
  <c r="AN95" i="52"/>
  <c r="AO94" i="52"/>
  <c r="AN94" i="52"/>
  <c r="AO93" i="52"/>
  <c r="AN93" i="52"/>
  <c r="AO92" i="52"/>
  <c r="AN92" i="52"/>
  <c r="AO91" i="52"/>
  <c r="AN91" i="52"/>
  <c r="AO90" i="52"/>
  <c r="AN90" i="52"/>
  <c r="AP90" i="52" s="1"/>
  <c r="AQ90" i="52" s="1"/>
  <c r="AO89" i="52"/>
  <c r="AN89" i="52"/>
  <c r="AO88" i="52"/>
  <c r="AN88" i="52"/>
  <c r="AO87" i="52"/>
  <c r="AN87" i="52"/>
  <c r="AO86" i="52"/>
  <c r="AN86" i="52"/>
  <c r="AP86" i="52" s="1"/>
  <c r="AQ86" i="52" s="1"/>
  <c r="AO85" i="52"/>
  <c r="AN85" i="52"/>
  <c r="AO84" i="52"/>
  <c r="AN84" i="52"/>
  <c r="AP84" i="52" s="1"/>
  <c r="AQ84" i="52" s="1"/>
  <c r="AO83" i="52"/>
  <c r="AN83" i="52"/>
  <c r="AP83" i="52" s="1"/>
  <c r="AQ83" i="52" s="1"/>
  <c r="AO82" i="52"/>
  <c r="AN82" i="52"/>
  <c r="AP82" i="52" s="1"/>
  <c r="AQ82" i="52" s="1"/>
  <c r="AO81" i="52"/>
  <c r="AN81" i="52"/>
  <c r="AO80" i="52"/>
  <c r="AN80" i="52"/>
  <c r="AP80" i="52" s="1"/>
  <c r="AQ80" i="52" s="1"/>
  <c r="AO79" i="52"/>
  <c r="AN79" i="52"/>
  <c r="AO78" i="52"/>
  <c r="AN78" i="52"/>
  <c r="AP78" i="52" s="1"/>
  <c r="AQ78" i="52" s="1"/>
  <c r="AO77" i="52"/>
  <c r="AN77" i="52"/>
  <c r="AO76" i="52"/>
  <c r="AN76" i="52"/>
  <c r="AP76" i="52" s="1"/>
  <c r="AQ76" i="52" s="1"/>
  <c r="AO75" i="52"/>
  <c r="AN75" i="52"/>
  <c r="AP75" i="52" s="1"/>
  <c r="AQ75" i="52" s="1"/>
  <c r="AO74" i="52"/>
  <c r="AN74" i="52"/>
  <c r="AO73" i="52"/>
  <c r="AN73" i="52"/>
  <c r="AO72" i="52"/>
  <c r="AN72" i="52"/>
  <c r="AO71" i="52"/>
  <c r="AN71" i="52"/>
  <c r="AO70" i="52"/>
  <c r="AN70" i="52"/>
  <c r="AP70" i="52" s="1"/>
  <c r="AQ70" i="52" s="1"/>
  <c r="AO69" i="52"/>
  <c r="AN69" i="52"/>
  <c r="AO68" i="52"/>
  <c r="AN68" i="52"/>
  <c r="AO67" i="52"/>
  <c r="AN67" i="52"/>
  <c r="AP67" i="52" s="1"/>
  <c r="AQ67" i="52" s="1"/>
  <c r="AO66" i="52"/>
  <c r="AN66" i="52"/>
  <c r="AP66" i="52" s="1"/>
  <c r="AQ66" i="52" s="1"/>
  <c r="AO65" i="52"/>
  <c r="AN65" i="52"/>
  <c r="AO64" i="52"/>
  <c r="AN64" i="52"/>
  <c r="AO63" i="52"/>
  <c r="AN63" i="52"/>
  <c r="AP63" i="52" s="1"/>
  <c r="AQ63" i="52" s="1"/>
  <c r="AO62" i="52"/>
  <c r="AN62" i="52"/>
  <c r="AP62" i="52" s="1"/>
  <c r="AQ62" i="52" s="1"/>
  <c r="AO61" i="52"/>
  <c r="AN61" i="52"/>
  <c r="AO60" i="52"/>
  <c r="AN60" i="52"/>
  <c r="AO59" i="52"/>
  <c r="AN59" i="52"/>
  <c r="AP59" i="52" s="1"/>
  <c r="AQ59" i="52" s="1"/>
  <c r="AO58" i="52"/>
  <c r="AN58" i="52"/>
  <c r="AP58" i="52" s="1"/>
  <c r="AQ58" i="52" s="1"/>
  <c r="AO57" i="52"/>
  <c r="AN57" i="52"/>
  <c r="AO56" i="52"/>
  <c r="AN56" i="52"/>
  <c r="AO55" i="52"/>
  <c r="AN55" i="52"/>
  <c r="AO54" i="52"/>
  <c r="AN54" i="52"/>
  <c r="AP54" i="52" s="1"/>
  <c r="AQ54" i="52" s="1"/>
  <c r="AO53" i="52"/>
  <c r="AN53" i="52"/>
  <c r="AO52" i="52"/>
  <c r="AN52" i="52"/>
  <c r="AO51" i="52"/>
  <c r="AN51" i="52"/>
  <c r="AP51" i="52" s="1"/>
  <c r="AQ51" i="52" s="1"/>
  <c r="AO50" i="52"/>
  <c r="AN50" i="52"/>
  <c r="AP50" i="52" s="1"/>
  <c r="AQ50" i="52" s="1"/>
  <c r="AO49" i="52"/>
  <c r="AN49" i="52"/>
  <c r="AO48" i="52"/>
  <c r="AN48" i="52"/>
  <c r="AO47" i="52"/>
  <c r="AN47" i="52"/>
  <c r="AP47" i="52" s="1"/>
  <c r="AQ47" i="52" s="1"/>
  <c r="AO46" i="52"/>
  <c r="AN46" i="52"/>
  <c r="AP46" i="52" s="1"/>
  <c r="AQ46" i="52" s="1"/>
  <c r="AO45" i="52"/>
  <c r="AN45" i="52"/>
  <c r="AO44" i="52"/>
  <c r="AN44" i="52"/>
  <c r="AO43" i="52"/>
  <c r="AN43" i="52"/>
  <c r="AP43" i="52" s="1"/>
  <c r="AQ43" i="52" s="1"/>
  <c r="AO42" i="52"/>
  <c r="AN42" i="52"/>
  <c r="AP42" i="52" s="1"/>
  <c r="AQ42" i="52" s="1"/>
  <c r="AO41" i="52"/>
  <c r="AN41" i="52"/>
  <c r="AO40" i="52"/>
  <c r="AN40" i="52"/>
  <c r="AO39" i="52"/>
  <c r="AN39" i="52"/>
  <c r="AP39" i="52" s="1"/>
  <c r="AQ39" i="52" s="1"/>
  <c r="AO38" i="52"/>
  <c r="AN38" i="52"/>
  <c r="AP38" i="52" s="1"/>
  <c r="AQ38" i="52" s="1"/>
  <c r="AO37" i="52"/>
  <c r="AN37" i="52"/>
  <c r="AO36" i="52"/>
  <c r="AN36" i="52"/>
  <c r="AO35" i="52"/>
  <c r="AN35" i="52"/>
  <c r="AP35" i="52" s="1"/>
  <c r="AQ35" i="52" s="1"/>
  <c r="AO34" i="52"/>
  <c r="AN34" i="52"/>
  <c r="AP34" i="52" s="1"/>
  <c r="AQ34" i="52" s="1"/>
  <c r="AO33" i="52"/>
  <c r="AN33" i="52"/>
  <c r="AO32" i="52"/>
  <c r="AN32" i="52"/>
  <c r="AO31" i="52"/>
  <c r="AN31" i="52"/>
  <c r="AP31" i="52" s="1"/>
  <c r="AQ31" i="52" s="1"/>
  <c r="AO30" i="52"/>
  <c r="AN30" i="52"/>
  <c r="AP30" i="52" s="1"/>
  <c r="AQ30" i="52" s="1"/>
  <c r="AO29" i="52"/>
  <c r="AN29" i="52"/>
  <c r="AO28" i="52"/>
  <c r="AN28" i="52"/>
  <c r="AP28" i="52" s="1"/>
  <c r="AQ28" i="52" s="1"/>
  <c r="AO27" i="52"/>
  <c r="AN27" i="52"/>
  <c r="AP27" i="52" s="1"/>
  <c r="AQ27" i="52" s="1"/>
  <c r="AO26" i="52"/>
  <c r="AN26" i="52"/>
  <c r="AP26" i="52" s="1"/>
  <c r="AQ26" i="52" s="1"/>
  <c r="AO25" i="52"/>
  <c r="AN25" i="52"/>
  <c r="AO24" i="52"/>
  <c r="AN24" i="52"/>
  <c r="AP24" i="52" s="1"/>
  <c r="AQ24" i="52" s="1"/>
  <c r="AO23" i="52"/>
  <c r="AN23" i="52"/>
  <c r="AP23" i="52" s="1"/>
  <c r="AQ23" i="52" s="1"/>
  <c r="AO22" i="52"/>
  <c r="AN22" i="52"/>
  <c r="AP22" i="52" s="1"/>
  <c r="AQ22" i="52" s="1"/>
  <c r="AO21" i="52"/>
  <c r="AN21" i="52"/>
  <c r="AO20" i="52"/>
  <c r="AN20" i="52"/>
  <c r="AP20" i="52" s="1"/>
  <c r="AQ20" i="52" s="1"/>
  <c r="AO19" i="52"/>
  <c r="AN19" i="52"/>
  <c r="AP19" i="52" s="1"/>
  <c r="AQ19" i="52" s="1"/>
  <c r="AO18" i="52"/>
  <c r="AN18" i="52"/>
  <c r="AP18" i="52" s="1"/>
  <c r="AQ18" i="52" s="1"/>
  <c r="AO17" i="52"/>
  <c r="AN17" i="52"/>
  <c r="AO16" i="52"/>
  <c r="AN16" i="52"/>
  <c r="AP16" i="52" s="1"/>
  <c r="AQ16" i="52" s="1"/>
  <c r="AO15" i="52"/>
  <c r="AN15" i="52"/>
  <c r="AP15" i="52" s="1"/>
  <c r="AQ15" i="52" s="1"/>
  <c r="AO14" i="52"/>
  <c r="AN14" i="52"/>
  <c r="AP14" i="52" s="1"/>
  <c r="AQ14" i="52" s="1"/>
  <c r="AO13" i="52"/>
  <c r="AN13" i="52"/>
  <c r="AO12" i="52"/>
  <c r="AN12" i="52"/>
  <c r="AP12" i="52" s="1"/>
  <c r="AQ12" i="52" s="1"/>
  <c r="AO11" i="52"/>
  <c r="AN11" i="52"/>
  <c r="AP11" i="52" s="1"/>
  <c r="AQ11" i="52" s="1"/>
  <c r="AO10" i="52"/>
  <c r="AN10" i="52"/>
  <c r="AO9" i="52"/>
  <c r="AN9" i="52"/>
  <c r="AO8" i="52"/>
  <c r="AN8" i="52"/>
  <c r="AP8" i="52" s="1"/>
  <c r="AQ8" i="52" s="1"/>
  <c r="AO7" i="52"/>
  <c r="AN7" i="52"/>
  <c r="AP7" i="52" s="1"/>
  <c r="AO6" i="52"/>
  <c r="AN6" i="52"/>
  <c r="AO5" i="52"/>
  <c r="AN5" i="52"/>
  <c r="AO4" i="52"/>
  <c r="AN4" i="52"/>
  <c r="H300" i="52"/>
  <c r="H299" i="52"/>
  <c r="H298" i="52"/>
  <c r="H297" i="52"/>
  <c r="H296" i="52"/>
  <c r="H295" i="52"/>
  <c r="H294" i="52"/>
  <c r="H293" i="52"/>
  <c r="H292" i="52"/>
  <c r="H291" i="52"/>
  <c r="H290" i="52"/>
  <c r="H289" i="52"/>
  <c r="H288" i="52"/>
  <c r="H287" i="52"/>
  <c r="H286" i="52"/>
  <c r="H285" i="52"/>
  <c r="H284" i="52"/>
  <c r="H283" i="52"/>
  <c r="H282" i="52"/>
  <c r="H281" i="52"/>
  <c r="H280" i="52"/>
  <c r="H279" i="52"/>
  <c r="H278" i="52"/>
  <c r="H277" i="52"/>
  <c r="H276" i="52"/>
  <c r="H275" i="52"/>
  <c r="H274" i="52"/>
  <c r="H273" i="52"/>
  <c r="H272" i="52"/>
  <c r="H271" i="52"/>
  <c r="H270" i="52"/>
  <c r="H269" i="52"/>
  <c r="H268" i="52"/>
  <c r="H267" i="52"/>
  <c r="H266" i="52"/>
  <c r="H265" i="52"/>
  <c r="H264" i="52"/>
  <c r="H263" i="52"/>
  <c r="H262" i="52"/>
  <c r="H261" i="52"/>
  <c r="H260" i="52"/>
  <c r="H259" i="52"/>
  <c r="H258" i="52"/>
  <c r="H257" i="52"/>
  <c r="H256" i="52"/>
  <c r="H255" i="52"/>
  <c r="H254" i="52"/>
  <c r="H253" i="52"/>
  <c r="H252" i="52"/>
  <c r="H251" i="52"/>
  <c r="H250" i="52"/>
  <c r="H249" i="52"/>
  <c r="H248" i="52"/>
  <c r="H247" i="52"/>
  <c r="H246" i="52"/>
  <c r="H245" i="52"/>
  <c r="H244" i="52"/>
  <c r="H243" i="52"/>
  <c r="H242" i="52"/>
  <c r="H241" i="52"/>
  <c r="H240" i="52"/>
  <c r="H239" i="52"/>
  <c r="H238" i="52"/>
  <c r="H237" i="52"/>
  <c r="H236" i="52"/>
  <c r="H235" i="52"/>
  <c r="H234" i="52"/>
  <c r="H233" i="52"/>
  <c r="H232" i="52"/>
  <c r="H231" i="52"/>
  <c r="H230" i="52"/>
  <c r="H229" i="52"/>
  <c r="H228" i="52"/>
  <c r="H227" i="52"/>
  <c r="H226" i="52"/>
  <c r="H225" i="52"/>
  <c r="H224" i="52"/>
  <c r="H223" i="52"/>
  <c r="H222" i="52"/>
  <c r="H221" i="52"/>
  <c r="H220" i="52"/>
  <c r="H219" i="52"/>
  <c r="H218" i="52"/>
  <c r="H217" i="52"/>
  <c r="H216" i="52"/>
  <c r="H215" i="52"/>
  <c r="H214" i="52"/>
  <c r="H213" i="52"/>
  <c r="H212" i="52"/>
  <c r="H211" i="52"/>
  <c r="H210" i="52"/>
  <c r="H209" i="52"/>
  <c r="H208" i="52"/>
  <c r="H207" i="52"/>
  <c r="H206" i="52"/>
  <c r="H205" i="52"/>
  <c r="H204" i="52"/>
  <c r="H203" i="52"/>
  <c r="H202" i="52"/>
  <c r="H201" i="52"/>
  <c r="H200" i="52"/>
  <c r="H199" i="52"/>
  <c r="H198" i="52"/>
  <c r="H197" i="52"/>
  <c r="H196" i="52"/>
  <c r="H195" i="52"/>
  <c r="H194" i="52"/>
  <c r="H193" i="52"/>
  <c r="H192" i="52"/>
  <c r="H191" i="52"/>
  <c r="H190" i="52"/>
  <c r="H189" i="52"/>
  <c r="H188" i="52"/>
  <c r="H187" i="52"/>
  <c r="H186" i="52"/>
  <c r="H185" i="52"/>
  <c r="H184" i="52"/>
  <c r="H183" i="52"/>
  <c r="H182" i="52"/>
  <c r="H181" i="52"/>
  <c r="H180" i="52"/>
  <c r="H179" i="52"/>
  <c r="H178" i="52"/>
  <c r="H177" i="52"/>
  <c r="H176" i="52"/>
  <c r="H175" i="52"/>
  <c r="H174" i="52"/>
  <c r="H173" i="52"/>
  <c r="H172" i="52"/>
  <c r="H171" i="52"/>
  <c r="H170" i="52"/>
  <c r="H169" i="52"/>
  <c r="H168" i="52"/>
  <c r="H167" i="52"/>
  <c r="H166" i="52"/>
  <c r="H165" i="52"/>
  <c r="H164" i="52"/>
  <c r="H163" i="52"/>
  <c r="H162" i="52"/>
  <c r="H161" i="52"/>
  <c r="H160" i="52"/>
  <c r="H159" i="52"/>
  <c r="H158" i="52"/>
  <c r="H157" i="52"/>
  <c r="H156" i="52"/>
  <c r="H155" i="52"/>
  <c r="H154" i="52"/>
  <c r="H153" i="52"/>
  <c r="H152" i="52"/>
  <c r="H151" i="52"/>
  <c r="H150" i="52"/>
  <c r="H149" i="52"/>
  <c r="H148" i="52"/>
  <c r="H147" i="52"/>
  <c r="H146" i="52"/>
  <c r="H145" i="52"/>
  <c r="H144" i="52"/>
  <c r="H143" i="52"/>
  <c r="H142" i="52"/>
  <c r="AP141" i="52"/>
  <c r="AQ141" i="52" s="1"/>
  <c r="H141" i="52"/>
  <c r="AP140" i="52"/>
  <c r="AQ140" i="52" s="1"/>
  <c r="H140" i="52"/>
  <c r="AP139" i="52"/>
  <c r="AQ139" i="52" s="1"/>
  <c r="H139" i="52"/>
  <c r="H138" i="52"/>
  <c r="H137" i="52"/>
  <c r="AP136" i="52"/>
  <c r="AQ136" i="52" s="1"/>
  <c r="H136" i="52"/>
  <c r="H135" i="52"/>
  <c r="H134" i="52"/>
  <c r="H133" i="52"/>
  <c r="H132" i="52"/>
  <c r="H131" i="52"/>
  <c r="H130" i="52"/>
  <c r="AP129" i="52"/>
  <c r="AQ129" i="52" s="1"/>
  <c r="H129" i="52"/>
  <c r="H128" i="52"/>
  <c r="H127" i="52"/>
  <c r="H126" i="52"/>
  <c r="AP125" i="52"/>
  <c r="AQ125" i="52" s="1"/>
  <c r="H125" i="52"/>
  <c r="H124" i="52"/>
  <c r="H123" i="52"/>
  <c r="H122" i="52"/>
  <c r="AP121" i="52"/>
  <c r="AQ121" i="52" s="1"/>
  <c r="H121" i="52"/>
  <c r="H120" i="52"/>
  <c r="H119" i="52"/>
  <c r="H118" i="52"/>
  <c r="AP117" i="52"/>
  <c r="AQ117" i="52" s="1"/>
  <c r="H117" i="52"/>
  <c r="AP116" i="52"/>
  <c r="AQ116" i="52" s="1"/>
  <c r="H116" i="52"/>
  <c r="H115" i="52"/>
  <c r="H114" i="52"/>
  <c r="AP113" i="52"/>
  <c r="AQ113" i="52" s="1"/>
  <c r="H113" i="52"/>
  <c r="AP112" i="52"/>
  <c r="AQ112" i="52" s="1"/>
  <c r="H112" i="52"/>
  <c r="AP111" i="52"/>
  <c r="AQ111" i="52" s="1"/>
  <c r="H111" i="52"/>
  <c r="H110" i="52"/>
  <c r="AP109" i="52"/>
  <c r="AQ109" i="52" s="1"/>
  <c r="H109" i="52"/>
  <c r="AP108" i="52"/>
  <c r="AQ108" i="52" s="1"/>
  <c r="H108" i="52"/>
  <c r="AP107" i="52"/>
  <c r="AQ107" i="52" s="1"/>
  <c r="H107" i="52"/>
  <c r="H106" i="52"/>
  <c r="AP105" i="52"/>
  <c r="AQ105" i="52" s="1"/>
  <c r="H105" i="52"/>
  <c r="H104" i="52"/>
  <c r="H103" i="52"/>
  <c r="H102" i="52"/>
  <c r="AP101" i="52"/>
  <c r="AQ101" i="52" s="1"/>
  <c r="H101" i="52"/>
  <c r="AP100" i="52"/>
  <c r="AQ100" i="52" s="1"/>
  <c r="H100" i="52"/>
  <c r="AP99" i="52"/>
  <c r="AQ99" i="52" s="1"/>
  <c r="H99" i="52"/>
  <c r="AP98" i="52"/>
  <c r="AQ98" i="52" s="1"/>
  <c r="H98" i="52"/>
  <c r="AP97" i="52"/>
  <c r="AQ97" i="52" s="1"/>
  <c r="H97" i="52"/>
  <c r="AP96" i="52"/>
  <c r="AQ96" i="52" s="1"/>
  <c r="H96" i="52"/>
  <c r="AP95" i="52"/>
  <c r="AQ95" i="52" s="1"/>
  <c r="H95" i="52"/>
  <c r="AP94" i="52"/>
  <c r="AQ94" i="52" s="1"/>
  <c r="H94" i="52"/>
  <c r="AP93" i="52"/>
  <c r="AQ93" i="52" s="1"/>
  <c r="H93" i="52"/>
  <c r="AQ92" i="52"/>
  <c r="AP92" i="52"/>
  <c r="H92" i="52"/>
  <c r="AP91" i="52"/>
  <c r="AQ91" i="52" s="1"/>
  <c r="H91" i="52"/>
  <c r="H90" i="52"/>
  <c r="AP89" i="52"/>
  <c r="AQ89" i="52" s="1"/>
  <c r="H89" i="52"/>
  <c r="H88" i="52"/>
  <c r="H87" i="52"/>
  <c r="H86" i="52"/>
  <c r="AP85" i="52"/>
  <c r="AQ85" i="52" s="1"/>
  <c r="H85" i="52"/>
  <c r="H84" i="52"/>
  <c r="H83" i="52"/>
  <c r="H82" i="52"/>
  <c r="AP81" i="52"/>
  <c r="AQ81" i="52" s="1"/>
  <c r="H81" i="52"/>
  <c r="H80" i="52"/>
  <c r="H79" i="52"/>
  <c r="H78" i="52"/>
  <c r="AP77" i="52"/>
  <c r="AQ77" i="52" s="1"/>
  <c r="H77" i="52"/>
  <c r="H76" i="52"/>
  <c r="H75" i="52"/>
  <c r="H74" i="52"/>
  <c r="AP73" i="52"/>
  <c r="AQ73" i="52" s="1"/>
  <c r="H73" i="52"/>
  <c r="H72" i="52"/>
  <c r="H71" i="52"/>
  <c r="H70" i="52"/>
  <c r="AP69" i="52"/>
  <c r="AQ69" i="52" s="1"/>
  <c r="H69" i="52"/>
  <c r="AP68" i="52"/>
  <c r="AQ68" i="52" s="1"/>
  <c r="H68" i="52"/>
  <c r="H67" i="52"/>
  <c r="H66" i="52"/>
  <c r="AP65" i="52"/>
  <c r="AQ65" i="52" s="1"/>
  <c r="H65" i="52"/>
  <c r="AP64" i="52"/>
  <c r="AQ64" i="52" s="1"/>
  <c r="H64" i="52"/>
  <c r="H63" i="52"/>
  <c r="H62" i="52"/>
  <c r="AP61" i="52"/>
  <c r="AQ61" i="52" s="1"/>
  <c r="H61" i="52"/>
  <c r="AP60" i="52"/>
  <c r="AQ60" i="52" s="1"/>
  <c r="H60" i="52"/>
  <c r="H59" i="52"/>
  <c r="H58" i="52"/>
  <c r="AP57" i="52"/>
  <c r="AQ57" i="52" s="1"/>
  <c r="H57" i="52"/>
  <c r="H56" i="52"/>
  <c r="H55" i="52"/>
  <c r="H54" i="52"/>
  <c r="AP53" i="52"/>
  <c r="AQ53" i="52" s="1"/>
  <c r="H53" i="52"/>
  <c r="AP52" i="52"/>
  <c r="AQ52" i="52" s="1"/>
  <c r="H52" i="52"/>
  <c r="H51" i="52"/>
  <c r="H50" i="52"/>
  <c r="AP49" i="52"/>
  <c r="AQ49" i="52" s="1"/>
  <c r="H49" i="52"/>
  <c r="AP48" i="52"/>
  <c r="AQ48" i="52" s="1"/>
  <c r="H48" i="52"/>
  <c r="H47" i="52"/>
  <c r="H46" i="52"/>
  <c r="AP45" i="52"/>
  <c r="AQ45" i="52" s="1"/>
  <c r="H45" i="52"/>
  <c r="AP44" i="52"/>
  <c r="AQ44" i="52" s="1"/>
  <c r="H44" i="52"/>
  <c r="H43" i="52"/>
  <c r="H42" i="52"/>
  <c r="AP41" i="52"/>
  <c r="AQ41" i="52" s="1"/>
  <c r="H41" i="52"/>
  <c r="AP40" i="52"/>
  <c r="AQ40" i="52" s="1"/>
  <c r="H40" i="52"/>
  <c r="H39" i="52"/>
  <c r="H38" i="52"/>
  <c r="AP37" i="52"/>
  <c r="AQ37" i="52" s="1"/>
  <c r="H37" i="52"/>
  <c r="AP36" i="52"/>
  <c r="AQ36" i="52" s="1"/>
  <c r="H36" i="52"/>
  <c r="H35" i="52"/>
  <c r="H34" i="52"/>
  <c r="AP33" i="52"/>
  <c r="AQ33" i="52" s="1"/>
  <c r="H33" i="52"/>
  <c r="AP32" i="52"/>
  <c r="AQ32" i="52" s="1"/>
  <c r="H32" i="52"/>
  <c r="H31" i="52"/>
  <c r="H30" i="52"/>
  <c r="AP29" i="52"/>
  <c r="AQ29" i="52" s="1"/>
  <c r="H29" i="52"/>
  <c r="H28" i="52"/>
  <c r="H27" i="52"/>
  <c r="H26" i="52"/>
  <c r="AP25" i="52"/>
  <c r="AQ25" i="52" s="1"/>
  <c r="H25" i="52"/>
  <c r="H24" i="52"/>
  <c r="H23" i="52"/>
  <c r="H22" i="52"/>
  <c r="AP21" i="52"/>
  <c r="AQ21" i="52" s="1"/>
  <c r="H21" i="52"/>
  <c r="H20" i="52"/>
  <c r="H19" i="52"/>
  <c r="H18" i="52"/>
  <c r="AP17" i="52"/>
  <c r="AQ17" i="52" s="1"/>
  <c r="H17" i="52"/>
  <c r="H16" i="52"/>
  <c r="H15" i="52"/>
  <c r="H14" i="52"/>
  <c r="AP13" i="52"/>
  <c r="AQ13" i="52" s="1"/>
  <c r="H13" i="52"/>
  <c r="H12" i="52"/>
  <c r="H11" i="52"/>
  <c r="AP10" i="52"/>
  <c r="AQ10" i="52" s="1"/>
  <c r="H10" i="52"/>
  <c r="AP9" i="52"/>
  <c r="H9" i="52"/>
  <c r="H8" i="52"/>
  <c r="H7" i="52"/>
  <c r="AP6" i="52"/>
  <c r="AQ6" i="52" s="1"/>
  <c r="H6" i="52"/>
  <c r="AP5" i="52"/>
  <c r="AQ5" i="52" s="1"/>
  <c r="H5" i="52"/>
  <c r="AP4" i="52"/>
  <c r="AQ4" i="52" s="1"/>
  <c r="H4" i="52"/>
  <c r="H3" i="52"/>
  <c r="K107" i="26"/>
  <c r="K106" i="26"/>
  <c r="K105" i="26"/>
  <c r="K104" i="26"/>
  <c r="K103" i="26"/>
  <c r="K108" i="26" s="1"/>
  <c r="K102" i="26"/>
  <c r="K101" i="26"/>
  <c r="K97" i="26"/>
  <c r="K96" i="26"/>
  <c r="K95" i="26"/>
  <c r="K94" i="26"/>
  <c r="K93" i="26"/>
  <c r="K92" i="26"/>
  <c r="K91" i="26"/>
  <c r="K87" i="26"/>
  <c r="K86" i="26"/>
  <c r="K85" i="26"/>
  <c r="K84" i="26"/>
  <c r="K83" i="26"/>
  <c r="K82" i="26"/>
  <c r="K78" i="26"/>
  <c r="K77" i="26"/>
  <c r="K76" i="26"/>
  <c r="K75" i="26"/>
  <c r="K74" i="26"/>
  <c r="K73" i="26"/>
  <c r="K72" i="26"/>
  <c r="K71" i="26"/>
  <c r="K70" i="26"/>
  <c r="K69" i="26"/>
  <c r="K68" i="26"/>
  <c r="K64" i="26"/>
  <c r="K63" i="26"/>
  <c r="K62" i="26"/>
  <c r="K61" i="26"/>
  <c r="K60" i="26"/>
  <c r="K59" i="26"/>
  <c r="K58" i="26"/>
  <c r="K54" i="26"/>
  <c r="K53" i="26"/>
  <c r="K52" i="26"/>
  <c r="K51" i="26"/>
  <c r="K50" i="26"/>
  <c r="K49" i="26"/>
  <c r="K55" i="26" s="1"/>
  <c r="K45" i="26"/>
  <c r="K44" i="26"/>
  <c r="K43" i="26"/>
  <c r="K42" i="26"/>
  <c r="K41" i="26"/>
  <c r="K40" i="26"/>
  <c r="K39" i="26"/>
  <c r="K35" i="26"/>
  <c r="K34" i="26"/>
  <c r="K33" i="26"/>
  <c r="K32" i="26"/>
  <c r="K31" i="26"/>
  <c r="K30" i="26"/>
  <c r="K29" i="26"/>
  <c r="K28" i="26"/>
  <c r="K24" i="26"/>
  <c r="K23" i="26"/>
  <c r="K22" i="26"/>
  <c r="K21" i="26"/>
  <c r="K20" i="26"/>
  <c r="K19" i="26"/>
  <c r="K18" i="26"/>
  <c r="K17" i="26"/>
  <c r="K16" i="26"/>
  <c r="K15" i="26"/>
  <c r="K14" i="26"/>
  <c r="K13" i="26"/>
  <c r="E107" i="26"/>
  <c r="E106" i="26"/>
  <c r="E105" i="26"/>
  <c r="E104" i="26"/>
  <c r="E103" i="26"/>
  <c r="E102" i="26"/>
  <c r="E101" i="26"/>
  <c r="E97" i="26"/>
  <c r="E96" i="26"/>
  <c r="E95" i="26"/>
  <c r="E94" i="26"/>
  <c r="E93" i="26"/>
  <c r="E92" i="26"/>
  <c r="E91" i="26"/>
  <c r="E87" i="26"/>
  <c r="E86" i="26"/>
  <c r="E85" i="26"/>
  <c r="E84" i="26"/>
  <c r="E83" i="26"/>
  <c r="E82" i="26"/>
  <c r="E78" i="26"/>
  <c r="E77" i="26"/>
  <c r="E76" i="26"/>
  <c r="E75" i="26"/>
  <c r="E74" i="26"/>
  <c r="E73" i="26"/>
  <c r="E72" i="26"/>
  <c r="E71" i="26"/>
  <c r="E70" i="26"/>
  <c r="E69" i="26"/>
  <c r="E68" i="26"/>
  <c r="E64" i="26"/>
  <c r="E63" i="26"/>
  <c r="E62" i="26"/>
  <c r="E61" i="26"/>
  <c r="E60" i="26"/>
  <c r="E59" i="26"/>
  <c r="E58" i="26"/>
  <c r="E54" i="26"/>
  <c r="E53" i="26"/>
  <c r="E52" i="26"/>
  <c r="E51" i="26"/>
  <c r="E50" i="26"/>
  <c r="E49" i="26"/>
  <c r="E45" i="26"/>
  <c r="E44" i="26"/>
  <c r="E43" i="26"/>
  <c r="E42" i="26"/>
  <c r="E41" i="26"/>
  <c r="E40" i="26"/>
  <c r="E39" i="26"/>
  <c r="E35" i="26"/>
  <c r="E34" i="26"/>
  <c r="E33" i="26"/>
  <c r="E32" i="26"/>
  <c r="E31" i="26"/>
  <c r="E30" i="26"/>
  <c r="E29" i="26"/>
  <c r="E28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AO141" i="51"/>
  <c r="AN141" i="51"/>
  <c r="AO140" i="51"/>
  <c r="AN140" i="51"/>
  <c r="AO139" i="51"/>
  <c r="AN139" i="51"/>
  <c r="AP139" i="51" s="1"/>
  <c r="AQ139" i="51" s="1"/>
  <c r="AO138" i="51"/>
  <c r="AN138" i="51"/>
  <c r="AP138" i="51" s="1"/>
  <c r="AQ138" i="51" s="1"/>
  <c r="AO137" i="51"/>
  <c r="AN137" i="51"/>
  <c r="AO136" i="51"/>
  <c r="AN136" i="51"/>
  <c r="AO135" i="51"/>
  <c r="AN135" i="51"/>
  <c r="AP135" i="51" s="1"/>
  <c r="AQ135" i="51" s="1"/>
  <c r="AO134" i="51"/>
  <c r="AN134" i="51"/>
  <c r="AP134" i="51" s="1"/>
  <c r="AQ134" i="51" s="1"/>
  <c r="AO133" i="51"/>
  <c r="AN133" i="51"/>
  <c r="AO132" i="51"/>
  <c r="AN132" i="51"/>
  <c r="AO131" i="51"/>
  <c r="AN131" i="51"/>
  <c r="AP131" i="51" s="1"/>
  <c r="AQ131" i="51" s="1"/>
  <c r="AO130" i="51"/>
  <c r="AN130" i="51"/>
  <c r="AP130" i="51" s="1"/>
  <c r="AQ130" i="51" s="1"/>
  <c r="AO129" i="51"/>
  <c r="AN129" i="51"/>
  <c r="AO128" i="51"/>
  <c r="AN128" i="51"/>
  <c r="AO127" i="51"/>
  <c r="AN127" i="51"/>
  <c r="AP127" i="51" s="1"/>
  <c r="AQ127" i="51" s="1"/>
  <c r="AO126" i="51"/>
  <c r="AN126" i="51"/>
  <c r="AP126" i="51" s="1"/>
  <c r="AQ126" i="51" s="1"/>
  <c r="AO125" i="51"/>
  <c r="AN125" i="51"/>
  <c r="AO124" i="51"/>
  <c r="AN124" i="51"/>
  <c r="AO123" i="51"/>
  <c r="AN123" i="51"/>
  <c r="AO122" i="51"/>
  <c r="AN122" i="51"/>
  <c r="AP122" i="51" s="1"/>
  <c r="AQ122" i="51" s="1"/>
  <c r="AO121" i="51"/>
  <c r="AN121" i="51"/>
  <c r="AO120" i="51"/>
  <c r="AN120" i="51"/>
  <c r="AO119" i="51"/>
  <c r="AN119" i="51"/>
  <c r="AP119" i="51" s="1"/>
  <c r="AQ119" i="51" s="1"/>
  <c r="AO118" i="51"/>
  <c r="AN118" i="51"/>
  <c r="AP118" i="51" s="1"/>
  <c r="AQ118" i="51" s="1"/>
  <c r="AO117" i="51"/>
  <c r="AN117" i="51"/>
  <c r="AP117" i="51" s="1"/>
  <c r="AQ117" i="51" s="1"/>
  <c r="AO116" i="51"/>
  <c r="AN116" i="51"/>
  <c r="AO115" i="51"/>
  <c r="AN115" i="51"/>
  <c r="AP115" i="51" s="1"/>
  <c r="AQ115" i="51" s="1"/>
  <c r="AO114" i="51"/>
  <c r="AN114" i="51"/>
  <c r="AP114" i="51" s="1"/>
  <c r="AQ114" i="51" s="1"/>
  <c r="AO113" i="51"/>
  <c r="AN113" i="51"/>
  <c r="AO112" i="51"/>
  <c r="AN112" i="51"/>
  <c r="AO111" i="51"/>
  <c r="AN111" i="51"/>
  <c r="AP111" i="51" s="1"/>
  <c r="AQ111" i="51" s="1"/>
  <c r="AO110" i="51"/>
  <c r="AN110" i="51"/>
  <c r="AP110" i="51" s="1"/>
  <c r="AQ110" i="51" s="1"/>
  <c r="AO109" i="51"/>
  <c r="AN109" i="51"/>
  <c r="AO108" i="51"/>
  <c r="AN108" i="51"/>
  <c r="AO107" i="51"/>
  <c r="AN107" i="51"/>
  <c r="AO106" i="51"/>
  <c r="AN106" i="51"/>
  <c r="AO105" i="51"/>
  <c r="AN105" i="51"/>
  <c r="AO104" i="51"/>
  <c r="AN104" i="51"/>
  <c r="AO103" i="51"/>
  <c r="AN103" i="51"/>
  <c r="AP103" i="51" s="1"/>
  <c r="AQ103" i="51" s="1"/>
  <c r="AO102" i="51"/>
  <c r="AN102" i="51"/>
  <c r="AO101" i="51"/>
  <c r="AN101" i="51"/>
  <c r="AO100" i="51"/>
  <c r="AN100" i="51"/>
  <c r="AO99" i="51"/>
  <c r="AN99" i="51"/>
  <c r="AP99" i="51" s="1"/>
  <c r="AQ99" i="51" s="1"/>
  <c r="AO98" i="51"/>
  <c r="AN98" i="51"/>
  <c r="AP98" i="51" s="1"/>
  <c r="AQ98" i="51" s="1"/>
  <c r="AO97" i="51"/>
  <c r="AN97" i="51"/>
  <c r="AO96" i="51"/>
  <c r="AN96" i="51"/>
  <c r="AO95" i="51"/>
  <c r="AN95" i="51"/>
  <c r="AP95" i="51" s="1"/>
  <c r="AQ95" i="51" s="1"/>
  <c r="AO94" i="51"/>
  <c r="AN94" i="51"/>
  <c r="AP94" i="51" s="1"/>
  <c r="AQ94" i="51" s="1"/>
  <c r="AO93" i="51"/>
  <c r="AN93" i="51"/>
  <c r="AO92" i="51"/>
  <c r="AN92" i="51"/>
  <c r="AO91" i="51"/>
  <c r="AN91" i="51"/>
  <c r="AP91" i="51" s="1"/>
  <c r="AQ91" i="51" s="1"/>
  <c r="AO90" i="51"/>
  <c r="AN90" i="51"/>
  <c r="AP90" i="51" s="1"/>
  <c r="AQ90" i="51" s="1"/>
  <c r="AO89" i="51"/>
  <c r="AN89" i="51"/>
  <c r="AO88" i="51"/>
  <c r="AN88" i="51"/>
  <c r="AO87" i="51"/>
  <c r="AN87" i="51"/>
  <c r="AP87" i="51" s="1"/>
  <c r="AQ87" i="51" s="1"/>
  <c r="AO86" i="51"/>
  <c r="AN86" i="51"/>
  <c r="AP86" i="51" s="1"/>
  <c r="AQ86" i="51" s="1"/>
  <c r="AO85" i="51"/>
  <c r="AN85" i="51"/>
  <c r="AO84" i="51"/>
  <c r="AN84" i="51"/>
  <c r="AO83" i="51"/>
  <c r="AN83" i="51"/>
  <c r="AP83" i="51" s="1"/>
  <c r="AQ83" i="51" s="1"/>
  <c r="AO82" i="51"/>
  <c r="AN82" i="51"/>
  <c r="AP82" i="51" s="1"/>
  <c r="AQ82" i="51" s="1"/>
  <c r="AO81" i="51"/>
  <c r="AN81" i="51"/>
  <c r="AO80" i="51"/>
  <c r="AN80" i="51"/>
  <c r="AO79" i="51"/>
  <c r="AN79" i="51"/>
  <c r="AP79" i="51" s="1"/>
  <c r="AQ79" i="51" s="1"/>
  <c r="AO78" i="51"/>
  <c r="AN78" i="51"/>
  <c r="AP78" i="51" s="1"/>
  <c r="AQ78" i="51" s="1"/>
  <c r="AO77" i="51"/>
  <c r="AN77" i="51"/>
  <c r="AO76" i="51"/>
  <c r="AN76" i="51"/>
  <c r="AP76" i="51" s="1"/>
  <c r="AQ76" i="51" s="1"/>
  <c r="AO75" i="51"/>
  <c r="AN75" i="51"/>
  <c r="AP75" i="51" s="1"/>
  <c r="AQ75" i="51" s="1"/>
  <c r="AO74" i="51"/>
  <c r="AN74" i="51"/>
  <c r="AP74" i="51" s="1"/>
  <c r="AQ74" i="51" s="1"/>
  <c r="AO73" i="51"/>
  <c r="AN73" i="51"/>
  <c r="AO72" i="51"/>
  <c r="AN72" i="51"/>
  <c r="AO71" i="51"/>
  <c r="AN71" i="51"/>
  <c r="AP71" i="51" s="1"/>
  <c r="AQ71" i="51" s="1"/>
  <c r="AO70" i="51"/>
  <c r="AN70" i="51"/>
  <c r="AP70" i="51" s="1"/>
  <c r="AQ70" i="51" s="1"/>
  <c r="AO69" i="51"/>
  <c r="AN69" i="51"/>
  <c r="AO68" i="51"/>
  <c r="AN68" i="51"/>
  <c r="AO67" i="51"/>
  <c r="AN67" i="51"/>
  <c r="AP67" i="51" s="1"/>
  <c r="AQ67" i="51" s="1"/>
  <c r="AO66" i="51"/>
  <c r="AN66" i="51"/>
  <c r="AP66" i="51" s="1"/>
  <c r="AQ66" i="51" s="1"/>
  <c r="AO65" i="51"/>
  <c r="AN65" i="51"/>
  <c r="AO64" i="51"/>
  <c r="AN64" i="51"/>
  <c r="AO63" i="51"/>
  <c r="AN63" i="51"/>
  <c r="AP63" i="51" s="1"/>
  <c r="AQ63" i="51" s="1"/>
  <c r="AO62" i="51"/>
  <c r="AN62" i="51"/>
  <c r="AP62" i="51" s="1"/>
  <c r="AQ62" i="51" s="1"/>
  <c r="AO61" i="51"/>
  <c r="AN61" i="51"/>
  <c r="AO60" i="51"/>
  <c r="AN60" i="51"/>
  <c r="AO59" i="51"/>
  <c r="AN59" i="51"/>
  <c r="AP59" i="51" s="1"/>
  <c r="AQ59" i="51" s="1"/>
  <c r="AO58" i="51"/>
  <c r="AN58" i="51"/>
  <c r="AP58" i="51" s="1"/>
  <c r="AQ58" i="51" s="1"/>
  <c r="AO57" i="51"/>
  <c r="AN57" i="51"/>
  <c r="AO56" i="51"/>
  <c r="AN56" i="51"/>
  <c r="AO55" i="51"/>
  <c r="AN55" i="51"/>
  <c r="AO54" i="51"/>
  <c r="AN54" i="51"/>
  <c r="AP54" i="51" s="1"/>
  <c r="AQ54" i="51" s="1"/>
  <c r="AO53" i="51"/>
  <c r="AN53" i="51"/>
  <c r="AO52" i="51"/>
  <c r="AN52" i="51"/>
  <c r="AO51" i="51"/>
  <c r="AN51" i="51"/>
  <c r="AP51" i="51" s="1"/>
  <c r="AQ51" i="51" s="1"/>
  <c r="AO50" i="51"/>
  <c r="AN50" i="51"/>
  <c r="AP50" i="51" s="1"/>
  <c r="AQ50" i="51" s="1"/>
  <c r="AO49" i="51"/>
  <c r="AN49" i="51"/>
  <c r="AO48" i="51"/>
  <c r="AN48" i="51"/>
  <c r="AO47" i="51"/>
  <c r="AN47" i="51"/>
  <c r="AP47" i="51" s="1"/>
  <c r="AQ47" i="51" s="1"/>
  <c r="AO46" i="51"/>
  <c r="AN46" i="51"/>
  <c r="AP46" i="51" s="1"/>
  <c r="AQ46" i="51" s="1"/>
  <c r="AO45" i="51"/>
  <c r="AN45" i="51"/>
  <c r="AO44" i="51"/>
  <c r="AN44" i="51"/>
  <c r="AP44" i="51" s="1"/>
  <c r="AQ44" i="51" s="1"/>
  <c r="AO43" i="51"/>
  <c r="AN43" i="51"/>
  <c r="AP43" i="51" s="1"/>
  <c r="AQ43" i="51" s="1"/>
  <c r="AO42" i="51"/>
  <c r="AN42" i="51"/>
  <c r="AP42" i="51" s="1"/>
  <c r="AQ42" i="51" s="1"/>
  <c r="AO41" i="51"/>
  <c r="AN41" i="51"/>
  <c r="AO40" i="51"/>
  <c r="AN40" i="51"/>
  <c r="AP40" i="51" s="1"/>
  <c r="AQ40" i="51" s="1"/>
  <c r="AO39" i="51"/>
  <c r="AN39" i="51"/>
  <c r="AP39" i="51" s="1"/>
  <c r="AQ39" i="51" s="1"/>
  <c r="AO38" i="51"/>
  <c r="AN38" i="51"/>
  <c r="AP38" i="51" s="1"/>
  <c r="AQ38" i="51" s="1"/>
  <c r="AO37" i="51"/>
  <c r="AN37" i="51"/>
  <c r="AO36" i="51"/>
  <c r="AN36" i="51"/>
  <c r="AO35" i="51"/>
  <c r="AN35" i="51"/>
  <c r="AP35" i="51" s="1"/>
  <c r="AQ35" i="51" s="1"/>
  <c r="AO34" i="51"/>
  <c r="AN34" i="51"/>
  <c r="AP34" i="51" s="1"/>
  <c r="AQ34" i="51" s="1"/>
  <c r="AO33" i="51"/>
  <c r="AN33" i="51"/>
  <c r="AO32" i="51"/>
  <c r="AN32" i="51"/>
  <c r="AP32" i="51" s="1"/>
  <c r="AQ32" i="51" s="1"/>
  <c r="AO31" i="51"/>
  <c r="AN31" i="51"/>
  <c r="AP31" i="51" s="1"/>
  <c r="AQ31" i="51" s="1"/>
  <c r="AO30" i="51"/>
  <c r="AN30" i="51"/>
  <c r="AP30" i="51" s="1"/>
  <c r="AQ30" i="51" s="1"/>
  <c r="AO29" i="51"/>
  <c r="AN29" i="51"/>
  <c r="AO28" i="51"/>
  <c r="AN28" i="51"/>
  <c r="AP28" i="51" s="1"/>
  <c r="AQ28" i="51" s="1"/>
  <c r="AO27" i="51"/>
  <c r="AN27" i="51"/>
  <c r="AP27" i="51" s="1"/>
  <c r="AQ27" i="51" s="1"/>
  <c r="AO26" i="51"/>
  <c r="AN26" i="51"/>
  <c r="AP26" i="51" s="1"/>
  <c r="AQ26" i="51" s="1"/>
  <c r="AO25" i="51"/>
  <c r="AN25" i="51"/>
  <c r="AO24" i="51"/>
  <c r="AN24" i="51"/>
  <c r="AP24" i="51" s="1"/>
  <c r="AQ24" i="51" s="1"/>
  <c r="AO23" i="51"/>
  <c r="AN23" i="51"/>
  <c r="AP23" i="51" s="1"/>
  <c r="AQ23" i="51" s="1"/>
  <c r="AO22" i="51"/>
  <c r="AN22" i="51"/>
  <c r="AP22" i="51" s="1"/>
  <c r="AQ22" i="51" s="1"/>
  <c r="AO21" i="51"/>
  <c r="AN21" i="51"/>
  <c r="AO20" i="51"/>
  <c r="AN20" i="51"/>
  <c r="AP20" i="51" s="1"/>
  <c r="AQ20" i="51" s="1"/>
  <c r="AO19" i="51"/>
  <c r="AN19" i="51"/>
  <c r="AP19" i="51" s="1"/>
  <c r="AQ19" i="51" s="1"/>
  <c r="AO18" i="51"/>
  <c r="AN18" i="51"/>
  <c r="AP18" i="51" s="1"/>
  <c r="AQ18" i="51" s="1"/>
  <c r="AO17" i="51"/>
  <c r="AN17" i="51"/>
  <c r="AO16" i="51"/>
  <c r="AN16" i="51"/>
  <c r="AP16" i="51" s="1"/>
  <c r="AQ16" i="51" s="1"/>
  <c r="AO15" i="51"/>
  <c r="AN15" i="51"/>
  <c r="AP15" i="51" s="1"/>
  <c r="AQ15" i="51" s="1"/>
  <c r="AO14" i="51"/>
  <c r="AN14" i="51"/>
  <c r="AP14" i="51" s="1"/>
  <c r="AQ14" i="51" s="1"/>
  <c r="AO13" i="51"/>
  <c r="AN13" i="51"/>
  <c r="AO12" i="51"/>
  <c r="AN12" i="51"/>
  <c r="AP12" i="51" s="1"/>
  <c r="AQ12" i="51" s="1"/>
  <c r="AO11" i="51"/>
  <c r="AN11" i="51"/>
  <c r="AP11" i="51" s="1"/>
  <c r="AQ11" i="51" s="1"/>
  <c r="AO10" i="51"/>
  <c r="AN10" i="51"/>
  <c r="AP10" i="51" s="1"/>
  <c r="AQ10" i="51" s="1"/>
  <c r="AO9" i="51"/>
  <c r="AN9" i="51"/>
  <c r="AO8" i="51"/>
  <c r="AN8" i="51"/>
  <c r="AP8" i="51" s="1"/>
  <c r="AQ8" i="51" s="1"/>
  <c r="AO7" i="51"/>
  <c r="AN7" i="51"/>
  <c r="AP7" i="51" s="1"/>
  <c r="AQ7" i="51" s="1"/>
  <c r="AO6" i="51"/>
  <c r="AN6" i="51"/>
  <c r="AP6" i="51" s="1"/>
  <c r="AQ6" i="51" s="1"/>
  <c r="AO5" i="51"/>
  <c r="AN5" i="51"/>
  <c r="AO4" i="51"/>
  <c r="AN4" i="51"/>
  <c r="AP4" i="51" s="1"/>
  <c r="H300" i="51"/>
  <c r="H299" i="51"/>
  <c r="H298" i="51"/>
  <c r="H297" i="51"/>
  <c r="H296" i="51"/>
  <c r="H295" i="51"/>
  <c r="H294" i="51"/>
  <c r="H293" i="51"/>
  <c r="H292" i="51"/>
  <c r="H291" i="51"/>
  <c r="H290" i="51"/>
  <c r="H289" i="51"/>
  <c r="H288" i="51"/>
  <c r="H287" i="51"/>
  <c r="H286" i="51"/>
  <c r="H285" i="51"/>
  <c r="H284" i="51"/>
  <c r="H283" i="51"/>
  <c r="H282" i="51"/>
  <c r="H281" i="51"/>
  <c r="H280" i="51"/>
  <c r="H279" i="51"/>
  <c r="H278" i="51"/>
  <c r="H277" i="51"/>
  <c r="H276" i="51"/>
  <c r="H275" i="51"/>
  <c r="H274" i="51"/>
  <c r="H273" i="51"/>
  <c r="H272" i="51"/>
  <c r="H271" i="51"/>
  <c r="H270" i="51"/>
  <c r="H269" i="51"/>
  <c r="H268" i="51"/>
  <c r="H267" i="51"/>
  <c r="H266" i="51"/>
  <c r="H265" i="51"/>
  <c r="H264" i="51"/>
  <c r="H263" i="51"/>
  <c r="H262" i="51"/>
  <c r="H261" i="51"/>
  <c r="H260" i="51"/>
  <c r="H259" i="51"/>
  <c r="H258" i="51"/>
  <c r="H257" i="51"/>
  <c r="H256" i="51"/>
  <c r="H255" i="51"/>
  <c r="H254" i="51"/>
  <c r="H253" i="51"/>
  <c r="H252" i="51"/>
  <c r="H251" i="51"/>
  <c r="H250" i="51"/>
  <c r="H249" i="51"/>
  <c r="H248" i="51"/>
  <c r="H247" i="51"/>
  <c r="H246" i="51"/>
  <c r="H245" i="51"/>
  <c r="H244" i="51"/>
  <c r="H243" i="51"/>
  <c r="H242" i="51"/>
  <c r="H241" i="51"/>
  <c r="H240" i="51"/>
  <c r="H239" i="51"/>
  <c r="H238" i="51"/>
  <c r="H237" i="51"/>
  <c r="H236" i="51"/>
  <c r="H235" i="51"/>
  <c r="H234" i="51"/>
  <c r="H233" i="51"/>
  <c r="H232" i="51"/>
  <c r="H231" i="51"/>
  <c r="H230" i="51"/>
  <c r="H229" i="51"/>
  <c r="H228" i="51"/>
  <c r="H227" i="51"/>
  <c r="H226" i="51"/>
  <c r="H225" i="51"/>
  <c r="H224" i="51"/>
  <c r="H223" i="51"/>
  <c r="H222" i="51"/>
  <c r="H221" i="51"/>
  <c r="H220" i="51"/>
  <c r="H219" i="51"/>
  <c r="H218" i="51"/>
  <c r="H217" i="51"/>
  <c r="H216" i="51"/>
  <c r="H215" i="51"/>
  <c r="H214" i="51"/>
  <c r="H213" i="51"/>
  <c r="H212" i="51"/>
  <c r="H211" i="51"/>
  <c r="H210" i="51"/>
  <c r="H209" i="51"/>
  <c r="H208" i="51"/>
  <c r="H207" i="51"/>
  <c r="H206" i="51"/>
  <c r="H205" i="51"/>
  <c r="H204" i="51"/>
  <c r="H203" i="51"/>
  <c r="H202" i="51"/>
  <c r="H201" i="51"/>
  <c r="H200" i="51"/>
  <c r="H199" i="51"/>
  <c r="H198" i="51"/>
  <c r="H197" i="51"/>
  <c r="H196" i="51"/>
  <c r="H195" i="51"/>
  <c r="H194" i="51"/>
  <c r="H193" i="51"/>
  <c r="H192" i="51"/>
  <c r="H191" i="51"/>
  <c r="H190" i="51"/>
  <c r="H189" i="51"/>
  <c r="H188" i="51"/>
  <c r="H187" i="51"/>
  <c r="H186" i="51"/>
  <c r="H185" i="51"/>
  <c r="H184" i="51"/>
  <c r="H183" i="51"/>
  <c r="H182" i="51"/>
  <c r="H181" i="51"/>
  <c r="H180" i="51"/>
  <c r="H179" i="51"/>
  <c r="H178" i="51"/>
  <c r="H177" i="51"/>
  <c r="H176" i="51"/>
  <c r="H175" i="51"/>
  <c r="H174" i="51"/>
  <c r="H173" i="51"/>
  <c r="H172" i="51"/>
  <c r="H171" i="51"/>
  <c r="H170" i="51"/>
  <c r="H169" i="51"/>
  <c r="H168" i="51"/>
  <c r="H167" i="51"/>
  <c r="H166" i="51"/>
  <c r="H165" i="51"/>
  <c r="H164" i="51"/>
  <c r="H163" i="51"/>
  <c r="H162" i="51"/>
  <c r="H161" i="51"/>
  <c r="H160" i="51"/>
  <c r="H159" i="51"/>
  <c r="H158" i="51"/>
  <c r="H157" i="51"/>
  <c r="H156" i="51"/>
  <c r="H155" i="51"/>
  <c r="H154" i="51"/>
  <c r="H153" i="51"/>
  <c r="H152" i="51"/>
  <c r="H151" i="51"/>
  <c r="H150" i="51"/>
  <c r="H149" i="51"/>
  <c r="H148" i="51"/>
  <c r="H147" i="51"/>
  <c r="H146" i="51"/>
  <c r="H145" i="51"/>
  <c r="H144" i="51"/>
  <c r="H143" i="51"/>
  <c r="H142" i="51"/>
  <c r="AP141" i="51"/>
  <c r="AQ141" i="51" s="1"/>
  <c r="H141" i="51"/>
  <c r="AP140" i="51"/>
  <c r="AQ140" i="51" s="1"/>
  <c r="H140" i="51"/>
  <c r="H139" i="51"/>
  <c r="H138" i="51"/>
  <c r="AP137" i="51"/>
  <c r="AQ137" i="51" s="1"/>
  <c r="H137" i="51"/>
  <c r="H136" i="51"/>
  <c r="H135" i="51"/>
  <c r="H134" i="51"/>
  <c r="AP133" i="51"/>
  <c r="AQ133" i="51" s="1"/>
  <c r="H133" i="51"/>
  <c r="H132" i="51"/>
  <c r="H131" i="51"/>
  <c r="H130" i="51"/>
  <c r="AP129" i="51"/>
  <c r="AQ129" i="51" s="1"/>
  <c r="H129" i="51"/>
  <c r="H128" i="51"/>
  <c r="H127" i="51"/>
  <c r="H126" i="51"/>
  <c r="AP125" i="51"/>
  <c r="AQ125" i="51" s="1"/>
  <c r="H125" i="51"/>
  <c r="H124" i="51"/>
  <c r="AP123" i="51"/>
  <c r="AQ123" i="51" s="1"/>
  <c r="H123" i="51"/>
  <c r="H122" i="51"/>
  <c r="AP121" i="51"/>
  <c r="AQ121" i="51" s="1"/>
  <c r="H121" i="51"/>
  <c r="H120" i="51"/>
  <c r="H119" i="51"/>
  <c r="H118" i="51"/>
  <c r="H117" i="51"/>
  <c r="H116" i="51"/>
  <c r="H115" i="51"/>
  <c r="H114" i="51"/>
  <c r="AP113" i="51"/>
  <c r="AQ113" i="51" s="1"/>
  <c r="H113" i="51"/>
  <c r="H112" i="51"/>
  <c r="H111" i="51"/>
  <c r="H110" i="51"/>
  <c r="AP109" i="51"/>
  <c r="AQ109" i="51" s="1"/>
  <c r="H109" i="51"/>
  <c r="AP108" i="51"/>
  <c r="AQ108" i="51" s="1"/>
  <c r="H108" i="51"/>
  <c r="AP107" i="51"/>
  <c r="AQ107" i="51" s="1"/>
  <c r="H107" i="51"/>
  <c r="AP106" i="51"/>
  <c r="AQ106" i="51" s="1"/>
  <c r="H106" i="51"/>
  <c r="AP105" i="51"/>
  <c r="AQ105" i="51" s="1"/>
  <c r="H105" i="51"/>
  <c r="H104" i="51"/>
  <c r="H103" i="51"/>
  <c r="AP102" i="51"/>
  <c r="AQ102" i="51" s="1"/>
  <c r="H102" i="51"/>
  <c r="AP101" i="51"/>
  <c r="AQ101" i="51" s="1"/>
  <c r="H101" i="51"/>
  <c r="H100" i="51"/>
  <c r="H99" i="51"/>
  <c r="H98" i="51"/>
  <c r="AP97" i="51"/>
  <c r="AQ97" i="51" s="1"/>
  <c r="H97" i="51"/>
  <c r="H96" i="51"/>
  <c r="H95" i="51"/>
  <c r="H94" i="51"/>
  <c r="AP93" i="51"/>
  <c r="AQ93" i="51" s="1"/>
  <c r="H93" i="51"/>
  <c r="H92" i="51"/>
  <c r="H91" i="51"/>
  <c r="H90" i="51"/>
  <c r="AP89" i="51"/>
  <c r="AQ89" i="51" s="1"/>
  <c r="H89" i="51"/>
  <c r="H88" i="51"/>
  <c r="H87" i="51"/>
  <c r="H86" i="51"/>
  <c r="AP85" i="51"/>
  <c r="AQ85" i="51" s="1"/>
  <c r="H85" i="51"/>
  <c r="AP84" i="51"/>
  <c r="AQ84" i="51" s="1"/>
  <c r="H84" i="51"/>
  <c r="H83" i="51"/>
  <c r="H82" i="51"/>
  <c r="AP81" i="51"/>
  <c r="AQ81" i="51" s="1"/>
  <c r="H81" i="51"/>
  <c r="H80" i="51"/>
  <c r="H79" i="51"/>
  <c r="H78" i="51"/>
  <c r="AP77" i="51"/>
  <c r="AQ77" i="51" s="1"/>
  <c r="H77" i="51"/>
  <c r="H76" i="51"/>
  <c r="H75" i="51"/>
  <c r="H74" i="51"/>
  <c r="AP73" i="51"/>
  <c r="AQ73" i="51" s="1"/>
  <c r="H73" i="51"/>
  <c r="H72" i="51"/>
  <c r="H71" i="51"/>
  <c r="H70" i="51"/>
  <c r="AP69" i="51"/>
  <c r="AQ69" i="51" s="1"/>
  <c r="H69" i="51"/>
  <c r="H68" i="51"/>
  <c r="H67" i="51"/>
  <c r="H66" i="51"/>
  <c r="AP65" i="51"/>
  <c r="AQ65" i="51" s="1"/>
  <c r="H65" i="51"/>
  <c r="H64" i="51"/>
  <c r="H63" i="51"/>
  <c r="H62" i="51"/>
  <c r="AP61" i="51"/>
  <c r="AQ61" i="51" s="1"/>
  <c r="H61" i="51"/>
  <c r="AP60" i="51"/>
  <c r="AQ60" i="51" s="1"/>
  <c r="H60" i="51"/>
  <c r="H59" i="51"/>
  <c r="H58" i="51"/>
  <c r="H57" i="51"/>
  <c r="AP56" i="51"/>
  <c r="AQ56" i="51" s="1"/>
  <c r="H56" i="51"/>
  <c r="AP55" i="51"/>
  <c r="AQ55" i="51" s="1"/>
  <c r="H55" i="51"/>
  <c r="H54" i="51"/>
  <c r="AP53" i="51"/>
  <c r="AQ53" i="51" s="1"/>
  <c r="H53" i="51"/>
  <c r="AP52" i="51"/>
  <c r="AQ52" i="51" s="1"/>
  <c r="H52" i="51"/>
  <c r="H51" i="51"/>
  <c r="H50" i="51"/>
  <c r="AP49" i="51"/>
  <c r="AQ49" i="51" s="1"/>
  <c r="H49" i="51"/>
  <c r="AP48" i="51"/>
  <c r="AQ48" i="51" s="1"/>
  <c r="H48" i="51"/>
  <c r="H47" i="51"/>
  <c r="H46" i="51"/>
  <c r="AP45" i="51"/>
  <c r="AQ45" i="51" s="1"/>
  <c r="H45" i="51"/>
  <c r="H44" i="51"/>
  <c r="H43" i="51"/>
  <c r="H42" i="51"/>
  <c r="AP41" i="51"/>
  <c r="AQ41" i="51" s="1"/>
  <c r="H41" i="51"/>
  <c r="H40" i="51"/>
  <c r="H39" i="51"/>
  <c r="H38" i="51"/>
  <c r="AP37" i="51"/>
  <c r="AQ37" i="51" s="1"/>
  <c r="H37" i="51"/>
  <c r="H36" i="51"/>
  <c r="H35" i="51"/>
  <c r="H34" i="51"/>
  <c r="AP33" i="51"/>
  <c r="AQ33" i="51" s="1"/>
  <c r="H33" i="51"/>
  <c r="H32" i="51"/>
  <c r="H31" i="51"/>
  <c r="H30" i="51"/>
  <c r="AP29" i="51"/>
  <c r="AQ29" i="51" s="1"/>
  <c r="H29" i="51"/>
  <c r="H28" i="51"/>
  <c r="H27" i="51"/>
  <c r="H26" i="51"/>
  <c r="AP25" i="51"/>
  <c r="AQ25" i="51" s="1"/>
  <c r="H25" i="51"/>
  <c r="H24" i="51"/>
  <c r="H23" i="51"/>
  <c r="H22" i="51"/>
  <c r="AP21" i="51"/>
  <c r="AQ21" i="51" s="1"/>
  <c r="H21" i="51"/>
  <c r="H20" i="51"/>
  <c r="H19" i="51"/>
  <c r="H18" i="51"/>
  <c r="AP17" i="51"/>
  <c r="AQ17" i="51" s="1"/>
  <c r="H17" i="51"/>
  <c r="H16" i="51"/>
  <c r="H15" i="51"/>
  <c r="H14" i="51"/>
  <c r="AP13" i="51"/>
  <c r="AQ13" i="51" s="1"/>
  <c r="H13" i="51"/>
  <c r="H12" i="51"/>
  <c r="H11" i="51"/>
  <c r="H10" i="51"/>
  <c r="AP9" i="51"/>
  <c r="AQ9" i="51" s="1"/>
  <c r="H9" i="51"/>
  <c r="H8" i="51"/>
  <c r="H7" i="51"/>
  <c r="H6" i="51"/>
  <c r="AP5" i="51"/>
  <c r="H5" i="51"/>
  <c r="H4" i="51"/>
  <c r="H3" i="51"/>
  <c r="K107" i="25"/>
  <c r="K106" i="25"/>
  <c r="K105" i="25"/>
  <c r="K104" i="25"/>
  <c r="K103" i="25"/>
  <c r="K102" i="25"/>
  <c r="K101" i="25"/>
  <c r="K97" i="25"/>
  <c r="K96" i="25"/>
  <c r="K95" i="25"/>
  <c r="K94" i="25"/>
  <c r="K93" i="25"/>
  <c r="K92" i="25"/>
  <c r="K91" i="25"/>
  <c r="K87" i="25"/>
  <c r="K86" i="25"/>
  <c r="K85" i="25"/>
  <c r="K84" i="25"/>
  <c r="K83" i="25"/>
  <c r="K82" i="25"/>
  <c r="K78" i="25"/>
  <c r="K77" i="25"/>
  <c r="K76" i="25"/>
  <c r="K75" i="25"/>
  <c r="K74" i="25"/>
  <c r="K73" i="25"/>
  <c r="K72" i="25"/>
  <c r="K71" i="25"/>
  <c r="K70" i="25"/>
  <c r="K69" i="25"/>
  <c r="K68" i="25"/>
  <c r="K64" i="25"/>
  <c r="K63" i="25"/>
  <c r="K62" i="25"/>
  <c r="K61" i="25"/>
  <c r="K60" i="25"/>
  <c r="K59" i="25"/>
  <c r="K58" i="25"/>
  <c r="K54" i="25"/>
  <c r="K53" i="25"/>
  <c r="K52" i="25"/>
  <c r="K51" i="25"/>
  <c r="K50" i="25"/>
  <c r="K49" i="25"/>
  <c r="K45" i="25"/>
  <c r="K44" i="25"/>
  <c r="K43" i="25"/>
  <c r="K42" i="25"/>
  <c r="K41" i="25"/>
  <c r="K40" i="25"/>
  <c r="K39" i="25"/>
  <c r="K35" i="25"/>
  <c r="K34" i="25"/>
  <c r="K33" i="25"/>
  <c r="K32" i="25"/>
  <c r="K31" i="25"/>
  <c r="K30" i="25"/>
  <c r="K29" i="25"/>
  <c r="K28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E107" i="25"/>
  <c r="E106" i="25"/>
  <c r="E105" i="25"/>
  <c r="E104" i="25"/>
  <c r="E103" i="25"/>
  <c r="E102" i="25"/>
  <c r="E101" i="25"/>
  <c r="E97" i="25"/>
  <c r="E96" i="25"/>
  <c r="E95" i="25"/>
  <c r="E94" i="25"/>
  <c r="E93" i="25"/>
  <c r="E92" i="25"/>
  <c r="E91" i="25"/>
  <c r="E87" i="25"/>
  <c r="E86" i="25"/>
  <c r="E85" i="25"/>
  <c r="E84" i="25"/>
  <c r="E83" i="25"/>
  <c r="E82" i="25"/>
  <c r="E78" i="25"/>
  <c r="E77" i="25"/>
  <c r="E76" i="25"/>
  <c r="E75" i="25"/>
  <c r="E74" i="25"/>
  <c r="E73" i="25"/>
  <c r="E72" i="25"/>
  <c r="E71" i="25"/>
  <c r="E70" i="25"/>
  <c r="E69" i="25"/>
  <c r="E68" i="25"/>
  <c r="E64" i="25"/>
  <c r="E63" i="25"/>
  <c r="E62" i="25"/>
  <c r="E61" i="25"/>
  <c r="E60" i="25"/>
  <c r="E59" i="25"/>
  <c r="E58" i="25"/>
  <c r="E54" i="25"/>
  <c r="E53" i="25"/>
  <c r="E52" i="25"/>
  <c r="E51" i="25"/>
  <c r="E50" i="25"/>
  <c r="E49" i="25"/>
  <c r="E45" i="25"/>
  <c r="E44" i="25"/>
  <c r="E43" i="25"/>
  <c r="E42" i="25"/>
  <c r="E41" i="25"/>
  <c r="E40" i="25"/>
  <c r="E39" i="25"/>
  <c r="E35" i="25"/>
  <c r="E34" i="25"/>
  <c r="E33" i="25"/>
  <c r="E32" i="25"/>
  <c r="E31" i="25"/>
  <c r="E30" i="25"/>
  <c r="E29" i="25"/>
  <c r="E28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AO141" i="50"/>
  <c r="AN141" i="50"/>
  <c r="AO140" i="50"/>
  <c r="AN140" i="50"/>
  <c r="AO139" i="50"/>
  <c r="AN139" i="50"/>
  <c r="AP139" i="50" s="1"/>
  <c r="AQ139" i="50" s="1"/>
  <c r="AO138" i="50"/>
  <c r="AN138" i="50"/>
  <c r="AO137" i="50"/>
  <c r="AN137" i="50"/>
  <c r="AO136" i="50"/>
  <c r="AN136" i="50"/>
  <c r="AO135" i="50"/>
  <c r="AN135" i="50"/>
  <c r="AP135" i="50" s="1"/>
  <c r="AQ135" i="50" s="1"/>
  <c r="AO134" i="50"/>
  <c r="AN134" i="50"/>
  <c r="AP134" i="50" s="1"/>
  <c r="AQ134" i="50" s="1"/>
  <c r="AO133" i="50"/>
  <c r="AN133" i="50"/>
  <c r="AO132" i="50"/>
  <c r="AN132" i="50"/>
  <c r="AP132" i="50" s="1"/>
  <c r="AQ132" i="50" s="1"/>
  <c r="AO131" i="50"/>
  <c r="AN131" i="50"/>
  <c r="AP131" i="50" s="1"/>
  <c r="AQ131" i="50" s="1"/>
  <c r="AO130" i="50"/>
  <c r="AN130" i="50"/>
  <c r="AP130" i="50" s="1"/>
  <c r="AQ130" i="50" s="1"/>
  <c r="AO129" i="50"/>
  <c r="AN129" i="50"/>
  <c r="AO128" i="50"/>
  <c r="AN128" i="50"/>
  <c r="AO127" i="50"/>
  <c r="AN127" i="50"/>
  <c r="AP127" i="50" s="1"/>
  <c r="AQ127" i="50" s="1"/>
  <c r="AO126" i="50"/>
  <c r="AN126" i="50"/>
  <c r="AP126" i="50" s="1"/>
  <c r="AQ126" i="50" s="1"/>
  <c r="AO125" i="50"/>
  <c r="AN125" i="50"/>
  <c r="AP125" i="50" s="1"/>
  <c r="AQ125" i="50" s="1"/>
  <c r="AO124" i="50"/>
  <c r="AN124" i="50"/>
  <c r="AP124" i="50" s="1"/>
  <c r="AQ124" i="50" s="1"/>
  <c r="AO123" i="50"/>
  <c r="AN123" i="50"/>
  <c r="AP123" i="50" s="1"/>
  <c r="AQ123" i="50" s="1"/>
  <c r="AO122" i="50"/>
  <c r="AN122" i="50"/>
  <c r="AO121" i="50"/>
  <c r="AN121" i="50"/>
  <c r="AO120" i="50"/>
  <c r="AN120" i="50"/>
  <c r="AO119" i="50"/>
  <c r="AN119" i="50"/>
  <c r="AP119" i="50" s="1"/>
  <c r="AQ119" i="50" s="1"/>
  <c r="AO118" i="50"/>
  <c r="AN118" i="50"/>
  <c r="AO117" i="50"/>
  <c r="AN117" i="50"/>
  <c r="AO116" i="50"/>
  <c r="AN116" i="50"/>
  <c r="AO115" i="50"/>
  <c r="AN115" i="50"/>
  <c r="AP115" i="50" s="1"/>
  <c r="AQ115" i="50" s="1"/>
  <c r="AO114" i="50"/>
  <c r="AN114" i="50"/>
  <c r="AP114" i="50" s="1"/>
  <c r="AQ114" i="50" s="1"/>
  <c r="AO113" i="50"/>
  <c r="AN113" i="50"/>
  <c r="AO112" i="50"/>
  <c r="AN112" i="50"/>
  <c r="AP112" i="50" s="1"/>
  <c r="AQ112" i="50" s="1"/>
  <c r="AO111" i="50"/>
  <c r="AN111" i="50"/>
  <c r="AP111" i="50" s="1"/>
  <c r="AQ111" i="50" s="1"/>
  <c r="AO110" i="50"/>
  <c r="AN110" i="50"/>
  <c r="AP110" i="50" s="1"/>
  <c r="AQ110" i="50" s="1"/>
  <c r="AO109" i="50"/>
  <c r="AN109" i="50"/>
  <c r="AO108" i="50"/>
  <c r="AN108" i="50"/>
  <c r="AP108" i="50" s="1"/>
  <c r="AQ108" i="50" s="1"/>
  <c r="AO107" i="50"/>
  <c r="AN107" i="50"/>
  <c r="AP107" i="50" s="1"/>
  <c r="AQ107" i="50" s="1"/>
  <c r="AO106" i="50"/>
  <c r="AN106" i="50"/>
  <c r="AP106" i="50" s="1"/>
  <c r="AQ106" i="50" s="1"/>
  <c r="AO105" i="50"/>
  <c r="AN105" i="50"/>
  <c r="AO104" i="50"/>
  <c r="AN104" i="50"/>
  <c r="AO103" i="50"/>
  <c r="AN103" i="50"/>
  <c r="AP103" i="50" s="1"/>
  <c r="AQ103" i="50" s="1"/>
  <c r="AO102" i="50"/>
  <c r="AN102" i="50"/>
  <c r="AO101" i="50"/>
  <c r="AN101" i="50"/>
  <c r="AO100" i="50"/>
  <c r="AN100" i="50"/>
  <c r="AO99" i="50"/>
  <c r="AN99" i="50"/>
  <c r="AO98" i="50"/>
  <c r="AN98" i="50"/>
  <c r="AO97" i="50"/>
  <c r="AN97" i="50"/>
  <c r="AO96" i="50"/>
  <c r="AN96" i="50"/>
  <c r="AO95" i="50"/>
  <c r="AN95" i="50"/>
  <c r="AO94" i="50"/>
  <c r="AN94" i="50"/>
  <c r="AO93" i="50"/>
  <c r="AN93" i="50"/>
  <c r="AO92" i="50"/>
  <c r="AN92" i="50"/>
  <c r="AO91" i="50"/>
  <c r="AN91" i="50"/>
  <c r="AO90" i="50"/>
  <c r="AN90" i="50"/>
  <c r="AO89" i="50"/>
  <c r="AN89" i="50"/>
  <c r="AO88" i="50"/>
  <c r="AN88" i="50"/>
  <c r="AO87" i="50"/>
  <c r="AN87" i="50"/>
  <c r="AO86" i="50"/>
  <c r="AN86" i="50"/>
  <c r="AP86" i="50" s="1"/>
  <c r="AQ86" i="50" s="1"/>
  <c r="AO85" i="50"/>
  <c r="AN85" i="50"/>
  <c r="AO84" i="50"/>
  <c r="AN84" i="50"/>
  <c r="AO83" i="50"/>
  <c r="AN83" i="50"/>
  <c r="AP83" i="50" s="1"/>
  <c r="AQ83" i="50" s="1"/>
  <c r="AO82" i="50"/>
  <c r="AN82" i="50"/>
  <c r="AO81" i="50"/>
  <c r="AN81" i="50"/>
  <c r="AO80" i="50"/>
  <c r="AN80" i="50"/>
  <c r="AO79" i="50"/>
  <c r="AN79" i="50"/>
  <c r="AO78" i="50"/>
  <c r="AN78" i="50"/>
  <c r="AP78" i="50" s="1"/>
  <c r="AQ78" i="50" s="1"/>
  <c r="AO77" i="50"/>
  <c r="AN77" i="50"/>
  <c r="AO76" i="50"/>
  <c r="AN76" i="50"/>
  <c r="AO75" i="50"/>
  <c r="AN75" i="50"/>
  <c r="AO74" i="50"/>
  <c r="AN74" i="50"/>
  <c r="AO73" i="50"/>
  <c r="AN73" i="50"/>
  <c r="AO72" i="50"/>
  <c r="AN72" i="50"/>
  <c r="AO71" i="50"/>
  <c r="AN71" i="50"/>
  <c r="AO70" i="50"/>
  <c r="AN70" i="50"/>
  <c r="AP70" i="50" s="1"/>
  <c r="AQ70" i="50" s="1"/>
  <c r="AO69" i="50"/>
  <c r="AN69" i="50"/>
  <c r="AO68" i="50"/>
  <c r="AN68" i="50"/>
  <c r="AO67" i="50"/>
  <c r="AN67" i="50"/>
  <c r="AP67" i="50" s="1"/>
  <c r="AQ67" i="50" s="1"/>
  <c r="AO66" i="50"/>
  <c r="AN66" i="50"/>
  <c r="AO65" i="50"/>
  <c r="AN65" i="50"/>
  <c r="AO64" i="50"/>
  <c r="AN64" i="50"/>
  <c r="AO63" i="50"/>
  <c r="AN63" i="50"/>
  <c r="AO62" i="50"/>
  <c r="AN62" i="50"/>
  <c r="AP62" i="50" s="1"/>
  <c r="AQ62" i="50" s="1"/>
  <c r="AO61" i="50"/>
  <c r="AN61" i="50"/>
  <c r="AO60" i="50"/>
  <c r="AN60" i="50"/>
  <c r="AO59" i="50"/>
  <c r="AN59" i="50"/>
  <c r="AP59" i="50" s="1"/>
  <c r="AQ59" i="50" s="1"/>
  <c r="AO58" i="50"/>
  <c r="AN58" i="50"/>
  <c r="AP58" i="50" s="1"/>
  <c r="AQ58" i="50" s="1"/>
  <c r="AO57" i="50"/>
  <c r="AN57" i="50"/>
  <c r="AO56" i="50"/>
  <c r="AN56" i="50"/>
  <c r="AO55" i="50"/>
  <c r="AN55" i="50"/>
  <c r="AO54" i="50"/>
  <c r="AN54" i="50"/>
  <c r="AP54" i="50" s="1"/>
  <c r="AQ54" i="50" s="1"/>
  <c r="AO53" i="50"/>
  <c r="AN53" i="50"/>
  <c r="AO52" i="50"/>
  <c r="AN52" i="50"/>
  <c r="AP52" i="50" s="1"/>
  <c r="AQ52" i="50" s="1"/>
  <c r="AO51" i="50"/>
  <c r="AN51" i="50"/>
  <c r="AP51" i="50" s="1"/>
  <c r="AQ51" i="50" s="1"/>
  <c r="AO50" i="50"/>
  <c r="AN50" i="50"/>
  <c r="AO49" i="50"/>
  <c r="AN49" i="50"/>
  <c r="AO48" i="50"/>
  <c r="AN48" i="50"/>
  <c r="AP48" i="50" s="1"/>
  <c r="AQ48" i="50" s="1"/>
  <c r="AO47" i="50"/>
  <c r="AN47" i="50"/>
  <c r="AP47" i="50" s="1"/>
  <c r="AQ47" i="50" s="1"/>
  <c r="AO46" i="50"/>
  <c r="AN46" i="50"/>
  <c r="AP46" i="50" s="1"/>
  <c r="AQ46" i="50" s="1"/>
  <c r="AO45" i="50"/>
  <c r="AN45" i="50"/>
  <c r="AO44" i="50"/>
  <c r="AN44" i="50"/>
  <c r="AP44" i="50" s="1"/>
  <c r="AQ44" i="50" s="1"/>
  <c r="AO43" i="50"/>
  <c r="AN43" i="50"/>
  <c r="AP43" i="50" s="1"/>
  <c r="AQ43" i="50" s="1"/>
  <c r="AO42" i="50"/>
  <c r="AN42" i="50"/>
  <c r="AP42" i="50" s="1"/>
  <c r="AQ42" i="50" s="1"/>
  <c r="AO41" i="50"/>
  <c r="AN41" i="50"/>
  <c r="AO40" i="50"/>
  <c r="AN40" i="50"/>
  <c r="AP40" i="50" s="1"/>
  <c r="AQ40" i="50" s="1"/>
  <c r="AO39" i="50"/>
  <c r="AN39" i="50"/>
  <c r="AP39" i="50" s="1"/>
  <c r="AQ39" i="50" s="1"/>
  <c r="AO38" i="50"/>
  <c r="AN38" i="50"/>
  <c r="AP38" i="50" s="1"/>
  <c r="AQ38" i="50" s="1"/>
  <c r="AO37" i="50"/>
  <c r="AN37" i="50"/>
  <c r="AO36" i="50"/>
  <c r="AN36" i="50"/>
  <c r="AP36" i="50" s="1"/>
  <c r="AQ36" i="50" s="1"/>
  <c r="AO35" i="50"/>
  <c r="AN35" i="50"/>
  <c r="AP35" i="50" s="1"/>
  <c r="AQ35" i="50" s="1"/>
  <c r="AO34" i="50"/>
  <c r="AN34" i="50"/>
  <c r="AP34" i="50" s="1"/>
  <c r="AQ34" i="50" s="1"/>
  <c r="AO33" i="50"/>
  <c r="AN33" i="50"/>
  <c r="AO32" i="50"/>
  <c r="AN32" i="50"/>
  <c r="AP32" i="50" s="1"/>
  <c r="AQ32" i="50" s="1"/>
  <c r="AO31" i="50"/>
  <c r="AN31" i="50"/>
  <c r="AP31" i="50" s="1"/>
  <c r="AQ31" i="50" s="1"/>
  <c r="AO30" i="50"/>
  <c r="AN30" i="50"/>
  <c r="AP30" i="50" s="1"/>
  <c r="AQ30" i="50" s="1"/>
  <c r="AO29" i="50"/>
  <c r="AN29" i="50"/>
  <c r="AO28" i="50"/>
  <c r="AN28" i="50"/>
  <c r="AP28" i="50" s="1"/>
  <c r="AQ28" i="50" s="1"/>
  <c r="AO27" i="50"/>
  <c r="AN27" i="50"/>
  <c r="AP27" i="50" s="1"/>
  <c r="AQ27" i="50" s="1"/>
  <c r="AO26" i="50"/>
  <c r="AN26" i="50"/>
  <c r="AP26" i="50" s="1"/>
  <c r="AQ26" i="50" s="1"/>
  <c r="AO25" i="50"/>
  <c r="AN25" i="50"/>
  <c r="AO24" i="50"/>
  <c r="AN24" i="50"/>
  <c r="AP24" i="50" s="1"/>
  <c r="AQ24" i="50" s="1"/>
  <c r="AO23" i="50"/>
  <c r="AN23" i="50"/>
  <c r="AP23" i="50" s="1"/>
  <c r="AQ23" i="50" s="1"/>
  <c r="AO22" i="50"/>
  <c r="AN22" i="50"/>
  <c r="AP22" i="50" s="1"/>
  <c r="AQ22" i="50" s="1"/>
  <c r="AO21" i="50"/>
  <c r="AN21" i="50"/>
  <c r="AO20" i="50"/>
  <c r="AN20" i="50"/>
  <c r="AP20" i="50" s="1"/>
  <c r="AQ20" i="50" s="1"/>
  <c r="AO19" i="50"/>
  <c r="AN19" i="50"/>
  <c r="AP19" i="50" s="1"/>
  <c r="AQ19" i="50" s="1"/>
  <c r="AO18" i="50"/>
  <c r="AN18" i="50"/>
  <c r="AP18" i="50" s="1"/>
  <c r="AQ18" i="50" s="1"/>
  <c r="AO17" i="50"/>
  <c r="AN17" i="50"/>
  <c r="AO16" i="50"/>
  <c r="AN16" i="50"/>
  <c r="AP16" i="50" s="1"/>
  <c r="AQ16" i="50" s="1"/>
  <c r="AO15" i="50"/>
  <c r="AN15" i="50"/>
  <c r="AP15" i="50" s="1"/>
  <c r="AQ15" i="50" s="1"/>
  <c r="AO14" i="50"/>
  <c r="AN14" i="50"/>
  <c r="AP14" i="50" s="1"/>
  <c r="AQ14" i="50" s="1"/>
  <c r="AO13" i="50"/>
  <c r="AN13" i="50"/>
  <c r="AO12" i="50"/>
  <c r="AN12" i="50"/>
  <c r="AP12" i="50" s="1"/>
  <c r="AQ12" i="50" s="1"/>
  <c r="AO11" i="50"/>
  <c r="AN11" i="50"/>
  <c r="AP11" i="50" s="1"/>
  <c r="AQ11" i="50" s="1"/>
  <c r="AO10" i="50"/>
  <c r="AN10" i="50"/>
  <c r="AP10" i="50" s="1"/>
  <c r="AQ10" i="50" s="1"/>
  <c r="AO9" i="50"/>
  <c r="AN9" i="50"/>
  <c r="AO8" i="50"/>
  <c r="AN8" i="50"/>
  <c r="AP8" i="50" s="1"/>
  <c r="AQ8" i="50" s="1"/>
  <c r="AO7" i="50"/>
  <c r="AN7" i="50"/>
  <c r="AP7" i="50" s="1"/>
  <c r="AQ7" i="50" s="1"/>
  <c r="AO6" i="50"/>
  <c r="AN6" i="50"/>
  <c r="AP6" i="50" s="1"/>
  <c r="AQ6" i="50" s="1"/>
  <c r="AO5" i="50"/>
  <c r="AN5" i="50"/>
  <c r="AO4" i="50"/>
  <c r="AN4" i="50"/>
  <c r="AP4" i="50" s="1"/>
  <c r="H300" i="50"/>
  <c r="H299" i="50"/>
  <c r="H298" i="50"/>
  <c r="H297" i="50"/>
  <c r="H296" i="50"/>
  <c r="H295" i="50"/>
  <c r="H294" i="50"/>
  <c r="H293" i="50"/>
  <c r="H292" i="50"/>
  <c r="H291" i="50"/>
  <c r="H290" i="50"/>
  <c r="H289" i="50"/>
  <c r="H288" i="50"/>
  <c r="H287" i="50"/>
  <c r="H286" i="50"/>
  <c r="H285" i="50"/>
  <c r="H284" i="50"/>
  <c r="H283" i="50"/>
  <c r="H282" i="50"/>
  <c r="H281" i="50"/>
  <c r="H280" i="50"/>
  <c r="H279" i="50"/>
  <c r="H278" i="50"/>
  <c r="H277" i="50"/>
  <c r="H276" i="50"/>
  <c r="H275" i="50"/>
  <c r="H274" i="50"/>
  <c r="H273" i="50"/>
  <c r="H272" i="50"/>
  <c r="H271" i="50"/>
  <c r="H270" i="50"/>
  <c r="H269" i="50"/>
  <c r="H268" i="50"/>
  <c r="H267" i="50"/>
  <c r="H266" i="50"/>
  <c r="H265" i="50"/>
  <c r="H264" i="50"/>
  <c r="H263" i="50"/>
  <c r="H262" i="50"/>
  <c r="H261" i="50"/>
  <c r="H260" i="50"/>
  <c r="H259" i="50"/>
  <c r="H258" i="50"/>
  <c r="H257" i="50"/>
  <c r="H256" i="50"/>
  <c r="H255" i="50"/>
  <c r="H254" i="50"/>
  <c r="H253" i="50"/>
  <c r="H252" i="50"/>
  <c r="H251" i="50"/>
  <c r="H250" i="50"/>
  <c r="H249" i="50"/>
  <c r="H248" i="50"/>
  <c r="H247" i="50"/>
  <c r="H246" i="50"/>
  <c r="H245" i="50"/>
  <c r="H244" i="50"/>
  <c r="H243" i="50"/>
  <c r="H242" i="50"/>
  <c r="H241" i="50"/>
  <c r="H240" i="50"/>
  <c r="H239" i="50"/>
  <c r="H238" i="50"/>
  <c r="H237" i="50"/>
  <c r="H236" i="50"/>
  <c r="H235" i="50"/>
  <c r="H234" i="50"/>
  <c r="H233" i="50"/>
  <c r="H232" i="50"/>
  <c r="H231" i="50"/>
  <c r="H230" i="50"/>
  <c r="H229" i="50"/>
  <c r="H228" i="50"/>
  <c r="H227" i="50"/>
  <c r="H226" i="50"/>
  <c r="H225" i="50"/>
  <c r="H224" i="50"/>
  <c r="H223" i="50"/>
  <c r="H222" i="50"/>
  <c r="H221" i="50"/>
  <c r="H220" i="50"/>
  <c r="H219" i="50"/>
  <c r="H218" i="50"/>
  <c r="H217" i="50"/>
  <c r="H216" i="50"/>
  <c r="H215" i="50"/>
  <c r="H214" i="50"/>
  <c r="H213" i="50"/>
  <c r="H212" i="50"/>
  <c r="H211" i="50"/>
  <c r="H210" i="50"/>
  <c r="H209" i="50"/>
  <c r="H208" i="50"/>
  <c r="H207" i="50"/>
  <c r="H206" i="50"/>
  <c r="H205" i="50"/>
  <c r="H204" i="50"/>
  <c r="H203" i="50"/>
  <c r="H202" i="50"/>
  <c r="H201" i="50"/>
  <c r="H200" i="50"/>
  <c r="H199" i="50"/>
  <c r="H198" i="50"/>
  <c r="H197" i="50"/>
  <c r="H196" i="50"/>
  <c r="H195" i="50"/>
  <c r="H194" i="50"/>
  <c r="H193" i="50"/>
  <c r="H192" i="50"/>
  <c r="H191" i="50"/>
  <c r="H190" i="50"/>
  <c r="H189" i="50"/>
  <c r="H188" i="50"/>
  <c r="H187" i="50"/>
  <c r="H186" i="50"/>
  <c r="H185" i="50"/>
  <c r="H184" i="50"/>
  <c r="H183" i="50"/>
  <c r="H182" i="50"/>
  <c r="H181" i="50"/>
  <c r="H180" i="50"/>
  <c r="H179" i="50"/>
  <c r="H178" i="50"/>
  <c r="H177" i="50"/>
  <c r="H176" i="50"/>
  <c r="H175" i="50"/>
  <c r="H174" i="50"/>
  <c r="H173" i="50"/>
  <c r="H172" i="50"/>
  <c r="H171" i="50"/>
  <c r="H170" i="50"/>
  <c r="H169" i="50"/>
  <c r="H168" i="50"/>
  <c r="H167" i="50"/>
  <c r="H166" i="50"/>
  <c r="H165" i="50"/>
  <c r="H164" i="50"/>
  <c r="H163" i="50"/>
  <c r="H162" i="50"/>
  <c r="H161" i="50"/>
  <c r="H160" i="50"/>
  <c r="H159" i="50"/>
  <c r="H158" i="50"/>
  <c r="H157" i="50"/>
  <c r="H156" i="50"/>
  <c r="H155" i="50"/>
  <c r="H154" i="50"/>
  <c r="H153" i="50"/>
  <c r="H152" i="50"/>
  <c r="H151" i="50"/>
  <c r="H150" i="50"/>
  <c r="H149" i="50"/>
  <c r="H148" i="50"/>
  <c r="H147" i="50"/>
  <c r="H146" i="50"/>
  <c r="H145" i="50"/>
  <c r="H144" i="50"/>
  <c r="H143" i="50"/>
  <c r="H142" i="50"/>
  <c r="AP141" i="50"/>
  <c r="AQ141" i="50" s="1"/>
  <c r="H141" i="50"/>
  <c r="AP140" i="50"/>
  <c r="AQ140" i="50" s="1"/>
  <c r="H140" i="50"/>
  <c r="H139" i="50"/>
  <c r="H138" i="50"/>
  <c r="AP137" i="50"/>
  <c r="AQ137" i="50" s="1"/>
  <c r="H137" i="50"/>
  <c r="H136" i="50"/>
  <c r="H135" i="50"/>
  <c r="H134" i="50"/>
  <c r="AP133" i="50"/>
  <c r="AQ133" i="50" s="1"/>
  <c r="H133" i="50"/>
  <c r="H132" i="50"/>
  <c r="H131" i="50"/>
  <c r="H130" i="50"/>
  <c r="AP129" i="50"/>
  <c r="AQ129" i="50" s="1"/>
  <c r="H129" i="50"/>
  <c r="H128" i="50"/>
  <c r="H127" i="50"/>
  <c r="H126" i="50"/>
  <c r="H125" i="50"/>
  <c r="H124" i="50"/>
  <c r="H123" i="50"/>
  <c r="H122" i="50"/>
  <c r="AP121" i="50"/>
  <c r="AQ121" i="50" s="1"/>
  <c r="H121" i="50"/>
  <c r="H120" i="50"/>
  <c r="H119" i="50"/>
  <c r="H118" i="50"/>
  <c r="AP117" i="50"/>
  <c r="AQ117" i="50" s="1"/>
  <c r="H117" i="50"/>
  <c r="AP116" i="50"/>
  <c r="AQ116" i="50" s="1"/>
  <c r="H116" i="50"/>
  <c r="H115" i="50"/>
  <c r="H114" i="50"/>
  <c r="AP113" i="50"/>
  <c r="AQ113" i="50" s="1"/>
  <c r="H113" i="50"/>
  <c r="H112" i="50"/>
  <c r="H111" i="50"/>
  <c r="H110" i="50"/>
  <c r="AP109" i="50"/>
  <c r="AQ109" i="50" s="1"/>
  <c r="H109" i="50"/>
  <c r="H108" i="50"/>
  <c r="H107" i="50"/>
  <c r="H106" i="50"/>
  <c r="AP105" i="50"/>
  <c r="AQ105" i="50" s="1"/>
  <c r="H105" i="50"/>
  <c r="H104" i="50"/>
  <c r="H103" i="50"/>
  <c r="AP102" i="50"/>
  <c r="AQ102" i="50" s="1"/>
  <c r="H102" i="50"/>
  <c r="AP101" i="50"/>
  <c r="AQ101" i="50" s="1"/>
  <c r="H101" i="50"/>
  <c r="AP100" i="50"/>
  <c r="AQ100" i="50" s="1"/>
  <c r="H100" i="50"/>
  <c r="H99" i="50"/>
  <c r="AP98" i="50"/>
  <c r="AQ98" i="50" s="1"/>
  <c r="H98" i="50"/>
  <c r="AP97" i="50"/>
  <c r="AQ97" i="50" s="1"/>
  <c r="H97" i="50"/>
  <c r="AP96" i="50"/>
  <c r="AQ96" i="50" s="1"/>
  <c r="H96" i="50"/>
  <c r="AP95" i="50"/>
  <c r="AQ95" i="50" s="1"/>
  <c r="H95" i="50"/>
  <c r="AP94" i="50"/>
  <c r="AQ94" i="50" s="1"/>
  <c r="H94" i="50"/>
  <c r="AP93" i="50"/>
  <c r="AQ93" i="50" s="1"/>
  <c r="H93" i="50"/>
  <c r="AP92" i="50"/>
  <c r="AQ92" i="50" s="1"/>
  <c r="H92" i="50"/>
  <c r="AP91" i="50"/>
  <c r="AQ91" i="50" s="1"/>
  <c r="H91" i="50"/>
  <c r="AP90" i="50"/>
  <c r="AQ90" i="50" s="1"/>
  <c r="H90" i="50"/>
  <c r="AP89" i="50"/>
  <c r="AQ89" i="50" s="1"/>
  <c r="H89" i="50"/>
  <c r="H88" i="50"/>
  <c r="H87" i="50"/>
  <c r="H86" i="50"/>
  <c r="AP85" i="50"/>
  <c r="AQ85" i="50" s="1"/>
  <c r="H85" i="50"/>
  <c r="AP84" i="50"/>
  <c r="AQ84" i="50" s="1"/>
  <c r="H84" i="50"/>
  <c r="H83" i="50"/>
  <c r="AP82" i="50"/>
  <c r="AQ82" i="50" s="1"/>
  <c r="H82" i="50"/>
  <c r="AP81" i="50"/>
  <c r="AQ81" i="50" s="1"/>
  <c r="H81" i="50"/>
  <c r="AP80" i="50"/>
  <c r="AQ80" i="50" s="1"/>
  <c r="H80" i="50"/>
  <c r="H79" i="50"/>
  <c r="H78" i="50"/>
  <c r="AP77" i="50"/>
  <c r="AQ77" i="50" s="1"/>
  <c r="H77" i="50"/>
  <c r="AP76" i="50"/>
  <c r="AQ76" i="50" s="1"/>
  <c r="H76" i="50"/>
  <c r="AP75" i="50"/>
  <c r="AQ75" i="50" s="1"/>
  <c r="H75" i="50"/>
  <c r="AP74" i="50"/>
  <c r="AQ74" i="50" s="1"/>
  <c r="H74" i="50"/>
  <c r="AP73" i="50"/>
  <c r="AQ73" i="50" s="1"/>
  <c r="H73" i="50"/>
  <c r="AP72" i="50"/>
  <c r="AQ72" i="50" s="1"/>
  <c r="H72" i="50"/>
  <c r="H71" i="50"/>
  <c r="H70" i="50"/>
  <c r="AP69" i="50"/>
  <c r="AQ69" i="50" s="1"/>
  <c r="H69" i="50"/>
  <c r="AP68" i="50"/>
  <c r="AQ68" i="50" s="1"/>
  <c r="H68" i="50"/>
  <c r="H67" i="50"/>
  <c r="AP66" i="50"/>
  <c r="AQ66" i="50" s="1"/>
  <c r="H66" i="50"/>
  <c r="AP65" i="50"/>
  <c r="AQ65" i="50" s="1"/>
  <c r="H65" i="50"/>
  <c r="AP64" i="50"/>
  <c r="AQ64" i="50" s="1"/>
  <c r="H64" i="50"/>
  <c r="H63" i="50"/>
  <c r="H62" i="50"/>
  <c r="AP61" i="50"/>
  <c r="AQ61" i="50" s="1"/>
  <c r="H61" i="50"/>
  <c r="AP60" i="50"/>
  <c r="AQ60" i="50" s="1"/>
  <c r="H60" i="50"/>
  <c r="H59" i="50"/>
  <c r="H58" i="50"/>
  <c r="AP57" i="50"/>
  <c r="AQ57" i="50" s="1"/>
  <c r="H57" i="50"/>
  <c r="AP56" i="50"/>
  <c r="AQ56" i="50" s="1"/>
  <c r="H56" i="50"/>
  <c r="H55" i="50"/>
  <c r="H54" i="50"/>
  <c r="AP53" i="50"/>
  <c r="AQ53" i="50" s="1"/>
  <c r="H53" i="50"/>
  <c r="H52" i="50"/>
  <c r="H51" i="50"/>
  <c r="H50" i="50"/>
  <c r="AP49" i="50"/>
  <c r="AQ49" i="50" s="1"/>
  <c r="H49" i="50"/>
  <c r="H48" i="50"/>
  <c r="H47" i="50"/>
  <c r="H46" i="50"/>
  <c r="AP45" i="50"/>
  <c r="AQ45" i="50" s="1"/>
  <c r="H45" i="50"/>
  <c r="H44" i="50"/>
  <c r="H43" i="50"/>
  <c r="H42" i="50"/>
  <c r="AP41" i="50"/>
  <c r="AQ41" i="50" s="1"/>
  <c r="H41" i="50"/>
  <c r="H40" i="50"/>
  <c r="H39" i="50"/>
  <c r="H38" i="50"/>
  <c r="AP37" i="50"/>
  <c r="AQ37" i="50" s="1"/>
  <c r="H37" i="50"/>
  <c r="H36" i="50"/>
  <c r="H35" i="50"/>
  <c r="H34" i="50"/>
  <c r="AP33" i="50"/>
  <c r="AQ33" i="50" s="1"/>
  <c r="H33" i="50"/>
  <c r="H32" i="50"/>
  <c r="H31" i="50"/>
  <c r="H30" i="50"/>
  <c r="AP29" i="50"/>
  <c r="AQ29" i="50" s="1"/>
  <c r="H29" i="50"/>
  <c r="H28" i="50"/>
  <c r="H27" i="50"/>
  <c r="H26" i="50"/>
  <c r="AP25" i="50"/>
  <c r="AQ25" i="50" s="1"/>
  <c r="H25" i="50"/>
  <c r="H24" i="50"/>
  <c r="H23" i="50"/>
  <c r="H22" i="50"/>
  <c r="AP21" i="50"/>
  <c r="AQ21" i="50" s="1"/>
  <c r="H21" i="50"/>
  <c r="H20" i="50"/>
  <c r="H19" i="50"/>
  <c r="H18" i="50"/>
  <c r="AP17" i="50"/>
  <c r="AQ17" i="50" s="1"/>
  <c r="H17" i="50"/>
  <c r="H16" i="50"/>
  <c r="H15" i="50"/>
  <c r="H14" i="50"/>
  <c r="AP13" i="50"/>
  <c r="AQ13" i="50" s="1"/>
  <c r="H13" i="50"/>
  <c r="H12" i="50"/>
  <c r="H11" i="50"/>
  <c r="H10" i="50"/>
  <c r="AP9" i="50"/>
  <c r="AQ9" i="50" s="1"/>
  <c r="H9" i="50"/>
  <c r="H8" i="50"/>
  <c r="H7" i="50"/>
  <c r="H6" i="50"/>
  <c r="AP5" i="50"/>
  <c r="AQ5" i="50" s="1"/>
  <c r="H5" i="50"/>
  <c r="H4" i="50"/>
  <c r="H3" i="50"/>
  <c r="K107" i="24"/>
  <c r="K106" i="24"/>
  <c r="K105" i="24"/>
  <c r="K104" i="24"/>
  <c r="K103" i="24"/>
  <c r="K102" i="24"/>
  <c r="K101" i="24"/>
  <c r="K97" i="24"/>
  <c r="K96" i="24"/>
  <c r="K95" i="24"/>
  <c r="K94" i="24"/>
  <c r="K93" i="24"/>
  <c r="K92" i="24"/>
  <c r="K91" i="24"/>
  <c r="K87" i="24"/>
  <c r="K86" i="24"/>
  <c r="K85" i="24"/>
  <c r="K84" i="24"/>
  <c r="K83" i="24"/>
  <c r="K82" i="24"/>
  <c r="K78" i="24"/>
  <c r="K77" i="24"/>
  <c r="K76" i="24"/>
  <c r="K75" i="24"/>
  <c r="K74" i="24"/>
  <c r="K73" i="24"/>
  <c r="K72" i="24"/>
  <c r="K71" i="24"/>
  <c r="K70" i="24"/>
  <c r="K69" i="24"/>
  <c r="K68" i="24"/>
  <c r="K64" i="24"/>
  <c r="K63" i="24"/>
  <c r="K62" i="24"/>
  <c r="K61" i="24"/>
  <c r="K60" i="24"/>
  <c r="K59" i="24"/>
  <c r="K58" i="24"/>
  <c r="K54" i="24"/>
  <c r="K53" i="24"/>
  <c r="K52" i="24"/>
  <c r="K51" i="24"/>
  <c r="K50" i="24"/>
  <c r="K49" i="24"/>
  <c r="K45" i="24"/>
  <c r="K44" i="24"/>
  <c r="K43" i="24"/>
  <c r="K42" i="24"/>
  <c r="K41" i="24"/>
  <c r="K40" i="24"/>
  <c r="K39" i="24"/>
  <c r="K35" i="24"/>
  <c r="K34" i="24"/>
  <c r="K33" i="24"/>
  <c r="K32" i="24"/>
  <c r="K31" i="24"/>
  <c r="K30" i="24"/>
  <c r="K29" i="24"/>
  <c r="K28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E107" i="24"/>
  <c r="E106" i="24"/>
  <c r="E105" i="24"/>
  <c r="E104" i="24"/>
  <c r="E103" i="24"/>
  <c r="E102" i="24"/>
  <c r="E101" i="24"/>
  <c r="E97" i="24"/>
  <c r="E96" i="24"/>
  <c r="E95" i="24"/>
  <c r="E94" i="24"/>
  <c r="E93" i="24"/>
  <c r="E92" i="24"/>
  <c r="E91" i="24"/>
  <c r="E87" i="24"/>
  <c r="E86" i="24"/>
  <c r="E85" i="24"/>
  <c r="E84" i="24"/>
  <c r="E83" i="24"/>
  <c r="E82" i="24"/>
  <c r="E78" i="24"/>
  <c r="E77" i="24"/>
  <c r="E76" i="24"/>
  <c r="E75" i="24"/>
  <c r="E74" i="24"/>
  <c r="E73" i="24"/>
  <c r="E72" i="24"/>
  <c r="E71" i="24"/>
  <c r="E70" i="24"/>
  <c r="E69" i="24"/>
  <c r="E68" i="24"/>
  <c r="E64" i="24"/>
  <c r="E63" i="24"/>
  <c r="E62" i="24"/>
  <c r="E61" i="24"/>
  <c r="E60" i="24"/>
  <c r="E59" i="24"/>
  <c r="E58" i="24"/>
  <c r="E54" i="24"/>
  <c r="E53" i="24"/>
  <c r="E52" i="24"/>
  <c r="E51" i="24"/>
  <c r="E50" i="24"/>
  <c r="E49" i="24"/>
  <c r="E45" i="24"/>
  <c r="E44" i="24"/>
  <c r="E43" i="24"/>
  <c r="E42" i="24"/>
  <c r="E41" i="24"/>
  <c r="E40" i="24"/>
  <c r="E39" i="24"/>
  <c r="E35" i="24"/>
  <c r="E34" i="24"/>
  <c r="E33" i="24"/>
  <c r="E32" i="24"/>
  <c r="E31" i="24"/>
  <c r="E30" i="24"/>
  <c r="E29" i="24"/>
  <c r="E28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AO141" i="49"/>
  <c r="AN141" i="49"/>
  <c r="AO140" i="49"/>
  <c r="AN140" i="49"/>
  <c r="AO139" i="49"/>
  <c r="AN139" i="49"/>
  <c r="AO138" i="49"/>
  <c r="AN138" i="49"/>
  <c r="AP138" i="49" s="1"/>
  <c r="AQ138" i="49" s="1"/>
  <c r="AO137" i="49"/>
  <c r="AN137" i="49"/>
  <c r="AO136" i="49"/>
  <c r="AN136" i="49"/>
  <c r="AO135" i="49"/>
  <c r="AN135" i="49"/>
  <c r="AO134" i="49"/>
  <c r="AN134" i="49"/>
  <c r="AP134" i="49" s="1"/>
  <c r="AQ134" i="49" s="1"/>
  <c r="AO133" i="49"/>
  <c r="AN133" i="49"/>
  <c r="AP133" i="49" s="1"/>
  <c r="AQ133" i="49" s="1"/>
  <c r="AO132" i="49"/>
  <c r="AN132" i="49"/>
  <c r="AO131" i="49"/>
  <c r="AN131" i="49"/>
  <c r="AP131" i="49" s="1"/>
  <c r="AQ131" i="49" s="1"/>
  <c r="AO130" i="49"/>
  <c r="AN130" i="49"/>
  <c r="AP130" i="49" s="1"/>
  <c r="AQ130" i="49" s="1"/>
  <c r="AO129" i="49"/>
  <c r="AN129" i="49"/>
  <c r="AO128" i="49"/>
  <c r="AN128" i="49"/>
  <c r="AP128" i="49" s="1"/>
  <c r="AQ128" i="49" s="1"/>
  <c r="AO127" i="49"/>
  <c r="AN127" i="49"/>
  <c r="AP127" i="49" s="1"/>
  <c r="AQ127" i="49" s="1"/>
  <c r="AO126" i="49"/>
  <c r="AN126" i="49"/>
  <c r="AP126" i="49" s="1"/>
  <c r="AQ126" i="49" s="1"/>
  <c r="AO125" i="49"/>
  <c r="AN125" i="49"/>
  <c r="AO124" i="49"/>
  <c r="AN124" i="49"/>
  <c r="AO123" i="49"/>
  <c r="AN123" i="49"/>
  <c r="AP123" i="49" s="1"/>
  <c r="AQ123" i="49" s="1"/>
  <c r="AO122" i="49"/>
  <c r="AN122" i="49"/>
  <c r="AP122" i="49" s="1"/>
  <c r="AQ122" i="49" s="1"/>
  <c r="AO121" i="49"/>
  <c r="AN121" i="49"/>
  <c r="AO120" i="49"/>
  <c r="AN120" i="49"/>
  <c r="AO119" i="49"/>
  <c r="AN119" i="49"/>
  <c r="AO118" i="49"/>
  <c r="AN118" i="49"/>
  <c r="AP118" i="49" s="1"/>
  <c r="AQ118" i="49" s="1"/>
  <c r="AO117" i="49"/>
  <c r="AN117" i="49"/>
  <c r="AO116" i="49"/>
  <c r="AN116" i="49"/>
  <c r="AO115" i="49"/>
  <c r="AN115" i="49"/>
  <c r="AO114" i="49"/>
  <c r="AN114" i="49"/>
  <c r="AO113" i="49"/>
  <c r="AN113" i="49"/>
  <c r="AO112" i="49"/>
  <c r="AN112" i="49"/>
  <c r="AO111" i="49"/>
  <c r="AN111" i="49"/>
  <c r="AO110" i="49"/>
  <c r="AN110" i="49"/>
  <c r="AP110" i="49" s="1"/>
  <c r="AQ110" i="49" s="1"/>
  <c r="AO109" i="49"/>
  <c r="AN109" i="49"/>
  <c r="AO108" i="49"/>
  <c r="AN108" i="49"/>
  <c r="AO107" i="49"/>
  <c r="AN107" i="49"/>
  <c r="AP107" i="49" s="1"/>
  <c r="AQ107" i="49" s="1"/>
  <c r="AO106" i="49"/>
  <c r="AN106" i="49"/>
  <c r="AO105" i="49"/>
  <c r="AN105" i="49"/>
  <c r="AO104" i="49"/>
  <c r="AN104" i="49"/>
  <c r="AO103" i="49"/>
  <c r="AN103" i="49"/>
  <c r="AP103" i="49" s="1"/>
  <c r="AQ103" i="49" s="1"/>
  <c r="AO102" i="49"/>
  <c r="AN102" i="49"/>
  <c r="AP102" i="49" s="1"/>
  <c r="AQ102" i="49" s="1"/>
  <c r="AO101" i="49"/>
  <c r="AN101" i="49"/>
  <c r="AO100" i="49"/>
  <c r="AN100" i="49"/>
  <c r="AP100" i="49" s="1"/>
  <c r="AQ100" i="49" s="1"/>
  <c r="AO99" i="49"/>
  <c r="AN99" i="49"/>
  <c r="AP99" i="49" s="1"/>
  <c r="AQ99" i="49" s="1"/>
  <c r="AO98" i="49"/>
  <c r="AN98" i="49"/>
  <c r="AP98" i="49" s="1"/>
  <c r="AQ98" i="49" s="1"/>
  <c r="AO97" i="49"/>
  <c r="AN97" i="49"/>
  <c r="AO96" i="49"/>
  <c r="AN96" i="49"/>
  <c r="AP96" i="49" s="1"/>
  <c r="AQ96" i="49" s="1"/>
  <c r="AO95" i="49"/>
  <c r="AN95" i="49"/>
  <c r="AP95" i="49" s="1"/>
  <c r="AQ95" i="49" s="1"/>
  <c r="AO94" i="49"/>
  <c r="AN94" i="49"/>
  <c r="AP94" i="49" s="1"/>
  <c r="AQ94" i="49" s="1"/>
  <c r="AO93" i="49"/>
  <c r="AN93" i="49"/>
  <c r="AO92" i="49"/>
  <c r="AN92" i="49"/>
  <c r="AO91" i="49"/>
  <c r="AN91" i="49"/>
  <c r="AO90" i="49"/>
  <c r="AN90" i="49"/>
  <c r="AO89" i="49"/>
  <c r="AN89" i="49"/>
  <c r="AO88" i="49"/>
  <c r="AN88" i="49"/>
  <c r="AO87" i="49"/>
  <c r="AN87" i="49"/>
  <c r="AO86" i="49"/>
  <c r="AN86" i="49"/>
  <c r="AP86" i="49" s="1"/>
  <c r="AQ86" i="49" s="1"/>
  <c r="AO85" i="49"/>
  <c r="AN85" i="49"/>
  <c r="AO84" i="49"/>
  <c r="AN84" i="49"/>
  <c r="AO83" i="49"/>
  <c r="AN83" i="49"/>
  <c r="AO82" i="49"/>
  <c r="AN82" i="49"/>
  <c r="AP82" i="49" s="1"/>
  <c r="AQ82" i="49" s="1"/>
  <c r="AO81" i="49"/>
  <c r="AN81" i="49"/>
  <c r="AO80" i="49"/>
  <c r="AN80" i="49"/>
  <c r="AO79" i="49"/>
  <c r="AN79" i="49"/>
  <c r="AP79" i="49" s="1"/>
  <c r="AQ79" i="49" s="1"/>
  <c r="AO78" i="49"/>
  <c r="AN78" i="49"/>
  <c r="AP78" i="49" s="1"/>
  <c r="AQ78" i="49" s="1"/>
  <c r="AO77" i="49"/>
  <c r="AN77" i="49"/>
  <c r="AO76" i="49"/>
  <c r="AN76" i="49"/>
  <c r="AP76" i="49" s="1"/>
  <c r="AQ76" i="49" s="1"/>
  <c r="AO75" i="49"/>
  <c r="AN75" i="49"/>
  <c r="AP75" i="49" s="1"/>
  <c r="AQ75" i="49" s="1"/>
  <c r="AO74" i="49"/>
  <c r="AN74" i="49"/>
  <c r="AO73" i="49"/>
  <c r="AN73" i="49"/>
  <c r="AO72" i="49"/>
  <c r="AN72" i="49"/>
  <c r="AO71" i="49"/>
  <c r="AN71" i="49"/>
  <c r="AP71" i="49" s="1"/>
  <c r="AQ71" i="49" s="1"/>
  <c r="AO70" i="49"/>
  <c r="AN70" i="49"/>
  <c r="AP70" i="49" s="1"/>
  <c r="AQ70" i="49" s="1"/>
  <c r="AO69" i="49"/>
  <c r="AN69" i="49"/>
  <c r="AO68" i="49"/>
  <c r="AN68" i="49"/>
  <c r="AP68" i="49" s="1"/>
  <c r="AQ68" i="49" s="1"/>
  <c r="AO67" i="49"/>
  <c r="AN67" i="49"/>
  <c r="AP67" i="49" s="1"/>
  <c r="AQ67" i="49" s="1"/>
  <c r="AO66" i="49"/>
  <c r="AN66" i="49"/>
  <c r="AP66" i="49" s="1"/>
  <c r="AQ66" i="49" s="1"/>
  <c r="AO65" i="49"/>
  <c r="AN65" i="49"/>
  <c r="AO64" i="49"/>
  <c r="AN64" i="49"/>
  <c r="AP64" i="49" s="1"/>
  <c r="AQ64" i="49" s="1"/>
  <c r="AO63" i="49"/>
  <c r="AN63" i="49"/>
  <c r="AP63" i="49" s="1"/>
  <c r="AQ63" i="49" s="1"/>
  <c r="AO62" i="49"/>
  <c r="AN62" i="49"/>
  <c r="AP62" i="49" s="1"/>
  <c r="AQ62" i="49" s="1"/>
  <c r="AO61" i="49"/>
  <c r="AN61" i="49"/>
  <c r="AO60" i="49"/>
  <c r="AN60" i="49"/>
  <c r="AP60" i="49" s="1"/>
  <c r="AQ60" i="49" s="1"/>
  <c r="AO59" i="49"/>
  <c r="AN59" i="49"/>
  <c r="AO58" i="49"/>
  <c r="AN58" i="49"/>
  <c r="AO57" i="49"/>
  <c r="AN57" i="49"/>
  <c r="AO56" i="49"/>
  <c r="AN56" i="49"/>
  <c r="AP56" i="49" s="1"/>
  <c r="AQ56" i="49" s="1"/>
  <c r="AO55" i="49"/>
  <c r="AN55" i="49"/>
  <c r="AP55" i="49" s="1"/>
  <c r="AQ55" i="49" s="1"/>
  <c r="AO54" i="49"/>
  <c r="AN54" i="49"/>
  <c r="AP54" i="49" s="1"/>
  <c r="AQ54" i="49" s="1"/>
  <c r="AO53" i="49"/>
  <c r="AN53" i="49"/>
  <c r="AO52" i="49"/>
  <c r="AN52" i="49"/>
  <c r="AP52" i="49" s="1"/>
  <c r="AQ52" i="49" s="1"/>
  <c r="AO51" i="49"/>
  <c r="AN51" i="49"/>
  <c r="AO50" i="49"/>
  <c r="AN50" i="49"/>
  <c r="AP50" i="49" s="1"/>
  <c r="AQ50" i="49" s="1"/>
  <c r="AO49" i="49"/>
  <c r="AN49" i="49"/>
  <c r="AO48" i="49"/>
  <c r="AN48" i="49"/>
  <c r="AP48" i="49" s="1"/>
  <c r="AQ48" i="49" s="1"/>
  <c r="AO47" i="49"/>
  <c r="AN47" i="49"/>
  <c r="AO46" i="49"/>
  <c r="AN46" i="49"/>
  <c r="AO45" i="49"/>
  <c r="AN45" i="49"/>
  <c r="AO44" i="49"/>
  <c r="AN44" i="49"/>
  <c r="AO43" i="49"/>
  <c r="AN43" i="49"/>
  <c r="AO42" i="49"/>
  <c r="AN42" i="49"/>
  <c r="AP42" i="49" s="1"/>
  <c r="AQ42" i="49" s="1"/>
  <c r="AO41" i="49"/>
  <c r="AN41" i="49"/>
  <c r="AO40" i="49"/>
  <c r="AN40" i="49"/>
  <c r="AO39" i="49"/>
  <c r="AN39" i="49"/>
  <c r="AP39" i="49" s="1"/>
  <c r="AQ39" i="49" s="1"/>
  <c r="AO38" i="49"/>
  <c r="AN38" i="49"/>
  <c r="AP38" i="49" s="1"/>
  <c r="AQ38" i="49" s="1"/>
  <c r="AO37" i="49"/>
  <c r="AN37" i="49"/>
  <c r="AO36" i="49"/>
  <c r="AN36" i="49"/>
  <c r="AO35" i="49"/>
  <c r="AN35" i="49"/>
  <c r="AP35" i="49" s="1"/>
  <c r="AQ35" i="49" s="1"/>
  <c r="AO34" i="49"/>
  <c r="AN34" i="49"/>
  <c r="AP34" i="49" s="1"/>
  <c r="AQ34" i="49" s="1"/>
  <c r="AO33" i="49"/>
  <c r="AN33" i="49"/>
  <c r="AO32" i="49"/>
  <c r="AN32" i="49"/>
  <c r="AO31" i="49"/>
  <c r="AN31" i="49"/>
  <c r="AP31" i="49" s="1"/>
  <c r="AQ31" i="49" s="1"/>
  <c r="AO30" i="49"/>
  <c r="AN30" i="49"/>
  <c r="AP30" i="49" s="1"/>
  <c r="AQ30" i="49" s="1"/>
  <c r="AO29" i="49"/>
  <c r="AN29" i="49"/>
  <c r="AO28" i="49"/>
  <c r="AN28" i="49"/>
  <c r="AO27" i="49"/>
  <c r="AN27" i="49"/>
  <c r="AO26" i="49"/>
  <c r="AN26" i="49"/>
  <c r="AO25" i="49"/>
  <c r="AN25" i="49"/>
  <c r="AO24" i="49"/>
  <c r="AN24" i="49"/>
  <c r="AO23" i="49"/>
  <c r="AN23" i="49"/>
  <c r="AO22" i="49"/>
  <c r="AN22" i="49"/>
  <c r="AP22" i="49" s="1"/>
  <c r="AQ22" i="49" s="1"/>
  <c r="AO21" i="49"/>
  <c r="AN21" i="49"/>
  <c r="AO20" i="49"/>
  <c r="AN20" i="49"/>
  <c r="AP20" i="49" s="1"/>
  <c r="AQ20" i="49" s="1"/>
  <c r="AO19" i="49"/>
  <c r="AN19" i="49"/>
  <c r="AO18" i="49"/>
  <c r="AN18" i="49"/>
  <c r="AP18" i="49" s="1"/>
  <c r="AQ18" i="49" s="1"/>
  <c r="AO17" i="49"/>
  <c r="AN17" i="49"/>
  <c r="AO16" i="49"/>
  <c r="AN16" i="49"/>
  <c r="AP16" i="49" s="1"/>
  <c r="AQ16" i="49" s="1"/>
  <c r="AO15" i="49"/>
  <c r="AN15" i="49"/>
  <c r="AO14" i="49"/>
  <c r="AN14" i="49"/>
  <c r="AP14" i="49" s="1"/>
  <c r="AQ14" i="49" s="1"/>
  <c r="AO13" i="49"/>
  <c r="AN13" i="49"/>
  <c r="AO12" i="49"/>
  <c r="AN12" i="49"/>
  <c r="AP12" i="49" s="1"/>
  <c r="AQ12" i="49" s="1"/>
  <c r="AO11" i="49"/>
  <c r="AN11" i="49"/>
  <c r="AO10" i="49"/>
  <c r="AN10" i="49"/>
  <c r="AP10" i="49" s="1"/>
  <c r="AQ10" i="49" s="1"/>
  <c r="AO9" i="49"/>
  <c r="AN9" i="49"/>
  <c r="AO8" i="49"/>
  <c r="AN8" i="49"/>
  <c r="AP8" i="49" s="1"/>
  <c r="AQ8" i="49" s="1"/>
  <c r="AO7" i="49"/>
  <c r="AN7" i="49"/>
  <c r="AO6" i="49"/>
  <c r="AN6" i="49"/>
  <c r="AP6" i="49" s="1"/>
  <c r="AQ6" i="49" s="1"/>
  <c r="AO5" i="49"/>
  <c r="AN5" i="49"/>
  <c r="AO4" i="49"/>
  <c r="AN4" i="49"/>
  <c r="AP4" i="49" s="1"/>
  <c r="H300" i="49"/>
  <c r="H299" i="49"/>
  <c r="H298" i="49"/>
  <c r="H297" i="49"/>
  <c r="H296" i="49"/>
  <c r="H295" i="49"/>
  <c r="H294" i="49"/>
  <c r="H293" i="49"/>
  <c r="H292" i="49"/>
  <c r="H291" i="49"/>
  <c r="H290" i="49"/>
  <c r="H289" i="49"/>
  <c r="H288" i="49"/>
  <c r="H287" i="49"/>
  <c r="H286" i="49"/>
  <c r="H285" i="49"/>
  <c r="H284" i="49"/>
  <c r="H283" i="49"/>
  <c r="H282" i="49"/>
  <c r="H281" i="49"/>
  <c r="H280" i="49"/>
  <c r="H279" i="49"/>
  <c r="H278" i="49"/>
  <c r="H277" i="49"/>
  <c r="H276" i="49"/>
  <c r="H275" i="49"/>
  <c r="H274" i="49"/>
  <c r="H273" i="49"/>
  <c r="H272" i="49"/>
  <c r="H271" i="49"/>
  <c r="H270" i="49"/>
  <c r="H269" i="49"/>
  <c r="H268" i="49"/>
  <c r="H267" i="49"/>
  <c r="H266" i="49"/>
  <c r="H265" i="49"/>
  <c r="H264" i="49"/>
  <c r="H263" i="49"/>
  <c r="H262" i="49"/>
  <c r="H261" i="49"/>
  <c r="H260" i="49"/>
  <c r="H259" i="49"/>
  <c r="H258" i="49"/>
  <c r="H257" i="49"/>
  <c r="H256" i="49"/>
  <c r="H255" i="49"/>
  <c r="H254" i="49"/>
  <c r="H253" i="49"/>
  <c r="H252" i="49"/>
  <c r="H251" i="49"/>
  <c r="H250" i="49"/>
  <c r="H249" i="49"/>
  <c r="H248" i="49"/>
  <c r="H247" i="49"/>
  <c r="H246" i="49"/>
  <c r="H245" i="49"/>
  <c r="H244" i="49"/>
  <c r="H243" i="49"/>
  <c r="H242" i="49"/>
  <c r="H241" i="49"/>
  <c r="H240" i="49"/>
  <c r="H239" i="49"/>
  <c r="H238" i="49"/>
  <c r="H237" i="49"/>
  <c r="H236" i="49"/>
  <c r="H235" i="49"/>
  <c r="H234" i="49"/>
  <c r="H233" i="49"/>
  <c r="H232" i="49"/>
  <c r="H231" i="49"/>
  <c r="H230" i="49"/>
  <c r="H229" i="49"/>
  <c r="H228" i="49"/>
  <c r="H227" i="49"/>
  <c r="H226" i="49"/>
  <c r="H225" i="49"/>
  <c r="H224" i="49"/>
  <c r="H223" i="49"/>
  <c r="H222" i="49"/>
  <c r="H221" i="49"/>
  <c r="H220" i="49"/>
  <c r="H219" i="49"/>
  <c r="H218" i="49"/>
  <c r="H217" i="49"/>
  <c r="H216" i="49"/>
  <c r="H215" i="49"/>
  <c r="H214" i="49"/>
  <c r="H213" i="49"/>
  <c r="H212" i="49"/>
  <c r="H211" i="49"/>
  <c r="H210" i="49"/>
  <c r="H209" i="49"/>
  <c r="H208" i="49"/>
  <c r="H207" i="49"/>
  <c r="H206" i="49"/>
  <c r="H205" i="49"/>
  <c r="H204" i="49"/>
  <c r="H203" i="49"/>
  <c r="H202" i="49"/>
  <c r="H201" i="49"/>
  <c r="H200" i="49"/>
  <c r="H199" i="49"/>
  <c r="H198" i="49"/>
  <c r="H197" i="49"/>
  <c r="H196" i="49"/>
  <c r="H195" i="49"/>
  <c r="H194" i="49"/>
  <c r="H193" i="49"/>
  <c r="H192" i="49"/>
  <c r="H191" i="49"/>
  <c r="H190" i="49"/>
  <c r="H189" i="49"/>
  <c r="H188" i="49"/>
  <c r="H187" i="49"/>
  <c r="H186" i="49"/>
  <c r="H185" i="49"/>
  <c r="H184" i="49"/>
  <c r="H183" i="49"/>
  <c r="H182" i="49"/>
  <c r="H181" i="49"/>
  <c r="H180" i="49"/>
  <c r="H179" i="49"/>
  <c r="H178" i="49"/>
  <c r="H177" i="49"/>
  <c r="H176" i="49"/>
  <c r="H175" i="49"/>
  <c r="H174" i="49"/>
  <c r="H173" i="49"/>
  <c r="H172" i="49"/>
  <c r="H171" i="49"/>
  <c r="H170" i="49"/>
  <c r="H169" i="49"/>
  <c r="H168" i="49"/>
  <c r="H167" i="49"/>
  <c r="H166" i="49"/>
  <c r="H165" i="49"/>
  <c r="H164" i="49"/>
  <c r="H163" i="49"/>
  <c r="H162" i="49"/>
  <c r="H161" i="49"/>
  <c r="H160" i="49"/>
  <c r="H159" i="49"/>
  <c r="H158" i="49"/>
  <c r="H157" i="49"/>
  <c r="H156" i="49"/>
  <c r="H155" i="49"/>
  <c r="H154" i="49"/>
  <c r="H153" i="49"/>
  <c r="H152" i="49"/>
  <c r="H151" i="49"/>
  <c r="H150" i="49"/>
  <c r="H149" i="49"/>
  <c r="H148" i="49"/>
  <c r="H147" i="49"/>
  <c r="H146" i="49"/>
  <c r="H145" i="49"/>
  <c r="H144" i="49"/>
  <c r="H143" i="49"/>
  <c r="H142" i="49"/>
  <c r="AP141" i="49"/>
  <c r="AQ141" i="49" s="1"/>
  <c r="H141" i="49"/>
  <c r="AP140" i="49"/>
  <c r="AQ140" i="49" s="1"/>
  <c r="H140" i="49"/>
  <c r="AP139" i="49"/>
  <c r="AQ139" i="49" s="1"/>
  <c r="H139" i="49"/>
  <c r="H138" i="49"/>
  <c r="H137" i="49"/>
  <c r="AP136" i="49"/>
  <c r="AQ136" i="49" s="1"/>
  <c r="H136" i="49"/>
  <c r="AP135" i="49"/>
  <c r="AQ135" i="49" s="1"/>
  <c r="H135" i="49"/>
  <c r="H134" i="49"/>
  <c r="H133" i="49"/>
  <c r="AP132" i="49"/>
  <c r="AQ132" i="49" s="1"/>
  <c r="H132" i="49"/>
  <c r="H131" i="49"/>
  <c r="H130" i="49"/>
  <c r="H129" i="49"/>
  <c r="H128" i="49"/>
  <c r="H127" i="49"/>
  <c r="H126" i="49"/>
  <c r="AP125" i="49"/>
  <c r="AQ125" i="49" s="1"/>
  <c r="H125" i="49"/>
  <c r="AP124" i="49"/>
  <c r="AQ124" i="49" s="1"/>
  <c r="H124" i="49"/>
  <c r="H123" i="49"/>
  <c r="H122" i="49"/>
  <c r="H121" i="49"/>
  <c r="AP120" i="49"/>
  <c r="AQ120" i="49" s="1"/>
  <c r="H120" i="49"/>
  <c r="AP119" i="49"/>
  <c r="AQ119" i="49" s="1"/>
  <c r="H119" i="49"/>
  <c r="H118" i="49"/>
  <c r="AP117" i="49"/>
  <c r="AQ117" i="49" s="1"/>
  <c r="H117" i="49"/>
  <c r="AP116" i="49"/>
  <c r="AQ116" i="49" s="1"/>
  <c r="H116" i="49"/>
  <c r="AP115" i="49"/>
  <c r="AQ115" i="49" s="1"/>
  <c r="H115" i="49"/>
  <c r="H114" i="49"/>
  <c r="AP113" i="49"/>
  <c r="AQ113" i="49" s="1"/>
  <c r="H113" i="49"/>
  <c r="AP112" i="49"/>
  <c r="AQ112" i="49" s="1"/>
  <c r="H112" i="49"/>
  <c r="AP111" i="49"/>
  <c r="AQ111" i="49" s="1"/>
  <c r="H111" i="49"/>
  <c r="H110" i="49"/>
  <c r="AP109" i="49"/>
  <c r="AQ109" i="49" s="1"/>
  <c r="H109" i="49"/>
  <c r="AP108" i="49"/>
  <c r="AQ108" i="49" s="1"/>
  <c r="H108" i="49"/>
  <c r="H107" i="49"/>
  <c r="H106" i="49"/>
  <c r="AP105" i="49"/>
  <c r="AQ105" i="49" s="1"/>
  <c r="H105" i="49"/>
  <c r="AP104" i="49"/>
  <c r="AQ104" i="49" s="1"/>
  <c r="H104" i="49"/>
  <c r="H103" i="49"/>
  <c r="H102" i="49"/>
  <c r="AP101" i="49"/>
  <c r="AQ101" i="49" s="1"/>
  <c r="H101" i="49"/>
  <c r="H100" i="49"/>
  <c r="H99" i="49"/>
  <c r="H98" i="49"/>
  <c r="AP97" i="49"/>
  <c r="AQ97" i="49" s="1"/>
  <c r="H97" i="49"/>
  <c r="H96" i="49"/>
  <c r="H95" i="49"/>
  <c r="H94" i="49"/>
  <c r="AP93" i="49"/>
  <c r="AQ93" i="49" s="1"/>
  <c r="H93" i="49"/>
  <c r="AP92" i="49"/>
  <c r="AQ92" i="49" s="1"/>
  <c r="H92" i="49"/>
  <c r="AP91" i="49"/>
  <c r="AQ91" i="49" s="1"/>
  <c r="H91" i="49"/>
  <c r="AP90" i="49"/>
  <c r="AQ90" i="49" s="1"/>
  <c r="H90" i="49"/>
  <c r="AP89" i="49"/>
  <c r="AQ89" i="49" s="1"/>
  <c r="H89" i="49"/>
  <c r="AP88" i="49"/>
  <c r="AQ88" i="49" s="1"/>
  <c r="H88" i="49"/>
  <c r="AP87" i="49"/>
  <c r="AQ87" i="49" s="1"/>
  <c r="H87" i="49"/>
  <c r="H86" i="49"/>
  <c r="AP85" i="49"/>
  <c r="AQ85" i="49" s="1"/>
  <c r="H85" i="49"/>
  <c r="AP84" i="49"/>
  <c r="AQ84" i="49" s="1"/>
  <c r="H84" i="49"/>
  <c r="AP83" i="49"/>
  <c r="AQ83" i="49" s="1"/>
  <c r="H83" i="49"/>
  <c r="H82" i="49"/>
  <c r="AP81" i="49"/>
  <c r="AQ81" i="49" s="1"/>
  <c r="H81" i="49"/>
  <c r="AP80" i="49"/>
  <c r="AQ80" i="49" s="1"/>
  <c r="H80" i="49"/>
  <c r="H79" i="49"/>
  <c r="H78" i="49"/>
  <c r="AP77" i="49"/>
  <c r="AQ77" i="49" s="1"/>
  <c r="H77" i="49"/>
  <c r="H76" i="49"/>
  <c r="H75" i="49"/>
  <c r="H74" i="49"/>
  <c r="AP73" i="49"/>
  <c r="AQ73" i="49" s="1"/>
  <c r="H73" i="49"/>
  <c r="AP72" i="49"/>
  <c r="AQ72" i="49" s="1"/>
  <c r="H72" i="49"/>
  <c r="H71" i="49"/>
  <c r="H70" i="49"/>
  <c r="AP69" i="49"/>
  <c r="AQ69" i="49" s="1"/>
  <c r="H69" i="49"/>
  <c r="H68" i="49"/>
  <c r="H67" i="49"/>
  <c r="H66" i="49"/>
  <c r="AP65" i="49"/>
  <c r="AQ65" i="49" s="1"/>
  <c r="H65" i="49"/>
  <c r="H64" i="49"/>
  <c r="H63" i="49"/>
  <c r="H62" i="49"/>
  <c r="AP61" i="49"/>
  <c r="AQ61" i="49" s="1"/>
  <c r="H61" i="49"/>
  <c r="H60" i="49"/>
  <c r="AP59" i="49"/>
  <c r="AQ59" i="49" s="1"/>
  <c r="H59" i="49"/>
  <c r="H58" i="49"/>
  <c r="AP57" i="49"/>
  <c r="AQ57" i="49" s="1"/>
  <c r="H57" i="49"/>
  <c r="H56" i="49"/>
  <c r="H55" i="49"/>
  <c r="H54" i="49"/>
  <c r="AP53" i="49"/>
  <c r="AQ53" i="49" s="1"/>
  <c r="H53" i="49"/>
  <c r="H52" i="49"/>
  <c r="AP51" i="49"/>
  <c r="AQ51" i="49" s="1"/>
  <c r="H51" i="49"/>
  <c r="H50" i="49"/>
  <c r="AP49" i="49"/>
  <c r="AQ49" i="49" s="1"/>
  <c r="H49" i="49"/>
  <c r="H48" i="49"/>
  <c r="AP47" i="49"/>
  <c r="AQ47" i="49" s="1"/>
  <c r="H47" i="49"/>
  <c r="AP46" i="49"/>
  <c r="AQ46" i="49" s="1"/>
  <c r="H46" i="49"/>
  <c r="AQ45" i="49"/>
  <c r="AP45" i="49"/>
  <c r="H45" i="49"/>
  <c r="H44" i="49"/>
  <c r="AP43" i="49"/>
  <c r="AQ43" i="49" s="1"/>
  <c r="H43" i="49"/>
  <c r="H42" i="49"/>
  <c r="AP41" i="49"/>
  <c r="AQ41" i="49" s="1"/>
  <c r="H41" i="49"/>
  <c r="AP40" i="49"/>
  <c r="AQ40" i="49" s="1"/>
  <c r="H40" i="49"/>
  <c r="H39" i="49"/>
  <c r="H38" i="49"/>
  <c r="AP37" i="49"/>
  <c r="AQ37" i="49" s="1"/>
  <c r="H37" i="49"/>
  <c r="H36" i="49"/>
  <c r="H35" i="49"/>
  <c r="H34" i="49"/>
  <c r="AP33" i="49"/>
  <c r="AQ33" i="49" s="1"/>
  <c r="H33" i="49"/>
  <c r="H32" i="49"/>
  <c r="H31" i="49"/>
  <c r="H30" i="49"/>
  <c r="AP29" i="49"/>
  <c r="AQ29" i="49" s="1"/>
  <c r="H29" i="49"/>
  <c r="AP28" i="49"/>
  <c r="AQ28" i="49" s="1"/>
  <c r="H28" i="49"/>
  <c r="AP27" i="49"/>
  <c r="AQ27" i="49" s="1"/>
  <c r="H27" i="49"/>
  <c r="AP26" i="49"/>
  <c r="AQ26" i="49" s="1"/>
  <c r="H26" i="49"/>
  <c r="AP25" i="49"/>
  <c r="AQ25" i="49" s="1"/>
  <c r="H25" i="49"/>
  <c r="AP24" i="49"/>
  <c r="AQ24" i="49" s="1"/>
  <c r="H24" i="49"/>
  <c r="H23" i="49"/>
  <c r="H22" i="49"/>
  <c r="AP21" i="49"/>
  <c r="AQ21" i="49" s="1"/>
  <c r="H21" i="49"/>
  <c r="H20" i="49"/>
  <c r="AP19" i="49"/>
  <c r="AQ19" i="49" s="1"/>
  <c r="H19" i="49"/>
  <c r="H18" i="49"/>
  <c r="AP17" i="49"/>
  <c r="AQ17" i="49" s="1"/>
  <c r="H17" i="49"/>
  <c r="H16" i="49"/>
  <c r="H15" i="49"/>
  <c r="H14" i="49"/>
  <c r="AQ13" i="49"/>
  <c r="AP13" i="49"/>
  <c r="H13" i="49"/>
  <c r="H12" i="49"/>
  <c r="AP11" i="49"/>
  <c r="AQ11" i="49" s="1"/>
  <c r="H11" i="49"/>
  <c r="H10" i="49"/>
  <c r="AP9" i="49"/>
  <c r="AQ9" i="49" s="1"/>
  <c r="H9" i="49"/>
  <c r="H8" i="49"/>
  <c r="H7" i="49"/>
  <c r="H6" i="49"/>
  <c r="AP5" i="49"/>
  <c r="AQ5" i="49" s="1"/>
  <c r="H5" i="49"/>
  <c r="H4" i="49"/>
  <c r="H3" i="49"/>
  <c r="K107" i="23"/>
  <c r="K106" i="23"/>
  <c r="K105" i="23"/>
  <c r="K104" i="23"/>
  <c r="K103" i="23"/>
  <c r="K102" i="23"/>
  <c r="K101" i="23"/>
  <c r="K97" i="23"/>
  <c r="K96" i="23"/>
  <c r="K95" i="23"/>
  <c r="K94" i="23"/>
  <c r="K93" i="23"/>
  <c r="K92" i="23"/>
  <c r="K91" i="23"/>
  <c r="K87" i="23"/>
  <c r="K86" i="23"/>
  <c r="K85" i="23"/>
  <c r="K84" i="23"/>
  <c r="K83" i="23"/>
  <c r="K82" i="23"/>
  <c r="K78" i="23"/>
  <c r="K77" i="23"/>
  <c r="K76" i="23"/>
  <c r="K75" i="23"/>
  <c r="K74" i="23"/>
  <c r="K73" i="23"/>
  <c r="K72" i="23"/>
  <c r="K71" i="23"/>
  <c r="K70" i="23"/>
  <c r="K69" i="23"/>
  <c r="K68" i="23"/>
  <c r="K64" i="23"/>
  <c r="K63" i="23"/>
  <c r="K62" i="23"/>
  <c r="K61" i="23"/>
  <c r="K60" i="23"/>
  <c r="K59" i="23"/>
  <c r="K58" i="23"/>
  <c r="K54" i="23"/>
  <c r="K53" i="23"/>
  <c r="K52" i="23"/>
  <c r="K51" i="23"/>
  <c r="K50" i="23"/>
  <c r="K49" i="23"/>
  <c r="K45" i="23"/>
  <c r="K44" i="23"/>
  <c r="K43" i="23"/>
  <c r="K42" i="23"/>
  <c r="K41" i="23"/>
  <c r="K40" i="23"/>
  <c r="K39" i="23"/>
  <c r="K35" i="23"/>
  <c r="K34" i="23"/>
  <c r="K33" i="23"/>
  <c r="K32" i="23"/>
  <c r="K31" i="23"/>
  <c r="K30" i="23"/>
  <c r="K29" i="23"/>
  <c r="K28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E107" i="23"/>
  <c r="E106" i="23"/>
  <c r="E105" i="23"/>
  <c r="E104" i="23"/>
  <c r="E103" i="23"/>
  <c r="E102" i="23"/>
  <c r="E101" i="23"/>
  <c r="E97" i="23"/>
  <c r="E96" i="23"/>
  <c r="E95" i="23"/>
  <c r="E94" i="23"/>
  <c r="E93" i="23"/>
  <c r="E92" i="23"/>
  <c r="E91" i="23"/>
  <c r="E87" i="23"/>
  <c r="E86" i="23"/>
  <c r="E85" i="23"/>
  <c r="E84" i="23"/>
  <c r="E83" i="23"/>
  <c r="E82" i="23"/>
  <c r="E78" i="23"/>
  <c r="E77" i="23"/>
  <c r="E76" i="23"/>
  <c r="E75" i="23"/>
  <c r="E74" i="23"/>
  <c r="E73" i="23"/>
  <c r="E72" i="23"/>
  <c r="E71" i="23"/>
  <c r="E70" i="23"/>
  <c r="E69" i="23"/>
  <c r="E68" i="23"/>
  <c r="E64" i="23"/>
  <c r="E63" i="23"/>
  <c r="E62" i="23"/>
  <c r="E61" i="23"/>
  <c r="E60" i="23"/>
  <c r="E59" i="23"/>
  <c r="E58" i="23"/>
  <c r="E54" i="23"/>
  <c r="E53" i="23"/>
  <c r="E52" i="23"/>
  <c r="E51" i="23"/>
  <c r="E50" i="23"/>
  <c r="E49" i="23"/>
  <c r="E45" i="23"/>
  <c r="E44" i="23"/>
  <c r="E43" i="23"/>
  <c r="E42" i="23"/>
  <c r="E41" i="23"/>
  <c r="E40" i="23"/>
  <c r="E39" i="23"/>
  <c r="E35" i="23"/>
  <c r="E34" i="23"/>
  <c r="E33" i="23"/>
  <c r="E32" i="23"/>
  <c r="E31" i="23"/>
  <c r="E30" i="23"/>
  <c r="E29" i="23"/>
  <c r="E28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AO141" i="48"/>
  <c r="AN141" i="48"/>
  <c r="AO140" i="48"/>
  <c r="AN140" i="48"/>
  <c r="AO139" i="48"/>
  <c r="AN139" i="48"/>
  <c r="AP139" i="48" s="1"/>
  <c r="AQ139" i="48" s="1"/>
  <c r="AO138" i="48"/>
  <c r="AN138" i="48"/>
  <c r="AO137" i="48"/>
  <c r="AN137" i="48"/>
  <c r="AO136" i="48"/>
  <c r="AN136" i="48"/>
  <c r="AO135" i="48"/>
  <c r="AN135" i="48"/>
  <c r="AO134" i="48"/>
  <c r="AN134" i="48"/>
  <c r="AP134" i="48" s="1"/>
  <c r="AQ134" i="48" s="1"/>
  <c r="AO133" i="48"/>
  <c r="AN133" i="48"/>
  <c r="AO132" i="48"/>
  <c r="AN132" i="48"/>
  <c r="AP132" i="48" s="1"/>
  <c r="AQ132" i="48" s="1"/>
  <c r="AO131" i="48"/>
  <c r="AN131" i="48"/>
  <c r="AP131" i="48" s="1"/>
  <c r="AQ131" i="48" s="1"/>
  <c r="AO130" i="48"/>
  <c r="AN130" i="48"/>
  <c r="AP130" i="48" s="1"/>
  <c r="AQ130" i="48" s="1"/>
  <c r="AO129" i="48"/>
  <c r="AN129" i="48"/>
  <c r="AO128" i="48"/>
  <c r="AN128" i="48"/>
  <c r="AO127" i="48"/>
  <c r="AN127" i="48"/>
  <c r="AO126" i="48"/>
  <c r="AN126" i="48"/>
  <c r="AP126" i="48" s="1"/>
  <c r="AQ126" i="48" s="1"/>
  <c r="AO125" i="48"/>
  <c r="AN125" i="48"/>
  <c r="AO124" i="48"/>
  <c r="AN124" i="48"/>
  <c r="AO123" i="48"/>
  <c r="AN123" i="48"/>
  <c r="AP123" i="48" s="1"/>
  <c r="AQ123" i="48" s="1"/>
  <c r="AO122" i="48"/>
  <c r="AN122" i="48"/>
  <c r="AP122" i="48" s="1"/>
  <c r="AQ122" i="48" s="1"/>
  <c r="AO121" i="48"/>
  <c r="AN121" i="48"/>
  <c r="AO120" i="48"/>
  <c r="AN120" i="48"/>
  <c r="AP120" i="48" s="1"/>
  <c r="AQ120" i="48" s="1"/>
  <c r="AO119" i="48"/>
  <c r="AN119" i="48"/>
  <c r="AO118" i="48"/>
  <c r="AP118" i="48" s="1"/>
  <c r="AQ118" i="48" s="1"/>
  <c r="AN118" i="48"/>
  <c r="AO117" i="48"/>
  <c r="AN117" i="48"/>
  <c r="AP117" i="48" s="1"/>
  <c r="AQ117" i="48" s="1"/>
  <c r="AO116" i="48"/>
  <c r="AN116" i="48"/>
  <c r="AP116" i="48" s="1"/>
  <c r="AQ116" i="48" s="1"/>
  <c r="AO115" i="48"/>
  <c r="AN115" i="48"/>
  <c r="AP115" i="48" s="1"/>
  <c r="AQ115" i="48" s="1"/>
  <c r="AO114" i="48"/>
  <c r="AN114" i="48"/>
  <c r="AP114" i="48" s="1"/>
  <c r="AQ114" i="48" s="1"/>
  <c r="AO113" i="48"/>
  <c r="AN113" i="48"/>
  <c r="AP113" i="48" s="1"/>
  <c r="AQ113" i="48" s="1"/>
  <c r="AO112" i="48"/>
  <c r="AN112" i="48"/>
  <c r="AO111" i="48"/>
  <c r="AN111" i="48"/>
  <c r="AP111" i="48" s="1"/>
  <c r="AQ111" i="48" s="1"/>
  <c r="AO110" i="48"/>
  <c r="AN110" i="48"/>
  <c r="AO109" i="48"/>
  <c r="AN109" i="48"/>
  <c r="AP109" i="48" s="1"/>
  <c r="AQ109" i="48" s="1"/>
  <c r="AO108" i="48"/>
  <c r="AN108" i="48"/>
  <c r="AP108" i="48" s="1"/>
  <c r="AQ108" i="48" s="1"/>
  <c r="AO107" i="48"/>
  <c r="AN107" i="48"/>
  <c r="AO106" i="48"/>
  <c r="AN106" i="48"/>
  <c r="AO105" i="48"/>
  <c r="AN105" i="48"/>
  <c r="AO104" i="48"/>
  <c r="AN104" i="48"/>
  <c r="AP104" i="48" s="1"/>
  <c r="AQ104" i="48" s="1"/>
  <c r="AO103" i="48"/>
  <c r="AN103" i="48"/>
  <c r="AO102" i="48"/>
  <c r="AN102" i="48"/>
  <c r="AO101" i="48"/>
  <c r="AN101" i="48"/>
  <c r="AO100" i="48"/>
  <c r="AN100" i="48"/>
  <c r="AP100" i="48" s="1"/>
  <c r="AQ100" i="48" s="1"/>
  <c r="AO99" i="48"/>
  <c r="AN99" i="48"/>
  <c r="AP99" i="48" s="1"/>
  <c r="AQ99" i="48" s="1"/>
  <c r="AO98" i="48"/>
  <c r="AN98" i="48"/>
  <c r="AO97" i="48"/>
  <c r="AN97" i="48"/>
  <c r="AO96" i="48"/>
  <c r="AN96" i="48"/>
  <c r="AO95" i="48"/>
  <c r="AN95" i="48"/>
  <c r="AP95" i="48" s="1"/>
  <c r="AQ95" i="48" s="1"/>
  <c r="AO94" i="48"/>
  <c r="AN94" i="48"/>
  <c r="AO93" i="48"/>
  <c r="AN93" i="48"/>
  <c r="AO92" i="48"/>
  <c r="AN92" i="48"/>
  <c r="AP92" i="48" s="1"/>
  <c r="AQ92" i="48" s="1"/>
  <c r="AO91" i="48"/>
  <c r="AN91" i="48"/>
  <c r="AO90" i="48"/>
  <c r="AN90" i="48"/>
  <c r="AO89" i="48"/>
  <c r="AN89" i="48"/>
  <c r="AO88" i="48"/>
  <c r="AN88" i="48"/>
  <c r="AP88" i="48" s="1"/>
  <c r="AQ88" i="48" s="1"/>
  <c r="AO87" i="48"/>
  <c r="AN87" i="48"/>
  <c r="AO86" i="48"/>
  <c r="AN86" i="48"/>
  <c r="AO85" i="48"/>
  <c r="AN85" i="48"/>
  <c r="AO84" i="48"/>
  <c r="AN84" i="48"/>
  <c r="AP84" i="48" s="1"/>
  <c r="AQ84" i="48" s="1"/>
  <c r="AO83" i="48"/>
  <c r="AN83" i="48"/>
  <c r="AP83" i="48" s="1"/>
  <c r="AQ83" i="48" s="1"/>
  <c r="AO82" i="48"/>
  <c r="AN82" i="48"/>
  <c r="AO81" i="48"/>
  <c r="AN81" i="48"/>
  <c r="AO80" i="48"/>
  <c r="AN80" i="48"/>
  <c r="AP80" i="48" s="1"/>
  <c r="AQ80" i="48" s="1"/>
  <c r="AO79" i="48"/>
  <c r="AN79" i="48"/>
  <c r="AP79" i="48" s="1"/>
  <c r="AQ79" i="48" s="1"/>
  <c r="AO78" i="48"/>
  <c r="AN78" i="48"/>
  <c r="AO77" i="48"/>
  <c r="AN77" i="48"/>
  <c r="AP77" i="48" s="1"/>
  <c r="AQ77" i="48" s="1"/>
  <c r="AO76" i="48"/>
  <c r="AN76" i="48"/>
  <c r="AO75" i="48"/>
  <c r="AN75" i="48"/>
  <c r="AO74" i="48"/>
  <c r="AN74" i="48"/>
  <c r="AO73" i="48"/>
  <c r="AN73" i="48"/>
  <c r="AO72" i="48"/>
  <c r="AN72" i="48"/>
  <c r="AP72" i="48" s="1"/>
  <c r="AQ72" i="48" s="1"/>
  <c r="AO71" i="48"/>
  <c r="AN71" i="48"/>
  <c r="AO70" i="48"/>
  <c r="AN70" i="48"/>
  <c r="AO69" i="48"/>
  <c r="AN69" i="48"/>
  <c r="AP69" i="48" s="1"/>
  <c r="AQ69" i="48" s="1"/>
  <c r="AO68" i="48"/>
  <c r="AN68" i="48"/>
  <c r="AP68" i="48" s="1"/>
  <c r="AQ68" i="48" s="1"/>
  <c r="AO67" i="48"/>
  <c r="AN67" i="48"/>
  <c r="AO66" i="48"/>
  <c r="AN66" i="48"/>
  <c r="AO65" i="48"/>
  <c r="AN65" i="48"/>
  <c r="AP65" i="48" s="1"/>
  <c r="AQ65" i="48" s="1"/>
  <c r="AO64" i="48"/>
  <c r="AN64" i="48"/>
  <c r="AP64" i="48" s="1"/>
  <c r="AQ64" i="48" s="1"/>
  <c r="AO63" i="48"/>
  <c r="AN63" i="48"/>
  <c r="AO62" i="48"/>
  <c r="AN62" i="48"/>
  <c r="AO61" i="48"/>
  <c r="AN61" i="48"/>
  <c r="AO60" i="48"/>
  <c r="AN60" i="48"/>
  <c r="AO59" i="48"/>
  <c r="AN59" i="48"/>
  <c r="AO58" i="48"/>
  <c r="AN58" i="48"/>
  <c r="AO57" i="48"/>
  <c r="AN57" i="48"/>
  <c r="AO56" i="48"/>
  <c r="AN56" i="48"/>
  <c r="AP56" i="48" s="1"/>
  <c r="AQ56" i="48" s="1"/>
  <c r="AO55" i="48"/>
  <c r="AN55" i="48"/>
  <c r="AO54" i="48"/>
  <c r="AN54" i="48"/>
  <c r="AO53" i="48"/>
  <c r="AN53" i="48"/>
  <c r="AO52" i="48"/>
  <c r="AN52" i="48"/>
  <c r="AO51" i="48"/>
  <c r="AN51" i="48"/>
  <c r="AO50" i="48"/>
  <c r="AN50" i="48"/>
  <c r="AP50" i="48" s="1"/>
  <c r="AQ50" i="48" s="1"/>
  <c r="AO49" i="48"/>
  <c r="AN49" i="48"/>
  <c r="AO48" i="48"/>
  <c r="AN48" i="48"/>
  <c r="AO47" i="48"/>
  <c r="AN47" i="48"/>
  <c r="AO46" i="48"/>
  <c r="AN46" i="48"/>
  <c r="AP46" i="48" s="1"/>
  <c r="AQ46" i="48" s="1"/>
  <c r="AO45" i="48"/>
  <c r="AN45" i="48"/>
  <c r="AO44" i="48"/>
  <c r="AN44" i="48"/>
  <c r="AO43" i="48"/>
  <c r="AN43" i="48"/>
  <c r="AO42" i="48"/>
  <c r="AN42" i="48"/>
  <c r="AO41" i="48"/>
  <c r="AN41" i="48"/>
  <c r="AP41" i="48" s="1"/>
  <c r="AQ41" i="48" s="1"/>
  <c r="AO40" i="48"/>
  <c r="AN40" i="48"/>
  <c r="AP40" i="48" s="1"/>
  <c r="AQ40" i="48" s="1"/>
  <c r="AO39" i="48"/>
  <c r="AN39" i="48"/>
  <c r="AO38" i="48"/>
  <c r="AN38" i="48"/>
  <c r="AO37" i="48"/>
  <c r="AN37" i="48"/>
  <c r="AO36" i="48"/>
  <c r="AN36" i="48"/>
  <c r="AO35" i="48"/>
  <c r="AN35" i="48"/>
  <c r="AO34" i="48"/>
  <c r="AN34" i="48"/>
  <c r="AO33" i="48"/>
  <c r="AN33" i="48"/>
  <c r="AO32" i="48"/>
  <c r="AN32" i="48"/>
  <c r="AP32" i="48" s="1"/>
  <c r="AQ32" i="48" s="1"/>
  <c r="AO31" i="48"/>
  <c r="AN31" i="48"/>
  <c r="AO30" i="48"/>
  <c r="AN30" i="48"/>
  <c r="AO29" i="48"/>
  <c r="AN29" i="48"/>
  <c r="AP29" i="48" s="1"/>
  <c r="AQ29" i="48" s="1"/>
  <c r="AO28" i="48"/>
  <c r="AN28" i="48"/>
  <c r="AP28" i="48" s="1"/>
  <c r="AQ28" i="48" s="1"/>
  <c r="AO27" i="48"/>
  <c r="AN27" i="48"/>
  <c r="AO26" i="48"/>
  <c r="AN26" i="48"/>
  <c r="AO25" i="48"/>
  <c r="AN25" i="48"/>
  <c r="AO24" i="48"/>
  <c r="AN24" i="48"/>
  <c r="AP24" i="48" s="1"/>
  <c r="AQ24" i="48" s="1"/>
  <c r="AO23" i="48"/>
  <c r="AN23" i="48"/>
  <c r="AO22" i="48"/>
  <c r="AN22" i="48"/>
  <c r="AO21" i="48"/>
  <c r="AN21" i="48"/>
  <c r="AP21" i="48" s="1"/>
  <c r="AQ21" i="48" s="1"/>
  <c r="AO20" i="48"/>
  <c r="AN20" i="48"/>
  <c r="AP20" i="48" s="1"/>
  <c r="AQ20" i="48" s="1"/>
  <c r="AO19" i="48"/>
  <c r="AN19" i="48"/>
  <c r="AO18" i="48"/>
  <c r="AN18" i="48"/>
  <c r="AO17" i="48"/>
  <c r="AN17" i="48"/>
  <c r="AP17" i="48" s="1"/>
  <c r="AQ17" i="48" s="1"/>
  <c r="AO16" i="48"/>
  <c r="AN16" i="48"/>
  <c r="AO15" i="48"/>
  <c r="AN15" i="48"/>
  <c r="AO14" i="48"/>
  <c r="AN14" i="48"/>
  <c r="AO13" i="48"/>
  <c r="AN13" i="48"/>
  <c r="AO12" i="48"/>
  <c r="AN12" i="48"/>
  <c r="AO11" i="48"/>
  <c r="AN11" i="48"/>
  <c r="AO10" i="48"/>
  <c r="AN10" i="48"/>
  <c r="AO9" i="48"/>
  <c r="AN9" i="48"/>
  <c r="AO8" i="48"/>
  <c r="AN8" i="48"/>
  <c r="AO7" i="48"/>
  <c r="AN7" i="48"/>
  <c r="AO6" i="48"/>
  <c r="AN6" i="48"/>
  <c r="AO5" i="48"/>
  <c r="AN5" i="48"/>
  <c r="AO4" i="48"/>
  <c r="AN4" i="48"/>
  <c r="H300" i="48"/>
  <c r="H299" i="48"/>
  <c r="H298" i="48"/>
  <c r="H297" i="48"/>
  <c r="H296" i="48"/>
  <c r="H295" i="48"/>
  <c r="H294" i="48"/>
  <c r="H293" i="48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H228" i="48"/>
  <c r="H227" i="48"/>
  <c r="H226" i="48"/>
  <c r="H225" i="48"/>
  <c r="H224" i="48"/>
  <c r="H223" i="48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H157" i="48"/>
  <c r="H156" i="48"/>
  <c r="H155" i="48"/>
  <c r="H154" i="48"/>
  <c r="H153" i="48"/>
  <c r="H152" i="48"/>
  <c r="H151" i="48"/>
  <c r="H150" i="48"/>
  <c r="H149" i="48"/>
  <c r="H148" i="48"/>
  <c r="H147" i="48"/>
  <c r="H146" i="48"/>
  <c r="H145" i="48"/>
  <c r="H144" i="48"/>
  <c r="H143" i="48"/>
  <c r="H142" i="48"/>
  <c r="AP141" i="48"/>
  <c r="AQ141" i="48" s="1"/>
  <c r="H141" i="48"/>
  <c r="AP140" i="48"/>
  <c r="AQ140" i="48" s="1"/>
  <c r="H140" i="48"/>
  <c r="H139" i="48"/>
  <c r="H138" i="48"/>
  <c r="H137" i="48"/>
  <c r="H136" i="48"/>
  <c r="H135" i="48"/>
  <c r="H134" i="48"/>
  <c r="AP133" i="48"/>
  <c r="AQ133" i="48" s="1"/>
  <c r="H133" i="48"/>
  <c r="H132" i="48"/>
  <c r="H131" i="48"/>
  <c r="H130" i="48"/>
  <c r="H129" i="48"/>
  <c r="AP128" i="48"/>
  <c r="AQ128" i="48" s="1"/>
  <c r="H128" i="48"/>
  <c r="H127" i="48"/>
  <c r="H126" i="48"/>
  <c r="AP125" i="48"/>
  <c r="AQ125" i="48" s="1"/>
  <c r="H125" i="48"/>
  <c r="AP124" i="48"/>
  <c r="AQ124" i="48" s="1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AP110" i="48"/>
  <c r="AQ110" i="48" s="1"/>
  <c r="H110" i="48"/>
  <c r="H109" i="48"/>
  <c r="H108" i="48"/>
  <c r="AP107" i="48"/>
  <c r="AQ107" i="48" s="1"/>
  <c r="H107" i="48"/>
  <c r="AP106" i="48"/>
  <c r="AQ106" i="48" s="1"/>
  <c r="H106" i="48"/>
  <c r="H105" i="48"/>
  <c r="H104" i="48"/>
  <c r="H103" i="48"/>
  <c r="AQ102" i="48"/>
  <c r="AP102" i="48"/>
  <c r="H102" i="48"/>
  <c r="AP101" i="48"/>
  <c r="AQ101" i="48" s="1"/>
  <c r="H101" i="48"/>
  <c r="H100" i="48"/>
  <c r="H99" i="48"/>
  <c r="AP98" i="48"/>
  <c r="AQ98" i="48" s="1"/>
  <c r="H98" i="48"/>
  <c r="AP97" i="48"/>
  <c r="AQ97" i="48" s="1"/>
  <c r="H97" i="48"/>
  <c r="H96" i="48"/>
  <c r="H95" i="48"/>
  <c r="AP94" i="48"/>
  <c r="AQ94" i="48" s="1"/>
  <c r="H94" i="48"/>
  <c r="AP93" i="48"/>
  <c r="AQ93" i="48" s="1"/>
  <c r="H93" i="48"/>
  <c r="H92" i="48"/>
  <c r="AP91" i="48"/>
  <c r="AQ91" i="48" s="1"/>
  <c r="H91" i="48"/>
  <c r="AP90" i="48"/>
  <c r="AQ90" i="48" s="1"/>
  <c r="H90" i="48"/>
  <c r="H89" i="48"/>
  <c r="H88" i="48"/>
  <c r="H87" i="48"/>
  <c r="AP86" i="48"/>
  <c r="AQ86" i="48" s="1"/>
  <c r="H86" i="48"/>
  <c r="AP85" i="48"/>
  <c r="AQ85" i="48" s="1"/>
  <c r="H85" i="48"/>
  <c r="H84" i="48"/>
  <c r="H83" i="48"/>
  <c r="AP82" i="48"/>
  <c r="AQ82" i="48" s="1"/>
  <c r="H82" i="48"/>
  <c r="AP81" i="48"/>
  <c r="AQ81" i="48" s="1"/>
  <c r="H81" i="48"/>
  <c r="H80" i="48"/>
  <c r="H79" i="48"/>
  <c r="AQ78" i="48"/>
  <c r="AP78" i="48"/>
  <c r="H78" i="48"/>
  <c r="H77" i="48"/>
  <c r="AP76" i="48"/>
  <c r="AQ76" i="48" s="1"/>
  <c r="H76" i="48"/>
  <c r="AP75" i="48"/>
  <c r="AQ75" i="48" s="1"/>
  <c r="H75" i="48"/>
  <c r="AP74" i="48"/>
  <c r="AQ74" i="48" s="1"/>
  <c r="H74" i="48"/>
  <c r="H73" i="48"/>
  <c r="H72" i="48"/>
  <c r="H71" i="48"/>
  <c r="AQ70" i="48"/>
  <c r="AP70" i="48"/>
  <c r="H70" i="48"/>
  <c r="H69" i="48"/>
  <c r="H68" i="48"/>
  <c r="AP67" i="48"/>
  <c r="AQ67" i="48" s="1"/>
  <c r="H67" i="48"/>
  <c r="AP66" i="48"/>
  <c r="AQ66" i="48" s="1"/>
  <c r="H66" i="48"/>
  <c r="H65" i="48"/>
  <c r="H64" i="48"/>
  <c r="AP63" i="48"/>
  <c r="AQ63" i="48" s="1"/>
  <c r="H63" i="48"/>
  <c r="AP62" i="48"/>
  <c r="AQ62" i="48" s="1"/>
  <c r="H62" i="48"/>
  <c r="AP61" i="48"/>
  <c r="AQ61" i="48" s="1"/>
  <c r="H61" i="48"/>
  <c r="AP60" i="48"/>
  <c r="AQ60" i="48" s="1"/>
  <c r="H60" i="48"/>
  <c r="AP59" i="48"/>
  <c r="AQ59" i="48" s="1"/>
  <c r="H59" i="48"/>
  <c r="AP58" i="48"/>
  <c r="AQ58" i="48" s="1"/>
  <c r="H58" i="48"/>
  <c r="H57" i="48"/>
  <c r="H56" i="48"/>
  <c r="H55" i="48"/>
  <c r="AQ54" i="48"/>
  <c r="AP54" i="48"/>
  <c r="H54" i="48"/>
  <c r="AP53" i="48"/>
  <c r="AQ53" i="48" s="1"/>
  <c r="H53" i="48"/>
  <c r="AP52" i="48"/>
  <c r="AQ52" i="48" s="1"/>
  <c r="H52" i="48"/>
  <c r="AP51" i="48"/>
  <c r="AQ51" i="48" s="1"/>
  <c r="H51" i="48"/>
  <c r="H50" i="48"/>
  <c r="AP49" i="48"/>
  <c r="AQ49" i="48" s="1"/>
  <c r="H49" i="48"/>
  <c r="AP48" i="48"/>
  <c r="AQ48" i="48" s="1"/>
  <c r="H48" i="48"/>
  <c r="AP47" i="48"/>
  <c r="AQ47" i="48" s="1"/>
  <c r="H47" i="48"/>
  <c r="H46" i="48"/>
  <c r="H45" i="48"/>
  <c r="H44" i="48"/>
  <c r="AP43" i="48"/>
  <c r="AQ43" i="48" s="1"/>
  <c r="H43" i="48"/>
  <c r="AP42" i="48"/>
  <c r="AQ42" i="48" s="1"/>
  <c r="H42" i="48"/>
  <c r="H41" i="48"/>
  <c r="H40" i="48"/>
  <c r="AP39" i="48"/>
  <c r="AQ39" i="48" s="1"/>
  <c r="H39" i="48"/>
  <c r="AP38" i="48"/>
  <c r="AQ38" i="48" s="1"/>
  <c r="H38" i="48"/>
  <c r="AP37" i="48"/>
  <c r="AQ37" i="48" s="1"/>
  <c r="H37" i="48"/>
  <c r="H36" i="48"/>
  <c r="AP35" i="48"/>
  <c r="AQ35" i="48" s="1"/>
  <c r="H35" i="48"/>
  <c r="H34" i="48"/>
  <c r="AP33" i="48"/>
  <c r="AQ33" i="48" s="1"/>
  <c r="H33" i="48"/>
  <c r="H32" i="48"/>
  <c r="AP31" i="48"/>
  <c r="AQ31" i="48" s="1"/>
  <c r="H31" i="48"/>
  <c r="AP30" i="48"/>
  <c r="AQ30" i="48" s="1"/>
  <c r="H30" i="48"/>
  <c r="H29" i="48"/>
  <c r="H28" i="48"/>
  <c r="AP27" i="48"/>
  <c r="AQ27" i="48" s="1"/>
  <c r="H27" i="48"/>
  <c r="H26" i="48"/>
  <c r="AP25" i="48"/>
  <c r="AQ25" i="48" s="1"/>
  <c r="H25" i="48"/>
  <c r="H24" i="48"/>
  <c r="AP23" i="48"/>
  <c r="AQ23" i="48" s="1"/>
  <c r="H23" i="48"/>
  <c r="AP22" i="48"/>
  <c r="AQ22" i="48" s="1"/>
  <c r="H22" i="48"/>
  <c r="H21" i="48"/>
  <c r="H20" i="48"/>
  <c r="AP19" i="48"/>
  <c r="AQ19" i="48" s="1"/>
  <c r="H19" i="48"/>
  <c r="AP18" i="48"/>
  <c r="AQ18" i="48" s="1"/>
  <c r="H18" i="48"/>
  <c r="H17" i="48"/>
  <c r="AP16" i="48"/>
  <c r="AQ16" i="48" s="1"/>
  <c r="H16" i="48"/>
  <c r="AP15" i="48"/>
  <c r="AQ15" i="48" s="1"/>
  <c r="H15" i="48"/>
  <c r="AP14" i="48"/>
  <c r="AQ14" i="48" s="1"/>
  <c r="H14" i="48"/>
  <c r="AP13" i="48"/>
  <c r="AQ13" i="48" s="1"/>
  <c r="H13" i="48"/>
  <c r="AP12" i="48"/>
  <c r="AQ12" i="48" s="1"/>
  <c r="H12" i="48"/>
  <c r="AP11" i="48"/>
  <c r="AQ11" i="48" s="1"/>
  <c r="H11" i="48"/>
  <c r="AP10" i="48"/>
  <c r="AQ10" i="48" s="1"/>
  <c r="H10" i="48"/>
  <c r="AP9" i="48"/>
  <c r="AQ9" i="48" s="1"/>
  <c r="H9" i="48"/>
  <c r="AP8" i="48"/>
  <c r="AQ8" i="48" s="1"/>
  <c r="H8" i="48"/>
  <c r="AP7" i="48"/>
  <c r="AQ7" i="48" s="1"/>
  <c r="H7" i="48"/>
  <c r="AP6" i="48"/>
  <c r="AQ6" i="48" s="1"/>
  <c r="H6" i="48"/>
  <c r="AP5" i="48"/>
  <c r="AQ5" i="48" s="1"/>
  <c r="H5" i="48"/>
  <c r="AP4" i="48"/>
  <c r="H4" i="48"/>
  <c r="H3" i="48"/>
  <c r="K107" i="22"/>
  <c r="K106" i="22"/>
  <c r="K105" i="22"/>
  <c r="K104" i="22"/>
  <c r="K103" i="22"/>
  <c r="K102" i="22"/>
  <c r="K101" i="22"/>
  <c r="K97" i="22"/>
  <c r="K96" i="22"/>
  <c r="K95" i="22"/>
  <c r="K94" i="22"/>
  <c r="K93" i="22"/>
  <c r="K92" i="22"/>
  <c r="K91" i="22"/>
  <c r="L91" i="22" s="1"/>
  <c r="K87" i="22"/>
  <c r="K86" i="22"/>
  <c r="K85" i="22"/>
  <c r="K84" i="22"/>
  <c r="K83" i="22"/>
  <c r="K82" i="22"/>
  <c r="K78" i="22"/>
  <c r="K77" i="22"/>
  <c r="K76" i="22"/>
  <c r="K75" i="22"/>
  <c r="K74" i="22"/>
  <c r="K73" i="22"/>
  <c r="K72" i="22"/>
  <c r="K71" i="22"/>
  <c r="K70" i="22"/>
  <c r="K69" i="22"/>
  <c r="K68" i="22"/>
  <c r="K64" i="22"/>
  <c r="K63" i="22"/>
  <c r="K62" i="22"/>
  <c r="K61" i="22"/>
  <c r="K60" i="22"/>
  <c r="K59" i="22"/>
  <c r="K58" i="22"/>
  <c r="K54" i="22"/>
  <c r="K53" i="22"/>
  <c r="K52" i="22"/>
  <c r="K51" i="22"/>
  <c r="K50" i="22"/>
  <c r="K49" i="22"/>
  <c r="K45" i="22"/>
  <c r="K44" i="22"/>
  <c r="K43" i="22"/>
  <c r="K42" i="22"/>
  <c r="K41" i="22"/>
  <c r="K40" i="22"/>
  <c r="K39" i="22"/>
  <c r="K35" i="22"/>
  <c r="K34" i="22"/>
  <c r="K33" i="22"/>
  <c r="K32" i="22"/>
  <c r="K31" i="22"/>
  <c r="K30" i="22"/>
  <c r="K29" i="22"/>
  <c r="K28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E107" i="22"/>
  <c r="E106" i="22"/>
  <c r="E105" i="22"/>
  <c r="E104" i="22"/>
  <c r="E103" i="22"/>
  <c r="E102" i="22"/>
  <c r="E101" i="22"/>
  <c r="E97" i="22"/>
  <c r="E96" i="22"/>
  <c r="E95" i="22"/>
  <c r="E94" i="22"/>
  <c r="E93" i="22"/>
  <c r="E92" i="22"/>
  <c r="E91" i="22"/>
  <c r="E87" i="22"/>
  <c r="E86" i="22"/>
  <c r="E85" i="22"/>
  <c r="E84" i="22"/>
  <c r="E83" i="22"/>
  <c r="E82" i="22"/>
  <c r="E78" i="22"/>
  <c r="E77" i="22"/>
  <c r="E76" i="22"/>
  <c r="E75" i="22"/>
  <c r="E74" i="22"/>
  <c r="E73" i="22"/>
  <c r="E72" i="22"/>
  <c r="E71" i="22"/>
  <c r="E70" i="22"/>
  <c r="E69" i="22"/>
  <c r="E68" i="22"/>
  <c r="E64" i="22"/>
  <c r="E63" i="22"/>
  <c r="E62" i="22"/>
  <c r="E61" i="22"/>
  <c r="E60" i="22"/>
  <c r="E59" i="22"/>
  <c r="E58" i="22"/>
  <c r="E54" i="22"/>
  <c r="E53" i="22"/>
  <c r="E52" i="22"/>
  <c r="E51" i="22"/>
  <c r="E50" i="22"/>
  <c r="E49" i="22"/>
  <c r="E45" i="22"/>
  <c r="E44" i="22"/>
  <c r="E43" i="22"/>
  <c r="E42" i="22"/>
  <c r="E41" i="22"/>
  <c r="E40" i="22"/>
  <c r="E39" i="22"/>
  <c r="E35" i="22"/>
  <c r="E34" i="22"/>
  <c r="E33" i="22"/>
  <c r="E32" i="22"/>
  <c r="E31" i="22"/>
  <c r="E30" i="22"/>
  <c r="E29" i="22"/>
  <c r="E28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AO141" i="47"/>
  <c r="AN141" i="47"/>
  <c r="AO140" i="47"/>
  <c r="AN140" i="47"/>
  <c r="AO139" i="47"/>
  <c r="AN139" i="47"/>
  <c r="AP139" i="47" s="1"/>
  <c r="AQ139" i="47" s="1"/>
  <c r="AO138" i="47"/>
  <c r="AN138" i="47"/>
  <c r="AO137" i="47"/>
  <c r="AN137" i="47"/>
  <c r="AO136" i="47"/>
  <c r="AN136" i="47"/>
  <c r="AP136" i="47" s="1"/>
  <c r="AQ136" i="47" s="1"/>
  <c r="AO135" i="47"/>
  <c r="AN135" i="47"/>
  <c r="AP135" i="47" s="1"/>
  <c r="AQ135" i="47" s="1"/>
  <c r="AO134" i="47"/>
  <c r="AN134" i="47"/>
  <c r="AP134" i="47" s="1"/>
  <c r="AQ134" i="47" s="1"/>
  <c r="AO133" i="47"/>
  <c r="AN133" i="47"/>
  <c r="AO132" i="47"/>
  <c r="AN132" i="47"/>
  <c r="AP132" i="47" s="1"/>
  <c r="AQ132" i="47" s="1"/>
  <c r="AO131" i="47"/>
  <c r="AN131" i="47"/>
  <c r="AP131" i="47" s="1"/>
  <c r="AQ131" i="47" s="1"/>
  <c r="AO130" i="47"/>
  <c r="AN130" i="47"/>
  <c r="AP130" i="47" s="1"/>
  <c r="AQ130" i="47" s="1"/>
  <c r="AO129" i="47"/>
  <c r="AN129" i="47"/>
  <c r="AO128" i="47"/>
  <c r="AN128" i="47"/>
  <c r="AP128" i="47" s="1"/>
  <c r="AQ128" i="47" s="1"/>
  <c r="AO127" i="47"/>
  <c r="AN127" i="47"/>
  <c r="AO126" i="47"/>
  <c r="AN126" i="47"/>
  <c r="AP126" i="47" s="1"/>
  <c r="AQ126" i="47" s="1"/>
  <c r="AO125" i="47"/>
  <c r="AN125" i="47"/>
  <c r="AO124" i="47"/>
  <c r="AN124" i="47"/>
  <c r="AO123" i="47"/>
  <c r="AN123" i="47"/>
  <c r="AP123" i="47" s="1"/>
  <c r="AQ123" i="47" s="1"/>
  <c r="AO122" i="47"/>
  <c r="AN122" i="47"/>
  <c r="AP122" i="47" s="1"/>
  <c r="AQ122" i="47" s="1"/>
  <c r="AO121" i="47"/>
  <c r="AN121" i="47"/>
  <c r="AO120" i="47"/>
  <c r="AN120" i="47"/>
  <c r="AO119" i="47"/>
  <c r="AN119" i="47"/>
  <c r="AP119" i="47" s="1"/>
  <c r="AQ119" i="47" s="1"/>
  <c r="AO118" i="47"/>
  <c r="AN118" i="47"/>
  <c r="AP118" i="47" s="1"/>
  <c r="AQ118" i="47" s="1"/>
  <c r="AO117" i="47"/>
  <c r="AN117" i="47"/>
  <c r="AO116" i="47"/>
  <c r="AN116" i="47"/>
  <c r="AO115" i="47"/>
  <c r="AN115" i="47"/>
  <c r="AP115" i="47" s="1"/>
  <c r="AQ115" i="47" s="1"/>
  <c r="AO114" i="47"/>
  <c r="AN114" i="47"/>
  <c r="AP114" i="47" s="1"/>
  <c r="AQ114" i="47" s="1"/>
  <c r="AO113" i="47"/>
  <c r="AN113" i="47"/>
  <c r="AO112" i="47"/>
  <c r="AN112" i="47"/>
  <c r="AO111" i="47"/>
  <c r="AN111" i="47"/>
  <c r="AP111" i="47" s="1"/>
  <c r="AQ111" i="47" s="1"/>
  <c r="AO110" i="47"/>
  <c r="AN110" i="47"/>
  <c r="AP110" i="47" s="1"/>
  <c r="AQ110" i="47" s="1"/>
  <c r="AO109" i="47"/>
  <c r="AN109" i="47"/>
  <c r="AO108" i="47"/>
  <c r="AN108" i="47"/>
  <c r="AP108" i="47" s="1"/>
  <c r="AQ108" i="47" s="1"/>
  <c r="AO107" i="47"/>
  <c r="AN107" i="47"/>
  <c r="AP107" i="47" s="1"/>
  <c r="AQ107" i="47" s="1"/>
  <c r="AO106" i="47"/>
  <c r="AN106" i="47"/>
  <c r="AP106" i="47" s="1"/>
  <c r="AQ106" i="47" s="1"/>
  <c r="AO105" i="47"/>
  <c r="AN105" i="47"/>
  <c r="AO104" i="47"/>
  <c r="AN104" i="47"/>
  <c r="AO103" i="47"/>
  <c r="AN103" i="47"/>
  <c r="AP103" i="47" s="1"/>
  <c r="AQ103" i="47" s="1"/>
  <c r="AO102" i="47"/>
  <c r="AN102" i="47"/>
  <c r="AP102" i="47" s="1"/>
  <c r="AQ102" i="47" s="1"/>
  <c r="AO101" i="47"/>
  <c r="AN101" i="47"/>
  <c r="AO100" i="47"/>
  <c r="AN100" i="47"/>
  <c r="AP100" i="47" s="1"/>
  <c r="AQ100" i="47" s="1"/>
  <c r="AO99" i="47"/>
  <c r="AN99" i="47"/>
  <c r="AP99" i="47" s="1"/>
  <c r="AQ99" i="47" s="1"/>
  <c r="AO98" i="47"/>
  <c r="AN98" i="47"/>
  <c r="AP98" i="47" s="1"/>
  <c r="AQ98" i="47" s="1"/>
  <c r="AO97" i="47"/>
  <c r="AN97" i="47"/>
  <c r="AO96" i="47"/>
  <c r="AN96" i="47"/>
  <c r="AO95" i="47"/>
  <c r="AN95" i="47"/>
  <c r="AP95" i="47" s="1"/>
  <c r="AQ95" i="47" s="1"/>
  <c r="AO94" i="47"/>
  <c r="AN94" i="47"/>
  <c r="AP94" i="47" s="1"/>
  <c r="AQ94" i="47" s="1"/>
  <c r="AO93" i="47"/>
  <c r="AN93" i="47"/>
  <c r="AO92" i="47"/>
  <c r="AN92" i="47"/>
  <c r="AO91" i="47"/>
  <c r="AN91" i="47"/>
  <c r="AP91" i="47" s="1"/>
  <c r="AQ91" i="47" s="1"/>
  <c r="AO90" i="47"/>
  <c r="AN90" i="47"/>
  <c r="AP90" i="47" s="1"/>
  <c r="AQ90" i="47" s="1"/>
  <c r="AO89" i="47"/>
  <c r="AN89" i="47"/>
  <c r="AO88" i="47"/>
  <c r="AN88" i="47"/>
  <c r="AO87" i="47"/>
  <c r="AN87" i="47"/>
  <c r="AP87" i="47" s="1"/>
  <c r="AQ87" i="47" s="1"/>
  <c r="AO86" i="47"/>
  <c r="AN86" i="47"/>
  <c r="AP86" i="47" s="1"/>
  <c r="AQ86" i="47" s="1"/>
  <c r="AO85" i="47"/>
  <c r="AN85" i="47"/>
  <c r="AO84" i="47"/>
  <c r="AN84" i="47"/>
  <c r="AO83" i="47"/>
  <c r="AN83" i="47"/>
  <c r="AP83" i="47" s="1"/>
  <c r="AQ83" i="47" s="1"/>
  <c r="AO82" i="47"/>
  <c r="AN82" i="47"/>
  <c r="AP82" i="47" s="1"/>
  <c r="AQ82" i="47" s="1"/>
  <c r="AO81" i="47"/>
  <c r="AN81" i="47"/>
  <c r="AO80" i="47"/>
  <c r="AN80" i="47"/>
  <c r="AO79" i="47"/>
  <c r="AN79" i="47"/>
  <c r="AP79" i="47" s="1"/>
  <c r="AQ79" i="47" s="1"/>
  <c r="AO78" i="47"/>
  <c r="AN78" i="47"/>
  <c r="AP78" i="47" s="1"/>
  <c r="AQ78" i="47" s="1"/>
  <c r="AO77" i="47"/>
  <c r="AN77" i="47"/>
  <c r="AO76" i="47"/>
  <c r="AN76" i="47"/>
  <c r="AO75" i="47"/>
  <c r="AN75" i="47"/>
  <c r="AP75" i="47" s="1"/>
  <c r="AQ75" i="47" s="1"/>
  <c r="AO74" i="47"/>
  <c r="AN74" i="47"/>
  <c r="AP74" i="47" s="1"/>
  <c r="AQ74" i="47" s="1"/>
  <c r="AO73" i="47"/>
  <c r="AN73" i="47"/>
  <c r="AO72" i="47"/>
  <c r="AN72" i="47"/>
  <c r="AO71" i="47"/>
  <c r="AN71" i="47"/>
  <c r="AP71" i="47" s="1"/>
  <c r="AQ71" i="47" s="1"/>
  <c r="AO70" i="47"/>
  <c r="AN70" i="47"/>
  <c r="AP70" i="47" s="1"/>
  <c r="AQ70" i="47" s="1"/>
  <c r="AO69" i="47"/>
  <c r="AN69" i="47"/>
  <c r="AO68" i="47"/>
  <c r="AN68" i="47"/>
  <c r="AO67" i="47"/>
  <c r="AN67" i="47"/>
  <c r="AP67" i="47" s="1"/>
  <c r="AQ67" i="47" s="1"/>
  <c r="AO66" i="47"/>
  <c r="AN66" i="47"/>
  <c r="AP66" i="47" s="1"/>
  <c r="AQ66" i="47" s="1"/>
  <c r="AO65" i="47"/>
  <c r="AN65" i="47"/>
  <c r="AO64" i="47"/>
  <c r="AN64" i="47"/>
  <c r="AO63" i="47"/>
  <c r="AN63" i="47"/>
  <c r="AP63" i="47" s="1"/>
  <c r="AQ63" i="47" s="1"/>
  <c r="AO62" i="47"/>
  <c r="AN62" i="47"/>
  <c r="AP62" i="47" s="1"/>
  <c r="AQ62" i="47" s="1"/>
  <c r="AO61" i="47"/>
  <c r="AN61" i="47"/>
  <c r="AO60" i="47"/>
  <c r="AN60" i="47"/>
  <c r="AO59" i="47"/>
  <c r="AN59" i="47"/>
  <c r="AP59" i="47" s="1"/>
  <c r="AQ59" i="47" s="1"/>
  <c r="AO58" i="47"/>
  <c r="AN58" i="47"/>
  <c r="AP58" i="47" s="1"/>
  <c r="AQ58" i="47" s="1"/>
  <c r="AO57" i="47"/>
  <c r="AN57" i="47"/>
  <c r="AO56" i="47"/>
  <c r="AN56" i="47"/>
  <c r="AP56" i="47" s="1"/>
  <c r="AQ56" i="47" s="1"/>
  <c r="AO55" i="47"/>
  <c r="AN55" i="47"/>
  <c r="AP55" i="47" s="1"/>
  <c r="AQ55" i="47" s="1"/>
  <c r="AO54" i="47"/>
  <c r="AN54" i="47"/>
  <c r="AP54" i="47" s="1"/>
  <c r="AQ54" i="47" s="1"/>
  <c r="AO53" i="47"/>
  <c r="AN53" i="47"/>
  <c r="AP53" i="47" s="1"/>
  <c r="AQ53" i="47" s="1"/>
  <c r="AO52" i="47"/>
  <c r="AN52" i="47"/>
  <c r="AP52" i="47" s="1"/>
  <c r="AQ52" i="47" s="1"/>
  <c r="AO51" i="47"/>
  <c r="AN51" i="47"/>
  <c r="AP51" i="47" s="1"/>
  <c r="AQ51" i="47" s="1"/>
  <c r="AO50" i="47"/>
  <c r="AN50" i="47"/>
  <c r="AP50" i="47" s="1"/>
  <c r="AQ50" i="47" s="1"/>
  <c r="AO49" i="47"/>
  <c r="AN49" i="47"/>
  <c r="AP49" i="47" s="1"/>
  <c r="AQ49" i="47" s="1"/>
  <c r="AO48" i="47"/>
  <c r="AN48" i="47"/>
  <c r="AP48" i="47" s="1"/>
  <c r="AQ48" i="47" s="1"/>
  <c r="AO47" i="47"/>
  <c r="AN47" i="47"/>
  <c r="AP47" i="47" s="1"/>
  <c r="AQ47" i="47" s="1"/>
  <c r="AO46" i="47"/>
  <c r="AN46" i="47"/>
  <c r="AP46" i="47" s="1"/>
  <c r="AQ46" i="47" s="1"/>
  <c r="AO45" i="47"/>
  <c r="AN45" i="47"/>
  <c r="AP45" i="47" s="1"/>
  <c r="AQ45" i="47" s="1"/>
  <c r="AO44" i="47"/>
  <c r="AN44" i="47"/>
  <c r="AO43" i="47"/>
  <c r="AN43" i="47"/>
  <c r="AP43" i="47" s="1"/>
  <c r="AQ43" i="47" s="1"/>
  <c r="AO42" i="47"/>
  <c r="AN42" i="47"/>
  <c r="AP42" i="47" s="1"/>
  <c r="AQ42" i="47" s="1"/>
  <c r="AO41" i="47"/>
  <c r="AN41" i="47"/>
  <c r="AO40" i="47"/>
  <c r="AN40" i="47"/>
  <c r="AO39" i="47"/>
  <c r="AN39" i="47"/>
  <c r="AP39" i="47" s="1"/>
  <c r="AQ39" i="47" s="1"/>
  <c r="AO38" i="47"/>
  <c r="AN38" i="47"/>
  <c r="AP38" i="47" s="1"/>
  <c r="AQ38" i="47" s="1"/>
  <c r="AO37" i="47"/>
  <c r="AN37" i="47"/>
  <c r="AO36" i="47"/>
  <c r="AN36" i="47"/>
  <c r="AP36" i="47" s="1"/>
  <c r="AQ36" i="47" s="1"/>
  <c r="AO35" i="47"/>
  <c r="AN35" i="47"/>
  <c r="AP35" i="47" s="1"/>
  <c r="AQ35" i="47" s="1"/>
  <c r="AO34" i="47"/>
  <c r="AN34" i="47"/>
  <c r="AP34" i="47" s="1"/>
  <c r="AQ34" i="47" s="1"/>
  <c r="AO33" i="47"/>
  <c r="AN33" i="47"/>
  <c r="AP33" i="47" s="1"/>
  <c r="AQ33" i="47" s="1"/>
  <c r="AO32" i="47"/>
  <c r="AN32" i="47"/>
  <c r="AP32" i="47" s="1"/>
  <c r="AQ32" i="47" s="1"/>
  <c r="AO31" i="47"/>
  <c r="AN31" i="47"/>
  <c r="AP31" i="47" s="1"/>
  <c r="AQ31" i="47" s="1"/>
  <c r="AO30" i="47"/>
  <c r="AN30" i="47"/>
  <c r="AP30" i="47" s="1"/>
  <c r="AQ30" i="47" s="1"/>
  <c r="AO29" i="47"/>
  <c r="AN29" i="47"/>
  <c r="AP29" i="47" s="1"/>
  <c r="AQ29" i="47" s="1"/>
  <c r="AO28" i="47"/>
  <c r="AN28" i="47"/>
  <c r="AO27" i="47"/>
  <c r="AN27" i="47"/>
  <c r="AP27" i="47" s="1"/>
  <c r="AQ27" i="47" s="1"/>
  <c r="AO26" i="47"/>
  <c r="AN26" i="47"/>
  <c r="AP26" i="47" s="1"/>
  <c r="AQ26" i="47" s="1"/>
  <c r="AO25" i="47"/>
  <c r="AN25" i="47"/>
  <c r="AO24" i="47"/>
  <c r="AN24" i="47"/>
  <c r="AO23" i="47"/>
  <c r="AN23" i="47"/>
  <c r="AP23" i="47" s="1"/>
  <c r="AQ23" i="47" s="1"/>
  <c r="AO22" i="47"/>
  <c r="AN22" i="47"/>
  <c r="AP22" i="47" s="1"/>
  <c r="AQ22" i="47" s="1"/>
  <c r="AO21" i="47"/>
  <c r="AN21" i="47"/>
  <c r="AO20" i="47"/>
  <c r="AN20" i="47"/>
  <c r="AP20" i="47" s="1"/>
  <c r="AQ20" i="47" s="1"/>
  <c r="AO19" i="47"/>
  <c r="AN19" i="47"/>
  <c r="AP19" i="47" s="1"/>
  <c r="AQ19" i="47" s="1"/>
  <c r="AO18" i="47"/>
  <c r="AN18" i="47"/>
  <c r="AP18" i="47" s="1"/>
  <c r="AQ18" i="47" s="1"/>
  <c r="AO17" i="47"/>
  <c r="AN17" i="47"/>
  <c r="AP17" i="47" s="1"/>
  <c r="AQ17" i="47" s="1"/>
  <c r="AO16" i="47"/>
  <c r="AN16" i="47"/>
  <c r="AP16" i="47" s="1"/>
  <c r="AQ16" i="47" s="1"/>
  <c r="AO15" i="47"/>
  <c r="AN15" i="47"/>
  <c r="AP15" i="47" s="1"/>
  <c r="AQ15" i="47" s="1"/>
  <c r="AO14" i="47"/>
  <c r="AN14" i="47"/>
  <c r="AP14" i="47" s="1"/>
  <c r="AQ14" i="47" s="1"/>
  <c r="AO13" i="47"/>
  <c r="AN13" i="47"/>
  <c r="AP13" i="47" s="1"/>
  <c r="AQ13" i="47" s="1"/>
  <c r="AO12" i="47"/>
  <c r="AN12" i="47"/>
  <c r="AP12" i="47" s="1"/>
  <c r="AQ12" i="47" s="1"/>
  <c r="AO11" i="47"/>
  <c r="AN11" i="47"/>
  <c r="AP11" i="47" s="1"/>
  <c r="AQ11" i="47" s="1"/>
  <c r="AO10" i="47"/>
  <c r="AN10" i="47"/>
  <c r="AP10" i="47" s="1"/>
  <c r="AQ10" i="47" s="1"/>
  <c r="AO9" i="47"/>
  <c r="AN9" i="47"/>
  <c r="AP9" i="47" s="1"/>
  <c r="AQ9" i="47" s="1"/>
  <c r="AO8" i="47"/>
  <c r="AN8" i="47"/>
  <c r="AP8" i="47" s="1"/>
  <c r="AQ8" i="47" s="1"/>
  <c r="AO7" i="47"/>
  <c r="AN7" i="47"/>
  <c r="AP7" i="47" s="1"/>
  <c r="AQ7" i="47" s="1"/>
  <c r="AO6" i="47"/>
  <c r="AN6" i="47"/>
  <c r="AP6" i="47" s="1"/>
  <c r="AQ6" i="47" s="1"/>
  <c r="AO5" i="47"/>
  <c r="AN5" i="47"/>
  <c r="AP5" i="47" s="1"/>
  <c r="AQ5" i="47" s="1"/>
  <c r="AO4" i="47"/>
  <c r="AN4" i="47"/>
  <c r="AP4" i="47" s="1"/>
  <c r="H300" i="47"/>
  <c r="H299" i="47"/>
  <c r="H298" i="47"/>
  <c r="H297" i="47"/>
  <c r="H296" i="47"/>
  <c r="H295" i="47"/>
  <c r="H294" i="47"/>
  <c r="H293" i="47"/>
  <c r="H292" i="47"/>
  <c r="H291" i="47"/>
  <c r="H290" i="47"/>
  <c r="H289" i="47"/>
  <c r="H288" i="47"/>
  <c r="H287" i="47"/>
  <c r="H286" i="47"/>
  <c r="H285" i="47"/>
  <c r="H284" i="47"/>
  <c r="H283" i="47"/>
  <c r="H282" i="47"/>
  <c r="H281" i="47"/>
  <c r="H280" i="47"/>
  <c r="H279" i="47"/>
  <c r="H278" i="47"/>
  <c r="H277" i="47"/>
  <c r="H276" i="47"/>
  <c r="H275" i="47"/>
  <c r="H274" i="47"/>
  <c r="H273" i="47"/>
  <c r="H272" i="47"/>
  <c r="H271" i="47"/>
  <c r="H270" i="47"/>
  <c r="H269" i="47"/>
  <c r="H268" i="47"/>
  <c r="H267" i="47"/>
  <c r="H266" i="47"/>
  <c r="H265" i="47"/>
  <c r="H264" i="47"/>
  <c r="H263" i="47"/>
  <c r="H262" i="47"/>
  <c r="H261" i="47"/>
  <c r="H260" i="47"/>
  <c r="H259" i="47"/>
  <c r="H258" i="47"/>
  <c r="H257" i="47"/>
  <c r="H256" i="47"/>
  <c r="H255" i="47"/>
  <c r="H254" i="47"/>
  <c r="H253" i="47"/>
  <c r="H252" i="47"/>
  <c r="H251" i="47"/>
  <c r="H250" i="47"/>
  <c r="H249" i="47"/>
  <c r="H248" i="47"/>
  <c r="H247" i="47"/>
  <c r="H246" i="47"/>
  <c r="H245" i="47"/>
  <c r="H244" i="47"/>
  <c r="H243" i="47"/>
  <c r="H242" i="47"/>
  <c r="H241" i="47"/>
  <c r="H240" i="47"/>
  <c r="H239" i="47"/>
  <c r="H238" i="47"/>
  <c r="H237" i="47"/>
  <c r="H236" i="47"/>
  <c r="H235" i="47"/>
  <c r="H234" i="47"/>
  <c r="H233" i="47"/>
  <c r="H232" i="47"/>
  <c r="H231" i="47"/>
  <c r="H230" i="47"/>
  <c r="H229" i="47"/>
  <c r="H228" i="47"/>
  <c r="H227" i="47"/>
  <c r="H226" i="47"/>
  <c r="H225" i="47"/>
  <c r="H224" i="47"/>
  <c r="H223" i="47"/>
  <c r="H222" i="47"/>
  <c r="H221" i="47"/>
  <c r="H220" i="47"/>
  <c r="H219" i="47"/>
  <c r="H218" i="47"/>
  <c r="H217" i="47"/>
  <c r="H216" i="47"/>
  <c r="H215" i="47"/>
  <c r="H214" i="47"/>
  <c r="H213" i="47"/>
  <c r="H212" i="47"/>
  <c r="H211" i="47"/>
  <c r="H210" i="47"/>
  <c r="H209" i="47"/>
  <c r="H208" i="47"/>
  <c r="H207" i="47"/>
  <c r="H206" i="47"/>
  <c r="H205" i="47"/>
  <c r="H204" i="47"/>
  <c r="H203" i="47"/>
  <c r="H202" i="47"/>
  <c r="H201" i="47"/>
  <c r="H200" i="47"/>
  <c r="H199" i="47"/>
  <c r="H198" i="47"/>
  <c r="H197" i="47"/>
  <c r="H196" i="47"/>
  <c r="H195" i="47"/>
  <c r="H194" i="47"/>
  <c r="H193" i="47"/>
  <c r="H192" i="47"/>
  <c r="H191" i="47"/>
  <c r="H190" i="47"/>
  <c r="H189" i="47"/>
  <c r="H188" i="47"/>
  <c r="H187" i="47"/>
  <c r="H186" i="47"/>
  <c r="H185" i="47"/>
  <c r="H184" i="47"/>
  <c r="H183" i="47"/>
  <c r="H182" i="47"/>
  <c r="H181" i="47"/>
  <c r="H180" i="47"/>
  <c r="H179" i="47"/>
  <c r="H178" i="47"/>
  <c r="H177" i="47"/>
  <c r="H176" i="47"/>
  <c r="H175" i="47"/>
  <c r="H174" i="47"/>
  <c r="H173" i="47"/>
  <c r="H172" i="47"/>
  <c r="H171" i="47"/>
  <c r="H170" i="47"/>
  <c r="H169" i="47"/>
  <c r="H168" i="47"/>
  <c r="H167" i="47"/>
  <c r="H166" i="47"/>
  <c r="H165" i="47"/>
  <c r="H164" i="47"/>
  <c r="H163" i="47"/>
  <c r="H162" i="47"/>
  <c r="H161" i="47"/>
  <c r="H160" i="47"/>
  <c r="H159" i="47"/>
  <c r="H158" i="47"/>
  <c r="H157" i="47"/>
  <c r="H156" i="47"/>
  <c r="H155" i="47"/>
  <c r="H154" i="47"/>
  <c r="H153" i="47"/>
  <c r="H152" i="47"/>
  <c r="H151" i="47"/>
  <c r="H150" i="47"/>
  <c r="H149" i="47"/>
  <c r="H148" i="47"/>
  <c r="H147" i="47"/>
  <c r="H146" i="47"/>
  <c r="H145" i="47"/>
  <c r="H144" i="47"/>
  <c r="H143" i="47"/>
  <c r="H142" i="47"/>
  <c r="AP141" i="47"/>
  <c r="AQ141" i="47" s="1"/>
  <c r="H141" i="47"/>
  <c r="AP140" i="47"/>
  <c r="AQ140" i="47" s="1"/>
  <c r="H140" i="47"/>
  <c r="H139" i="47"/>
  <c r="H138" i="47"/>
  <c r="H137" i="47"/>
  <c r="H136" i="47"/>
  <c r="H135" i="47"/>
  <c r="H134" i="47"/>
  <c r="AP133" i="47"/>
  <c r="AQ133" i="47" s="1"/>
  <c r="H133" i="47"/>
  <c r="H132" i="47"/>
  <c r="H131" i="47"/>
  <c r="H130" i="47"/>
  <c r="AP129" i="47"/>
  <c r="AQ129" i="47" s="1"/>
  <c r="H129" i="47"/>
  <c r="H128" i="47"/>
  <c r="AP127" i="47"/>
  <c r="AQ127" i="47" s="1"/>
  <c r="H127" i="47"/>
  <c r="H126" i="47"/>
  <c r="AP125" i="47"/>
  <c r="AQ125" i="47" s="1"/>
  <c r="H125" i="47"/>
  <c r="AP124" i="47"/>
  <c r="AQ124" i="47" s="1"/>
  <c r="H124" i="47"/>
  <c r="H123" i="47"/>
  <c r="H122" i="47"/>
  <c r="AP121" i="47"/>
  <c r="AQ121" i="47" s="1"/>
  <c r="H121" i="47"/>
  <c r="AP120" i="47"/>
  <c r="AQ120" i="47" s="1"/>
  <c r="H120" i="47"/>
  <c r="H119" i="47"/>
  <c r="H118" i="47"/>
  <c r="AP117" i="47"/>
  <c r="AQ117" i="47" s="1"/>
  <c r="H117" i="47"/>
  <c r="AP116" i="47"/>
  <c r="AQ116" i="47" s="1"/>
  <c r="H116" i="47"/>
  <c r="H115" i="47"/>
  <c r="H114" i="47"/>
  <c r="AP113" i="47"/>
  <c r="AQ113" i="47" s="1"/>
  <c r="H113" i="47"/>
  <c r="AP112" i="47"/>
  <c r="AQ112" i="47" s="1"/>
  <c r="H112" i="47"/>
  <c r="H111" i="47"/>
  <c r="H110" i="47"/>
  <c r="AP109" i="47"/>
  <c r="AQ109" i="47" s="1"/>
  <c r="H109" i="47"/>
  <c r="H108" i="47"/>
  <c r="H107" i="47"/>
  <c r="H106" i="47"/>
  <c r="AP105" i="47"/>
  <c r="AQ105" i="47" s="1"/>
  <c r="H105" i="47"/>
  <c r="H104" i="47"/>
  <c r="H103" i="47"/>
  <c r="H102" i="47"/>
  <c r="AP101" i="47"/>
  <c r="AQ101" i="47" s="1"/>
  <c r="H101" i="47"/>
  <c r="H100" i="47"/>
  <c r="H99" i="47"/>
  <c r="H98" i="47"/>
  <c r="AP97" i="47"/>
  <c r="AQ97" i="47" s="1"/>
  <c r="H97" i="47"/>
  <c r="H96" i="47"/>
  <c r="H95" i="47"/>
  <c r="H94" i="47"/>
  <c r="AP93" i="47"/>
  <c r="AQ93" i="47" s="1"/>
  <c r="H93" i="47"/>
  <c r="AP92" i="47"/>
  <c r="AQ92" i="47" s="1"/>
  <c r="H92" i="47"/>
  <c r="H91" i="47"/>
  <c r="H90" i="47"/>
  <c r="AP89" i="47"/>
  <c r="AQ89" i="47" s="1"/>
  <c r="H89" i="47"/>
  <c r="H88" i="47"/>
  <c r="H87" i="47"/>
  <c r="H86" i="47"/>
  <c r="AP85" i="47"/>
  <c r="AQ85" i="47" s="1"/>
  <c r="H85" i="47"/>
  <c r="AP84" i="47"/>
  <c r="AQ84" i="47" s="1"/>
  <c r="H84" i="47"/>
  <c r="H83" i="47"/>
  <c r="H82" i="47"/>
  <c r="AP81" i="47"/>
  <c r="AQ81" i="47" s="1"/>
  <c r="H81" i="47"/>
  <c r="AP80" i="47"/>
  <c r="AQ80" i="47" s="1"/>
  <c r="H80" i="47"/>
  <c r="H79" i="47"/>
  <c r="H78" i="47"/>
  <c r="AP77" i="47"/>
  <c r="AQ77" i="47" s="1"/>
  <c r="H77" i="47"/>
  <c r="AP76" i="47"/>
  <c r="AQ76" i="47" s="1"/>
  <c r="H76" i="47"/>
  <c r="H75" i="47"/>
  <c r="H74" i="47"/>
  <c r="AP73" i="47"/>
  <c r="AQ73" i="47" s="1"/>
  <c r="H73" i="47"/>
  <c r="AP72" i="47"/>
  <c r="AQ72" i="47" s="1"/>
  <c r="H72" i="47"/>
  <c r="H71" i="47"/>
  <c r="H70" i="47"/>
  <c r="AP69" i="47"/>
  <c r="AQ69" i="47" s="1"/>
  <c r="H69" i="47"/>
  <c r="AP68" i="47"/>
  <c r="AQ68" i="47" s="1"/>
  <c r="H68" i="47"/>
  <c r="H67" i="47"/>
  <c r="H66" i="47"/>
  <c r="AP65" i="47"/>
  <c r="AQ65" i="47" s="1"/>
  <c r="H65" i="47"/>
  <c r="AP64" i="47"/>
  <c r="AQ64" i="47" s="1"/>
  <c r="H64" i="47"/>
  <c r="H63" i="47"/>
  <c r="H62" i="47"/>
  <c r="AP61" i="47"/>
  <c r="AQ61" i="47" s="1"/>
  <c r="H61" i="47"/>
  <c r="AP60" i="47"/>
  <c r="AQ60" i="47" s="1"/>
  <c r="H60" i="47"/>
  <c r="H59" i="47"/>
  <c r="H58" i="47"/>
  <c r="H57" i="47"/>
  <c r="H56" i="47"/>
  <c r="H55" i="47"/>
  <c r="H54" i="47"/>
  <c r="H53" i="47"/>
  <c r="H52" i="47"/>
  <c r="H51" i="47"/>
  <c r="H50" i="47"/>
  <c r="H49" i="47"/>
  <c r="H48" i="47"/>
  <c r="H47" i="47"/>
  <c r="H46" i="47"/>
  <c r="H45" i="47"/>
  <c r="H44" i="47"/>
  <c r="H43" i="47"/>
  <c r="H42" i="47"/>
  <c r="AP41" i="47"/>
  <c r="AQ41" i="47" s="1"/>
  <c r="H41" i="47"/>
  <c r="AP40" i="47"/>
  <c r="AQ40" i="47" s="1"/>
  <c r="H40" i="47"/>
  <c r="H39" i="47"/>
  <c r="H38" i="47"/>
  <c r="AP37" i="47"/>
  <c r="AQ37" i="47" s="1"/>
  <c r="H37" i="47"/>
  <c r="H36" i="47"/>
  <c r="H35" i="47"/>
  <c r="H34" i="47"/>
  <c r="H33" i="47"/>
  <c r="H32" i="47"/>
  <c r="H31" i="47"/>
  <c r="H30" i="47"/>
  <c r="H29" i="47"/>
  <c r="H28" i="47"/>
  <c r="H27" i="47"/>
  <c r="H26" i="47"/>
  <c r="AP25" i="47"/>
  <c r="AQ25" i="47" s="1"/>
  <c r="H25" i="47"/>
  <c r="AP24" i="47"/>
  <c r="AQ24" i="47" s="1"/>
  <c r="H24" i="47"/>
  <c r="H23" i="47"/>
  <c r="H22" i="47"/>
  <c r="AP21" i="47"/>
  <c r="AQ21" i="47" s="1"/>
  <c r="H21" i="47"/>
  <c r="H20" i="47"/>
  <c r="H19" i="47"/>
  <c r="H18" i="47"/>
  <c r="H17" i="47"/>
  <c r="H16" i="47"/>
  <c r="H15" i="47"/>
  <c r="H14" i="47"/>
  <c r="H13" i="47"/>
  <c r="H12" i="47"/>
  <c r="H11" i="47"/>
  <c r="H10" i="47"/>
  <c r="H9" i="47"/>
  <c r="H8" i="47"/>
  <c r="H7" i="47"/>
  <c r="H6" i="47"/>
  <c r="H5" i="47"/>
  <c r="H4" i="47"/>
  <c r="H3" i="47"/>
  <c r="K107" i="21"/>
  <c r="K106" i="21"/>
  <c r="K105" i="21"/>
  <c r="K104" i="21"/>
  <c r="K103" i="21"/>
  <c r="K102" i="21"/>
  <c r="K101" i="21"/>
  <c r="K97" i="21"/>
  <c r="K96" i="21"/>
  <c r="K95" i="21"/>
  <c r="K94" i="21"/>
  <c r="K93" i="21"/>
  <c r="K92" i="21"/>
  <c r="K91" i="21"/>
  <c r="K87" i="21"/>
  <c r="K86" i="21"/>
  <c r="K85" i="21"/>
  <c r="K84" i="21"/>
  <c r="K83" i="21"/>
  <c r="K82" i="21"/>
  <c r="K78" i="21"/>
  <c r="K77" i="21"/>
  <c r="K76" i="21"/>
  <c r="K75" i="21"/>
  <c r="K74" i="21"/>
  <c r="K73" i="21"/>
  <c r="K72" i="21"/>
  <c r="K71" i="21"/>
  <c r="K70" i="21"/>
  <c r="K69" i="21"/>
  <c r="K68" i="21"/>
  <c r="K64" i="21"/>
  <c r="K63" i="21"/>
  <c r="K62" i="21"/>
  <c r="K61" i="21"/>
  <c r="K60" i="21"/>
  <c r="K59" i="21"/>
  <c r="K58" i="21"/>
  <c r="K54" i="21"/>
  <c r="K53" i="21"/>
  <c r="K52" i="21"/>
  <c r="K51" i="21"/>
  <c r="K50" i="21"/>
  <c r="K49" i="21"/>
  <c r="K45" i="21"/>
  <c r="K44" i="21"/>
  <c r="K43" i="21"/>
  <c r="K42" i="21"/>
  <c r="K41" i="21"/>
  <c r="K40" i="21"/>
  <c r="K39" i="21"/>
  <c r="K35" i="21"/>
  <c r="K34" i="21"/>
  <c r="K33" i="21"/>
  <c r="K32" i="21"/>
  <c r="K31" i="21"/>
  <c r="K30" i="21"/>
  <c r="K29" i="21"/>
  <c r="K28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E107" i="21"/>
  <c r="E106" i="21"/>
  <c r="E105" i="21"/>
  <c r="E104" i="21"/>
  <c r="E103" i="21"/>
  <c r="E102" i="21"/>
  <c r="E101" i="21"/>
  <c r="E97" i="21"/>
  <c r="E96" i="21"/>
  <c r="E95" i="21"/>
  <c r="E94" i="21"/>
  <c r="E93" i="21"/>
  <c r="E92" i="21"/>
  <c r="E91" i="21"/>
  <c r="E87" i="21"/>
  <c r="E86" i="21"/>
  <c r="E85" i="21"/>
  <c r="E84" i="21"/>
  <c r="E83" i="21"/>
  <c r="E82" i="21"/>
  <c r="E78" i="21"/>
  <c r="E77" i="21"/>
  <c r="E76" i="21"/>
  <c r="E75" i="21"/>
  <c r="E74" i="21"/>
  <c r="E73" i="21"/>
  <c r="E72" i="21"/>
  <c r="E71" i="21"/>
  <c r="E70" i="21"/>
  <c r="E69" i="21"/>
  <c r="E68" i="21"/>
  <c r="E64" i="21"/>
  <c r="E63" i="21"/>
  <c r="E62" i="21"/>
  <c r="E61" i="21"/>
  <c r="E60" i="21"/>
  <c r="E59" i="21"/>
  <c r="E58" i="21"/>
  <c r="E54" i="21"/>
  <c r="E53" i="21"/>
  <c r="E52" i="21"/>
  <c r="E51" i="21"/>
  <c r="E50" i="21"/>
  <c r="E49" i="21"/>
  <c r="E45" i="21"/>
  <c r="E44" i="21"/>
  <c r="E43" i="21"/>
  <c r="E42" i="21"/>
  <c r="E41" i="21"/>
  <c r="E40" i="21"/>
  <c r="E39" i="21"/>
  <c r="E35" i="21"/>
  <c r="E34" i="21"/>
  <c r="E33" i="21"/>
  <c r="E32" i="21"/>
  <c r="E31" i="21"/>
  <c r="E30" i="21"/>
  <c r="E29" i="21"/>
  <c r="E28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AO141" i="46"/>
  <c r="AN141" i="46"/>
  <c r="AO140" i="46"/>
  <c r="AN140" i="46"/>
  <c r="AO139" i="46"/>
  <c r="AN139" i="46"/>
  <c r="AO138" i="46"/>
  <c r="AN138" i="46"/>
  <c r="AP138" i="46" s="1"/>
  <c r="AQ138" i="46" s="1"/>
  <c r="AO137" i="46"/>
  <c r="AN137" i="46"/>
  <c r="AO136" i="46"/>
  <c r="AN136" i="46"/>
  <c r="AO135" i="46"/>
  <c r="AN135" i="46"/>
  <c r="AO134" i="46"/>
  <c r="AN134" i="46"/>
  <c r="AP134" i="46" s="1"/>
  <c r="AQ134" i="46" s="1"/>
  <c r="AO133" i="46"/>
  <c r="AN133" i="46"/>
  <c r="AO132" i="46"/>
  <c r="AN132" i="46"/>
  <c r="AO131" i="46"/>
  <c r="AN131" i="46"/>
  <c r="AO130" i="46"/>
  <c r="AN130" i="46"/>
  <c r="AP130" i="46" s="1"/>
  <c r="AQ130" i="46" s="1"/>
  <c r="AO129" i="46"/>
  <c r="AN129" i="46"/>
  <c r="AP129" i="46" s="1"/>
  <c r="AQ129" i="46" s="1"/>
  <c r="AO128" i="46"/>
  <c r="AN128" i="46"/>
  <c r="AO127" i="46"/>
  <c r="AN127" i="46"/>
  <c r="AP127" i="46" s="1"/>
  <c r="AQ127" i="46" s="1"/>
  <c r="AO126" i="46"/>
  <c r="AN126" i="46"/>
  <c r="AP126" i="46" s="1"/>
  <c r="AQ126" i="46" s="1"/>
  <c r="AO125" i="46"/>
  <c r="AN125" i="46"/>
  <c r="AO124" i="46"/>
  <c r="AN124" i="46"/>
  <c r="AO123" i="46"/>
  <c r="AN123" i="46"/>
  <c r="AP123" i="46" s="1"/>
  <c r="AQ123" i="46" s="1"/>
  <c r="AO122" i="46"/>
  <c r="AN122" i="46"/>
  <c r="AP122" i="46" s="1"/>
  <c r="AQ122" i="46" s="1"/>
  <c r="AO121" i="46"/>
  <c r="AN121" i="46"/>
  <c r="AO120" i="46"/>
  <c r="AN120" i="46"/>
  <c r="AO119" i="46"/>
  <c r="AN119" i="46"/>
  <c r="AP119" i="46" s="1"/>
  <c r="AQ119" i="46" s="1"/>
  <c r="AO118" i="46"/>
  <c r="AN118" i="46"/>
  <c r="AP118" i="46" s="1"/>
  <c r="AQ118" i="46" s="1"/>
  <c r="AO117" i="46"/>
  <c r="AN117" i="46"/>
  <c r="AO116" i="46"/>
  <c r="AN116" i="46"/>
  <c r="AO115" i="46"/>
  <c r="AN115" i="46"/>
  <c r="AP115" i="46" s="1"/>
  <c r="AQ115" i="46" s="1"/>
  <c r="AO114" i="46"/>
  <c r="AN114" i="46"/>
  <c r="AP114" i="46" s="1"/>
  <c r="AQ114" i="46" s="1"/>
  <c r="AO113" i="46"/>
  <c r="AN113" i="46"/>
  <c r="AO112" i="46"/>
  <c r="AN112" i="46"/>
  <c r="AO111" i="46"/>
  <c r="AN111" i="46"/>
  <c r="AP111" i="46" s="1"/>
  <c r="AQ111" i="46" s="1"/>
  <c r="AO110" i="46"/>
  <c r="AN110" i="46"/>
  <c r="AP110" i="46" s="1"/>
  <c r="AQ110" i="46" s="1"/>
  <c r="AO109" i="46"/>
  <c r="AN109" i="46"/>
  <c r="AO108" i="46"/>
  <c r="AN108" i="46"/>
  <c r="AO107" i="46"/>
  <c r="AN107" i="46"/>
  <c r="AP107" i="46" s="1"/>
  <c r="AQ107" i="46" s="1"/>
  <c r="AO106" i="46"/>
  <c r="AN106" i="46"/>
  <c r="AP106" i="46" s="1"/>
  <c r="AQ106" i="46" s="1"/>
  <c r="AO105" i="46"/>
  <c r="AN105" i="46"/>
  <c r="AO104" i="46"/>
  <c r="AN104" i="46"/>
  <c r="AO103" i="46"/>
  <c r="AN103" i="46"/>
  <c r="AO102" i="46"/>
  <c r="AN102" i="46"/>
  <c r="AP102" i="46" s="1"/>
  <c r="AQ102" i="46" s="1"/>
  <c r="AO101" i="46"/>
  <c r="AN101" i="46"/>
  <c r="AO100" i="46"/>
  <c r="AN100" i="46"/>
  <c r="AO99" i="46"/>
  <c r="AN99" i="46"/>
  <c r="AO98" i="46"/>
  <c r="AN98" i="46"/>
  <c r="AP98" i="46" s="1"/>
  <c r="AQ98" i="46" s="1"/>
  <c r="AO97" i="46"/>
  <c r="AN97" i="46"/>
  <c r="AO96" i="46"/>
  <c r="AN96" i="46"/>
  <c r="AO95" i="46"/>
  <c r="AN95" i="46"/>
  <c r="AO94" i="46"/>
  <c r="AN94" i="46"/>
  <c r="AP94" i="46" s="1"/>
  <c r="AQ94" i="46" s="1"/>
  <c r="AO93" i="46"/>
  <c r="AN93" i="46"/>
  <c r="AO92" i="46"/>
  <c r="AN92" i="46"/>
  <c r="AO91" i="46"/>
  <c r="AN91" i="46"/>
  <c r="AO90" i="46"/>
  <c r="AN90" i="46"/>
  <c r="AP90" i="46" s="1"/>
  <c r="AQ90" i="46" s="1"/>
  <c r="AO89" i="46"/>
  <c r="AN89" i="46"/>
  <c r="AO88" i="46"/>
  <c r="AN88" i="46"/>
  <c r="AO87" i="46"/>
  <c r="AN87" i="46"/>
  <c r="AO86" i="46"/>
  <c r="AN86" i="46"/>
  <c r="AO85" i="46"/>
  <c r="AN85" i="46"/>
  <c r="AO84" i="46"/>
  <c r="AN84" i="46"/>
  <c r="AO83" i="46"/>
  <c r="AN83" i="46"/>
  <c r="AO82" i="46"/>
  <c r="AN82" i="46"/>
  <c r="AO81" i="46"/>
  <c r="AN81" i="46"/>
  <c r="AO80" i="46"/>
  <c r="AN80" i="46"/>
  <c r="AO79" i="46"/>
  <c r="AN79" i="46"/>
  <c r="AO78" i="46"/>
  <c r="AN78" i="46"/>
  <c r="AP78" i="46" s="1"/>
  <c r="AQ78" i="46" s="1"/>
  <c r="AO77" i="46"/>
  <c r="AN77" i="46"/>
  <c r="AO76" i="46"/>
  <c r="AN76" i="46"/>
  <c r="AO75" i="46"/>
  <c r="AN75" i="46"/>
  <c r="AO74" i="46"/>
  <c r="AN74" i="46"/>
  <c r="AP74" i="46" s="1"/>
  <c r="AQ74" i="46" s="1"/>
  <c r="AO73" i="46"/>
  <c r="AN73" i="46"/>
  <c r="AO72" i="46"/>
  <c r="AN72" i="46"/>
  <c r="AO71" i="46"/>
  <c r="AN71" i="46"/>
  <c r="AO70" i="46"/>
  <c r="AN70" i="46"/>
  <c r="AO69" i="46"/>
  <c r="AN69" i="46"/>
  <c r="AO68" i="46"/>
  <c r="AN68" i="46"/>
  <c r="AO67" i="46"/>
  <c r="AN67" i="46"/>
  <c r="AO66" i="46"/>
  <c r="AN66" i="46"/>
  <c r="AO65" i="46"/>
  <c r="AN65" i="46"/>
  <c r="AO64" i="46"/>
  <c r="AN64" i="46"/>
  <c r="AP64" i="46" s="1"/>
  <c r="AQ64" i="46" s="1"/>
  <c r="AO63" i="46"/>
  <c r="AN63" i="46"/>
  <c r="AO62" i="46"/>
  <c r="AN62" i="46"/>
  <c r="AP62" i="46" s="1"/>
  <c r="AQ62" i="46" s="1"/>
  <c r="AO61" i="46"/>
  <c r="AN61" i="46"/>
  <c r="AO60" i="46"/>
  <c r="AN60" i="46"/>
  <c r="AO59" i="46"/>
  <c r="AN59" i="46"/>
  <c r="AO58" i="46"/>
  <c r="AN58" i="46"/>
  <c r="AP58" i="46" s="1"/>
  <c r="AQ58" i="46" s="1"/>
  <c r="AO57" i="46"/>
  <c r="AN57" i="46"/>
  <c r="AO56" i="46"/>
  <c r="AN56" i="46"/>
  <c r="AO55" i="46"/>
  <c r="AN55" i="46"/>
  <c r="AO54" i="46"/>
  <c r="AN54" i="46"/>
  <c r="AP54" i="46" s="1"/>
  <c r="AQ54" i="46" s="1"/>
  <c r="AO53" i="46"/>
  <c r="AN53" i="46"/>
  <c r="AO52" i="46"/>
  <c r="AN52" i="46"/>
  <c r="AP52" i="46" s="1"/>
  <c r="AQ52" i="46" s="1"/>
  <c r="AO51" i="46"/>
  <c r="AN51" i="46"/>
  <c r="AP51" i="46" s="1"/>
  <c r="AQ51" i="46" s="1"/>
  <c r="AO50" i="46"/>
  <c r="AN50" i="46"/>
  <c r="AO49" i="46"/>
  <c r="AN49" i="46"/>
  <c r="AO48" i="46"/>
  <c r="AN48" i="46"/>
  <c r="AO47" i="46"/>
  <c r="AN47" i="46"/>
  <c r="AP47" i="46" s="1"/>
  <c r="AQ47" i="46" s="1"/>
  <c r="AO46" i="46"/>
  <c r="AN46" i="46"/>
  <c r="AP46" i="46" s="1"/>
  <c r="AQ46" i="46" s="1"/>
  <c r="AO45" i="46"/>
  <c r="AN45" i="46"/>
  <c r="AO44" i="46"/>
  <c r="AN44" i="46"/>
  <c r="AP44" i="46" s="1"/>
  <c r="AQ44" i="46" s="1"/>
  <c r="AO43" i="46"/>
  <c r="AN43" i="46"/>
  <c r="AP43" i="46" s="1"/>
  <c r="AQ43" i="46" s="1"/>
  <c r="AO42" i="46"/>
  <c r="AN42" i="46"/>
  <c r="AP42" i="46" s="1"/>
  <c r="AQ42" i="46" s="1"/>
  <c r="AO41" i="46"/>
  <c r="AN41" i="46"/>
  <c r="AO40" i="46"/>
  <c r="AN40" i="46"/>
  <c r="AO39" i="46"/>
  <c r="AN39" i="46"/>
  <c r="AP39" i="46" s="1"/>
  <c r="AQ39" i="46" s="1"/>
  <c r="AO38" i="46"/>
  <c r="AN38" i="46"/>
  <c r="AP38" i="46" s="1"/>
  <c r="AQ38" i="46" s="1"/>
  <c r="AO37" i="46"/>
  <c r="AN37" i="46"/>
  <c r="AO36" i="46"/>
  <c r="AN36" i="46"/>
  <c r="AO35" i="46"/>
  <c r="AN35" i="46"/>
  <c r="AP35" i="46" s="1"/>
  <c r="AQ35" i="46" s="1"/>
  <c r="AO34" i="46"/>
  <c r="AN34" i="46"/>
  <c r="AP34" i="46" s="1"/>
  <c r="AQ34" i="46" s="1"/>
  <c r="AO33" i="46"/>
  <c r="AN33" i="46"/>
  <c r="AO32" i="46"/>
  <c r="AN32" i="46"/>
  <c r="AO31" i="46"/>
  <c r="AN31" i="46"/>
  <c r="AP31" i="46" s="1"/>
  <c r="AQ31" i="46" s="1"/>
  <c r="AO30" i="46"/>
  <c r="AN30" i="46"/>
  <c r="AP30" i="46" s="1"/>
  <c r="AQ30" i="46" s="1"/>
  <c r="AO29" i="46"/>
  <c r="AN29" i="46"/>
  <c r="AO28" i="46"/>
  <c r="AN28" i="46"/>
  <c r="AO27" i="46"/>
  <c r="AN27" i="46"/>
  <c r="AP27" i="46" s="1"/>
  <c r="AQ27" i="46" s="1"/>
  <c r="AO26" i="46"/>
  <c r="AN26" i="46"/>
  <c r="AP26" i="46" s="1"/>
  <c r="AQ26" i="46" s="1"/>
  <c r="AO25" i="46"/>
  <c r="AN25" i="46"/>
  <c r="AO24" i="46"/>
  <c r="AN24" i="46"/>
  <c r="AO23" i="46"/>
  <c r="AN23" i="46"/>
  <c r="AO22" i="46"/>
  <c r="AN22" i="46"/>
  <c r="AP22" i="46" s="1"/>
  <c r="AQ22" i="46" s="1"/>
  <c r="AO21" i="46"/>
  <c r="AN21" i="46"/>
  <c r="AO20" i="46"/>
  <c r="AN20" i="46"/>
  <c r="AO19" i="46"/>
  <c r="AN19" i="46"/>
  <c r="AO18" i="46"/>
  <c r="AN18" i="46"/>
  <c r="AO17" i="46"/>
  <c r="AN17" i="46"/>
  <c r="AO16" i="46"/>
  <c r="AN16" i="46"/>
  <c r="AO15" i="46"/>
  <c r="AN15" i="46"/>
  <c r="AP15" i="46" s="1"/>
  <c r="AQ15" i="46" s="1"/>
  <c r="AO14" i="46"/>
  <c r="AN14" i="46"/>
  <c r="AO13" i="46"/>
  <c r="AN13" i="46"/>
  <c r="AO12" i="46"/>
  <c r="AN12" i="46"/>
  <c r="AO11" i="46"/>
  <c r="AN11" i="46"/>
  <c r="AO10" i="46"/>
  <c r="AN10" i="46"/>
  <c r="AP10" i="46" s="1"/>
  <c r="AQ10" i="46" s="1"/>
  <c r="AO9" i="46"/>
  <c r="AN9" i="46"/>
  <c r="AO8" i="46"/>
  <c r="AN8" i="46"/>
  <c r="AO7" i="46"/>
  <c r="AN7" i="46"/>
  <c r="AO6" i="46"/>
  <c r="AN6" i="46"/>
  <c r="AP6" i="46" s="1"/>
  <c r="AQ6" i="46" s="1"/>
  <c r="AO5" i="46"/>
  <c r="AN5" i="46"/>
  <c r="AO4" i="46"/>
  <c r="AN4" i="46"/>
  <c r="H300" i="46"/>
  <c r="H299" i="46"/>
  <c r="H298" i="46"/>
  <c r="H297" i="46"/>
  <c r="H296" i="46"/>
  <c r="H295" i="46"/>
  <c r="H294" i="46"/>
  <c r="H293" i="46"/>
  <c r="H292" i="46"/>
  <c r="H291" i="46"/>
  <c r="H290" i="46"/>
  <c r="H289" i="46"/>
  <c r="H288" i="46"/>
  <c r="H287" i="46"/>
  <c r="H286" i="46"/>
  <c r="H285" i="46"/>
  <c r="H284" i="46"/>
  <c r="H283" i="46"/>
  <c r="H282" i="46"/>
  <c r="H281" i="46"/>
  <c r="H280" i="46"/>
  <c r="H279" i="46"/>
  <c r="H278" i="46"/>
  <c r="H277" i="46"/>
  <c r="H276" i="46"/>
  <c r="H275" i="46"/>
  <c r="H274" i="46"/>
  <c r="H273" i="46"/>
  <c r="H272" i="46"/>
  <c r="H271" i="46"/>
  <c r="H270" i="46"/>
  <c r="H269" i="46"/>
  <c r="H268" i="46"/>
  <c r="H267" i="46"/>
  <c r="H266" i="46"/>
  <c r="H265" i="46"/>
  <c r="H264" i="46"/>
  <c r="H263" i="46"/>
  <c r="H262" i="46"/>
  <c r="H261" i="46"/>
  <c r="H260" i="46"/>
  <c r="H259" i="46"/>
  <c r="H258" i="46"/>
  <c r="H257" i="46"/>
  <c r="H256" i="46"/>
  <c r="H255" i="46"/>
  <c r="H254" i="46"/>
  <c r="H253" i="46"/>
  <c r="H252" i="46"/>
  <c r="H251" i="46"/>
  <c r="H250" i="46"/>
  <c r="H249" i="46"/>
  <c r="H248" i="46"/>
  <c r="H247" i="46"/>
  <c r="H246" i="46"/>
  <c r="H245" i="46"/>
  <c r="H244" i="46"/>
  <c r="H243" i="46"/>
  <c r="H242" i="46"/>
  <c r="H241" i="46"/>
  <c r="H240" i="46"/>
  <c r="H239" i="46"/>
  <c r="H238" i="46"/>
  <c r="H237" i="46"/>
  <c r="H236" i="46"/>
  <c r="H235" i="46"/>
  <c r="H234" i="46"/>
  <c r="H233" i="46"/>
  <c r="H232" i="46"/>
  <c r="H231" i="46"/>
  <c r="H230" i="46"/>
  <c r="H229" i="46"/>
  <c r="H228" i="46"/>
  <c r="H227" i="46"/>
  <c r="H226" i="46"/>
  <c r="H225" i="46"/>
  <c r="H224" i="46"/>
  <c r="H223" i="46"/>
  <c r="H222" i="46"/>
  <c r="H221" i="46"/>
  <c r="H220" i="46"/>
  <c r="H219" i="46"/>
  <c r="H218" i="46"/>
  <c r="H217" i="46"/>
  <c r="H216" i="46"/>
  <c r="H215" i="46"/>
  <c r="H214" i="46"/>
  <c r="H213" i="46"/>
  <c r="H212" i="46"/>
  <c r="H211" i="46"/>
  <c r="H210" i="46"/>
  <c r="H209" i="46"/>
  <c r="H208" i="46"/>
  <c r="H207" i="46"/>
  <c r="H206" i="46"/>
  <c r="H205" i="46"/>
  <c r="H204" i="46"/>
  <c r="H203" i="46"/>
  <c r="H202" i="46"/>
  <c r="H201" i="46"/>
  <c r="H200" i="46"/>
  <c r="H199" i="46"/>
  <c r="H198" i="46"/>
  <c r="H197" i="46"/>
  <c r="H196" i="46"/>
  <c r="H195" i="46"/>
  <c r="H194" i="46"/>
  <c r="H193" i="46"/>
  <c r="H192" i="46"/>
  <c r="H191" i="46"/>
  <c r="H190" i="46"/>
  <c r="H189" i="46"/>
  <c r="H188" i="46"/>
  <c r="H187" i="46"/>
  <c r="H186" i="46"/>
  <c r="H185" i="46"/>
  <c r="H184" i="46"/>
  <c r="H183" i="46"/>
  <c r="H182" i="46"/>
  <c r="H181" i="46"/>
  <c r="H180" i="46"/>
  <c r="H179" i="46"/>
  <c r="H178" i="46"/>
  <c r="H177" i="46"/>
  <c r="H176" i="46"/>
  <c r="H175" i="46"/>
  <c r="H174" i="46"/>
  <c r="H173" i="46"/>
  <c r="H172" i="46"/>
  <c r="H171" i="46"/>
  <c r="H170" i="46"/>
  <c r="H169" i="46"/>
  <c r="H168" i="46"/>
  <c r="H167" i="46"/>
  <c r="H166" i="46"/>
  <c r="H165" i="46"/>
  <c r="H164" i="46"/>
  <c r="H163" i="46"/>
  <c r="H162" i="46"/>
  <c r="H161" i="46"/>
  <c r="H160" i="46"/>
  <c r="H159" i="46"/>
  <c r="H158" i="46"/>
  <c r="H157" i="46"/>
  <c r="H156" i="46"/>
  <c r="H155" i="46"/>
  <c r="H154" i="46"/>
  <c r="H153" i="46"/>
  <c r="H152" i="46"/>
  <c r="H151" i="46"/>
  <c r="H150" i="46"/>
  <c r="H149" i="46"/>
  <c r="H148" i="46"/>
  <c r="H147" i="46"/>
  <c r="H146" i="46"/>
  <c r="H145" i="46"/>
  <c r="H144" i="46"/>
  <c r="H143" i="46"/>
  <c r="H142" i="46"/>
  <c r="AP141" i="46"/>
  <c r="AQ141" i="46" s="1"/>
  <c r="H141" i="46"/>
  <c r="AP140" i="46"/>
  <c r="AQ140" i="46" s="1"/>
  <c r="H140" i="46"/>
  <c r="AP139" i="46"/>
  <c r="AQ139" i="46" s="1"/>
  <c r="H139" i="46"/>
  <c r="H138" i="46"/>
  <c r="AP137" i="46"/>
  <c r="AQ137" i="46" s="1"/>
  <c r="H137" i="46"/>
  <c r="AP136" i="46"/>
  <c r="AQ136" i="46" s="1"/>
  <c r="H136" i="46"/>
  <c r="AP135" i="46"/>
  <c r="AQ135" i="46" s="1"/>
  <c r="H135" i="46"/>
  <c r="H134" i="46"/>
  <c r="AP133" i="46"/>
  <c r="AQ133" i="46" s="1"/>
  <c r="H133" i="46"/>
  <c r="AP132" i="46"/>
  <c r="AQ132" i="46" s="1"/>
  <c r="H132" i="46"/>
  <c r="AP131" i="46"/>
  <c r="AQ131" i="46" s="1"/>
  <c r="H131" i="46"/>
  <c r="H130" i="46"/>
  <c r="H129" i="46"/>
  <c r="H128" i="46"/>
  <c r="H127" i="46"/>
  <c r="H126" i="46"/>
  <c r="AP125" i="46"/>
  <c r="AQ125" i="46" s="1"/>
  <c r="H125" i="46"/>
  <c r="H124" i="46"/>
  <c r="H123" i="46"/>
  <c r="H122" i="46"/>
  <c r="AP121" i="46"/>
  <c r="AQ121" i="46" s="1"/>
  <c r="H121" i="46"/>
  <c r="AP120" i="46"/>
  <c r="AQ120" i="46" s="1"/>
  <c r="H120" i="46"/>
  <c r="H119" i="46"/>
  <c r="H118" i="46"/>
  <c r="AP117" i="46"/>
  <c r="AQ117" i="46" s="1"/>
  <c r="H117" i="46"/>
  <c r="AP116" i="46"/>
  <c r="AQ116" i="46" s="1"/>
  <c r="H116" i="46"/>
  <c r="H115" i="46"/>
  <c r="H114" i="46"/>
  <c r="AP113" i="46"/>
  <c r="AQ113" i="46" s="1"/>
  <c r="H113" i="46"/>
  <c r="AP112" i="46"/>
  <c r="AQ112" i="46" s="1"/>
  <c r="H112" i="46"/>
  <c r="H111" i="46"/>
  <c r="H110" i="46"/>
  <c r="AP109" i="46"/>
  <c r="AQ109" i="46" s="1"/>
  <c r="H109" i="46"/>
  <c r="AP108" i="46"/>
  <c r="AQ108" i="46" s="1"/>
  <c r="H108" i="46"/>
  <c r="H107" i="46"/>
  <c r="H106" i="46"/>
  <c r="AP105" i="46"/>
  <c r="AQ105" i="46" s="1"/>
  <c r="H105" i="46"/>
  <c r="AP104" i="46"/>
  <c r="AQ104" i="46" s="1"/>
  <c r="H104" i="46"/>
  <c r="H103" i="46"/>
  <c r="H102" i="46"/>
  <c r="AP101" i="46"/>
  <c r="AQ101" i="46" s="1"/>
  <c r="H101" i="46"/>
  <c r="H100" i="46"/>
  <c r="AP99" i="46"/>
  <c r="AQ99" i="46" s="1"/>
  <c r="H99" i="46"/>
  <c r="H98" i="46"/>
  <c r="AP97" i="46"/>
  <c r="AQ97" i="46" s="1"/>
  <c r="H97" i="46"/>
  <c r="AP96" i="46"/>
  <c r="AQ96" i="46" s="1"/>
  <c r="H96" i="46"/>
  <c r="AP95" i="46"/>
  <c r="AQ95" i="46" s="1"/>
  <c r="H95" i="46"/>
  <c r="H94" i="46"/>
  <c r="AP93" i="46"/>
  <c r="AQ93" i="46" s="1"/>
  <c r="H93" i="46"/>
  <c r="AP92" i="46"/>
  <c r="AQ92" i="46" s="1"/>
  <c r="H92" i="46"/>
  <c r="AP91" i="46"/>
  <c r="AQ91" i="46" s="1"/>
  <c r="H91" i="46"/>
  <c r="H90" i="46"/>
  <c r="AP89" i="46"/>
  <c r="AQ89" i="46" s="1"/>
  <c r="H89" i="46"/>
  <c r="H88" i="46"/>
  <c r="H87" i="46"/>
  <c r="AP86" i="46"/>
  <c r="AQ86" i="46" s="1"/>
  <c r="H86" i="46"/>
  <c r="AP85" i="46"/>
  <c r="AQ85" i="46" s="1"/>
  <c r="H85" i="46"/>
  <c r="AP84" i="46"/>
  <c r="AQ84" i="46" s="1"/>
  <c r="H84" i="46"/>
  <c r="AP83" i="46"/>
  <c r="AQ83" i="46" s="1"/>
  <c r="H83" i="46"/>
  <c r="AP82" i="46"/>
  <c r="AQ82" i="46" s="1"/>
  <c r="H82" i="46"/>
  <c r="AP81" i="46"/>
  <c r="AQ81" i="46" s="1"/>
  <c r="H81" i="46"/>
  <c r="AP80" i="46"/>
  <c r="AQ80" i="46" s="1"/>
  <c r="H80" i="46"/>
  <c r="AQ79" i="46"/>
  <c r="AP79" i="46"/>
  <c r="H79" i="46"/>
  <c r="H78" i="46"/>
  <c r="AP77" i="46"/>
  <c r="AQ77" i="46" s="1"/>
  <c r="H77" i="46"/>
  <c r="AP76" i="46"/>
  <c r="AQ76" i="46" s="1"/>
  <c r="H76" i="46"/>
  <c r="AP75" i="46"/>
  <c r="AQ75" i="46" s="1"/>
  <c r="H75" i="46"/>
  <c r="H74" i="46"/>
  <c r="AP73" i="46"/>
  <c r="AQ73" i="46" s="1"/>
  <c r="H73" i="46"/>
  <c r="AP72" i="46"/>
  <c r="AQ72" i="46" s="1"/>
  <c r="H72" i="46"/>
  <c r="H71" i="46"/>
  <c r="AP70" i="46"/>
  <c r="AQ70" i="46" s="1"/>
  <c r="H70" i="46"/>
  <c r="AP69" i="46"/>
  <c r="AQ69" i="46" s="1"/>
  <c r="H69" i="46"/>
  <c r="AP68" i="46"/>
  <c r="AQ68" i="46" s="1"/>
  <c r="H68" i="46"/>
  <c r="AP67" i="46"/>
  <c r="AQ67" i="46" s="1"/>
  <c r="H67" i="46"/>
  <c r="AP66" i="46"/>
  <c r="AQ66" i="46" s="1"/>
  <c r="H66" i="46"/>
  <c r="H65" i="46"/>
  <c r="H64" i="46"/>
  <c r="AP63" i="46"/>
  <c r="AQ63" i="46" s="1"/>
  <c r="H63" i="46"/>
  <c r="H62" i="46"/>
  <c r="AP61" i="46"/>
  <c r="AQ61" i="46" s="1"/>
  <c r="H61" i="46"/>
  <c r="AP60" i="46"/>
  <c r="AQ60" i="46" s="1"/>
  <c r="H60" i="46"/>
  <c r="AP59" i="46"/>
  <c r="AQ59" i="46" s="1"/>
  <c r="H59" i="46"/>
  <c r="H58" i="46"/>
  <c r="AP57" i="46"/>
  <c r="AQ57" i="46" s="1"/>
  <c r="H57" i="46"/>
  <c r="AP56" i="46"/>
  <c r="AQ56" i="46" s="1"/>
  <c r="H56" i="46"/>
  <c r="H55" i="46"/>
  <c r="H54" i="46"/>
  <c r="AP53" i="46"/>
  <c r="AQ53" i="46" s="1"/>
  <c r="H53" i="46"/>
  <c r="H52" i="46"/>
  <c r="H51" i="46"/>
  <c r="AP50" i="46"/>
  <c r="AQ50" i="46" s="1"/>
  <c r="H50" i="46"/>
  <c r="H49" i="46"/>
  <c r="H48" i="46"/>
  <c r="H47" i="46"/>
  <c r="H46" i="46"/>
  <c r="AP45" i="46"/>
  <c r="AQ45" i="46" s="1"/>
  <c r="H45" i="46"/>
  <c r="H44" i="46"/>
  <c r="H43" i="46"/>
  <c r="H42" i="46"/>
  <c r="H41" i="46"/>
  <c r="H40" i="46"/>
  <c r="H39" i="46"/>
  <c r="H38" i="46"/>
  <c r="AP37" i="46"/>
  <c r="AQ37" i="46" s="1"/>
  <c r="H37" i="46"/>
  <c r="AP36" i="46"/>
  <c r="AQ36" i="46" s="1"/>
  <c r="H36" i="46"/>
  <c r="H35" i="46"/>
  <c r="H34" i="46"/>
  <c r="H33" i="46"/>
  <c r="H32" i="46"/>
  <c r="H31" i="46"/>
  <c r="H30" i="46"/>
  <c r="AP29" i="46"/>
  <c r="AQ29" i="46" s="1"/>
  <c r="H29" i="46"/>
  <c r="AP28" i="46"/>
  <c r="AQ28" i="46" s="1"/>
  <c r="H28" i="46"/>
  <c r="H27" i="46"/>
  <c r="H26" i="46"/>
  <c r="H25" i="46"/>
  <c r="H24" i="46"/>
  <c r="AP23" i="46"/>
  <c r="AQ23" i="46" s="1"/>
  <c r="H23" i="46"/>
  <c r="H22" i="46"/>
  <c r="AP21" i="46"/>
  <c r="AQ21" i="46" s="1"/>
  <c r="H21" i="46"/>
  <c r="AP20" i="46"/>
  <c r="AQ20" i="46" s="1"/>
  <c r="H20" i="46"/>
  <c r="AP19" i="46"/>
  <c r="AQ19" i="46" s="1"/>
  <c r="H19" i="46"/>
  <c r="H18" i="46"/>
  <c r="AP17" i="46"/>
  <c r="AQ17" i="46" s="1"/>
  <c r="H17" i="46"/>
  <c r="H16" i="46"/>
  <c r="H15" i="46"/>
  <c r="AP14" i="46"/>
  <c r="AQ14" i="46" s="1"/>
  <c r="H14" i="46"/>
  <c r="AP13" i="46"/>
  <c r="AQ13" i="46" s="1"/>
  <c r="H13" i="46"/>
  <c r="AP12" i="46"/>
  <c r="AQ12" i="46" s="1"/>
  <c r="H12" i="46"/>
  <c r="AP11" i="46"/>
  <c r="AQ11" i="46" s="1"/>
  <c r="H11" i="46"/>
  <c r="H10" i="46"/>
  <c r="AP9" i="46"/>
  <c r="AQ9" i="46" s="1"/>
  <c r="H9" i="46"/>
  <c r="AP8" i="46"/>
  <c r="AQ8" i="46" s="1"/>
  <c r="H8" i="46"/>
  <c r="AP7" i="46"/>
  <c r="AQ7" i="46" s="1"/>
  <c r="H7" i="46"/>
  <c r="H6" i="46"/>
  <c r="AP5" i="46"/>
  <c r="AQ5" i="46" s="1"/>
  <c r="H5" i="46"/>
  <c r="AP4" i="46"/>
  <c r="H4" i="46"/>
  <c r="H3" i="46"/>
  <c r="K107" i="32"/>
  <c r="K106" i="32"/>
  <c r="K105" i="32"/>
  <c r="K104" i="32"/>
  <c r="K103" i="32"/>
  <c r="K102" i="32"/>
  <c r="K101" i="32"/>
  <c r="K97" i="32"/>
  <c r="K96" i="32"/>
  <c r="K95" i="32"/>
  <c r="K94" i="32"/>
  <c r="K93" i="32"/>
  <c r="K92" i="32"/>
  <c r="K91" i="32"/>
  <c r="K87" i="32"/>
  <c r="K86" i="32"/>
  <c r="K85" i="32"/>
  <c r="K84" i="32"/>
  <c r="K83" i="32"/>
  <c r="K82" i="32"/>
  <c r="K78" i="32"/>
  <c r="K77" i="32"/>
  <c r="K76" i="32"/>
  <c r="K75" i="32"/>
  <c r="K74" i="32"/>
  <c r="K73" i="32"/>
  <c r="K72" i="32"/>
  <c r="K71" i="32"/>
  <c r="K70" i="32"/>
  <c r="K69" i="32"/>
  <c r="K68" i="32"/>
  <c r="K64" i="32"/>
  <c r="K63" i="32"/>
  <c r="K62" i="32"/>
  <c r="K61" i="32"/>
  <c r="K60" i="32"/>
  <c r="K59" i="32"/>
  <c r="K58" i="32"/>
  <c r="K54" i="32"/>
  <c r="K53" i="32"/>
  <c r="K52" i="32"/>
  <c r="K51" i="32"/>
  <c r="K50" i="32"/>
  <c r="K49" i="32"/>
  <c r="K45" i="32"/>
  <c r="K44" i="32"/>
  <c r="K43" i="32"/>
  <c r="K42" i="32"/>
  <c r="K41" i="32"/>
  <c r="K40" i="32"/>
  <c r="K39" i="32"/>
  <c r="K35" i="32"/>
  <c r="K34" i="32"/>
  <c r="K33" i="32"/>
  <c r="K32" i="32"/>
  <c r="K31" i="32"/>
  <c r="K30" i="32"/>
  <c r="K29" i="32"/>
  <c r="K28" i="32"/>
  <c r="K24" i="32"/>
  <c r="K23" i="32"/>
  <c r="K22" i="32"/>
  <c r="K21" i="32"/>
  <c r="K20" i="32"/>
  <c r="K19" i="32"/>
  <c r="K18" i="32"/>
  <c r="K17" i="32"/>
  <c r="K16" i="32"/>
  <c r="K15" i="32"/>
  <c r="K14" i="32"/>
  <c r="K13" i="32"/>
  <c r="E107" i="32"/>
  <c r="E106" i="32"/>
  <c r="E105" i="32"/>
  <c r="E104" i="32"/>
  <c r="E103" i="32"/>
  <c r="E102" i="32"/>
  <c r="E101" i="32"/>
  <c r="E97" i="32"/>
  <c r="E96" i="32"/>
  <c r="E95" i="32"/>
  <c r="E94" i="32"/>
  <c r="E93" i="32"/>
  <c r="E92" i="32"/>
  <c r="E91" i="32"/>
  <c r="E87" i="32"/>
  <c r="E86" i="32"/>
  <c r="E85" i="32"/>
  <c r="E84" i="32"/>
  <c r="E83" i="32"/>
  <c r="E82" i="32"/>
  <c r="E78" i="32"/>
  <c r="E77" i="32"/>
  <c r="E76" i="32"/>
  <c r="E75" i="32"/>
  <c r="E74" i="32"/>
  <c r="E73" i="32"/>
  <c r="E72" i="32"/>
  <c r="E71" i="32"/>
  <c r="E70" i="32"/>
  <c r="E69" i="32"/>
  <c r="E68" i="32"/>
  <c r="E64" i="32"/>
  <c r="E63" i="32"/>
  <c r="E62" i="32"/>
  <c r="E61" i="32"/>
  <c r="E60" i="32"/>
  <c r="E59" i="32"/>
  <c r="E58" i="32"/>
  <c r="E54" i="32"/>
  <c r="E53" i="32"/>
  <c r="E52" i="32"/>
  <c r="E51" i="32"/>
  <c r="E50" i="32"/>
  <c r="E49" i="32"/>
  <c r="E45" i="32"/>
  <c r="E44" i="32"/>
  <c r="E43" i="32"/>
  <c r="E42" i="32"/>
  <c r="E41" i="32"/>
  <c r="E40" i="32"/>
  <c r="E39" i="32"/>
  <c r="E35" i="32"/>
  <c r="E34" i="32"/>
  <c r="E33" i="32"/>
  <c r="E32" i="32"/>
  <c r="E31" i="32"/>
  <c r="E30" i="32"/>
  <c r="E29" i="32"/>
  <c r="E28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AO141" i="45"/>
  <c r="AN141" i="45"/>
  <c r="AO140" i="45"/>
  <c r="AN140" i="45"/>
  <c r="AO139" i="45"/>
  <c r="AN139" i="45"/>
  <c r="AP139" i="45" s="1"/>
  <c r="AQ139" i="45" s="1"/>
  <c r="AO138" i="45"/>
  <c r="AN138" i="45"/>
  <c r="AP138" i="45" s="1"/>
  <c r="AQ138" i="45" s="1"/>
  <c r="AO137" i="45"/>
  <c r="AN137" i="45"/>
  <c r="AO136" i="45"/>
  <c r="AN136" i="45"/>
  <c r="AO135" i="45"/>
  <c r="AN135" i="45"/>
  <c r="AP135" i="45" s="1"/>
  <c r="AQ135" i="45" s="1"/>
  <c r="AO134" i="45"/>
  <c r="AN134" i="45"/>
  <c r="AP134" i="45" s="1"/>
  <c r="AQ134" i="45" s="1"/>
  <c r="AO133" i="45"/>
  <c r="AN133" i="45"/>
  <c r="AO132" i="45"/>
  <c r="AN132" i="45"/>
  <c r="AO131" i="45"/>
  <c r="AN131" i="45"/>
  <c r="AP131" i="45" s="1"/>
  <c r="AQ131" i="45" s="1"/>
  <c r="AO130" i="45"/>
  <c r="AN130" i="45"/>
  <c r="AP130" i="45" s="1"/>
  <c r="AQ130" i="45" s="1"/>
  <c r="AO129" i="45"/>
  <c r="AN129" i="45"/>
  <c r="AO128" i="45"/>
  <c r="AN128" i="45"/>
  <c r="AO127" i="45"/>
  <c r="AN127" i="45"/>
  <c r="AP127" i="45" s="1"/>
  <c r="AQ127" i="45" s="1"/>
  <c r="AO126" i="45"/>
  <c r="AN126" i="45"/>
  <c r="AP126" i="45" s="1"/>
  <c r="AQ126" i="45" s="1"/>
  <c r="AO125" i="45"/>
  <c r="AN125" i="45"/>
  <c r="AO124" i="45"/>
  <c r="AN124" i="45"/>
  <c r="AO123" i="45"/>
  <c r="AN123" i="45"/>
  <c r="AP123" i="45" s="1"/>
  <c r="AQ123" i="45" s="1"/>
  <c r="AO122" i="45"/>
  <c r="AN122" i="45"/>
  <c r="AP122" i="45" s="1"/>
  <c r="AQ122" i="45" s="1"/>
  <c r="AO121" i="45"/>
  <c r="AN121" i="45"/>
  <c r="AO120" i="45"/>
  <c r="AN120" i="45"/>
  <c r="AO119" i="45"/>
  <c r="AN119" i="45"/>
  <c r="AP119" i="45" s="1"/>
  <c r="AQ119" i="45" s="1"/>
  <c r="AO118" i="45"/>
  <c r="AN118" i="45"/>
  <c r="AP118" i="45" s="1"/>
  <c r="AQ118" i="45" s="1"/>
  <c r="AO117" i="45"/>
  <c r="AN117" i="45"/>
  <c r="AO116" i="45"/>
  <c r="AN116" i="45"/>
  <c r="AP116" i="45" s="1"/>
  <c r="AQ116" i="45" s="1"/>
  <c r="AO115" i="45"/>
  <c r="AN115" i="45"/>
  <c r="AP115" i="45" s="1"/>
  <c r="AQ115" i="45" s="1"/>
  <c r="AO114" i="45"/>
  <c r="AN114" i="45"/>
  <c r="AP114" i="45" s="1"/>
  <c r="AQ114" i="45" s="1"/>
  <c r="AO113" i="45"/>
  <c r="AN113" i="45"/>
  <c r="AO112" i="45"/>
  <c r="AN112" i="45"/>
  <c r="AO111" i="45"/>
  <c r="AN111" i="45"/>
  <c r="AP111" i="45" s="1"/>
  <c r="AQ111" i="45" s="1"/>
  <c r="AO110" i="45"/>
  <c r="AN110" i="45"/>
  <c r="AO109" i="45"/>
  <c r="AN109" i="45"/>
  <c r="AO108" i="45"/>
  <c r="AN108" i="45"/>
  <c r="AO107" i="45"/>
  <c r="AN107" i="45"/>
  <c r="AO106" i="45"/>
  <c r="AN106" i="45"/>
  <c r="AP106" i="45" s="1"/>
  <c r="AQ106" i="45" s="1"/>
  <c r="AO105" i="45"/>
  <c r="AN105" i="45"/>
  <c r="AO104" i="45"/>
  <c r="AN104" i="45"/>
  <c r="AO103" i="45"/>
  <c r="AN103" i="45"/>
  <c r="AO102" i="45"/>
  <c r="AN102" i="45"/>
  <c r="AP102" i="45" s="1"/>
  <c r="AQ102" i="45" s="1"/>
  <c r="AO101" i="45"/>
  <c r="AN101" i="45"/>
  <c r="AO100" i="45"/>
  <c r="AN100" i="45"/>
  <c r="AO99" i="45"/>
  <c r="AN99" i="45"/>
  <c r="AO98" i="45"/>
  <c r="AN98" i="45"/>
  <c r="AP98" i="45" s="1"/>
  <c r="AQ98" i="45" s="1"/>
  <c r="AO97" i="45"/>
  <c r="AN97" i="45"/>
  <c r="AO96" i="45"/>
  <c r="AN96" i="45"/>
  <c r="AO95" i="45"/>
  <c r="AN95" i="45"/>
  <c r="AO94" i="45"/>
  <c r="AN94" i="45"/>
  <c r="AP94" i="45" s="1"/>
  <c r="AQ94" i="45" s="1"/>
  <c r="AO93" i="45"/>
  <c r="AN93" i="45"/>
  <c r="AO92" i="45"/>
  <c r="AN92" i="45"/>
  <c r="AO91" i="45"/>
  <c r="AN91" i="45"/>
  <c r="AP91" i="45" s="1"/>
  <c r="AQ91" i="45" s="1"/>
  <c r="AO90" i="45"/>
  <c r="AN90" i="45"/>
  <c r="AO89" i="45"/>
  <c r="AN89" i="45"/>
  <c r="AO88" i="45"/>
  <c r="AN88" i="45"/>
  <c r="AO87" i="45"/>
  <c r="AN87" i="45"/>
  <c r="AP87" i="45" s="1"/>
  <c r="AQ87" i="45" s="1"/>
  <c r="AO86" i="45"/>
  <c r="AN86" i="45"/>
  <c r="AP86" i="45" s="1"/>
  <c r="AQ86" i="45" s="1"/>
  <c r="AO85" i="45"/>
  <c r="AN85" i="45"/>
  <c r="AO84" i="45"/>
  <c r="AN84" i="45"/>
  <c r="AO83" i="45"/>
  <c r="AN83" i="45"/>
  <c r="AP83" i="45" s="1"/>
  <c r="AQ83" i="45" s="1"/>
  <c r="AO82" i="45"/>
  <c r="AN82" i="45"/>
  <c r="AP82" i="45" s="1"/>
  <c r="AQ82" i="45" s="1"/>
  <c r="AO81" i="45"/>
  <c r="AN81" i="45"/>
  <c r="AO80" i="45"/>
  <c r="AN80" i="45"/>
  <c r="AO79" i="45"/>
  <c r="AN79" i="45"/>
  <c r="AP79" i="45" s="1"/>
  <c r="AQ79" i="45" s="1"/>
  <c r="AO78" i="45"/>
  <c r="AN78" i="45"/>
  <c r="AP78" i="45" s="1"/>
  <c r="AQ78" i="45" s="1"/>
  <c r="AO77" i="45"/>
  <c r="AN77" i="45"/>
  <c r="AO76" i="45"/>
  <c r="AN76" i="45"/>
  <c r="AO75" i="45"/>
  <c r="AN75" i="45"/>
  <c r="AP75" i="45" s="1"/>
  <c r="AQ75" i="45" s="1"/>
  <c r="AO74" i="45"/>
  <c r="AN74" i="45"/>
  <c r="AP74" i="45" s="1"/>
  <c r="AQ74" i="45" s="1"/>
  <c r="AO73" i="45"/>
  <c r="AN73" i="45"/>
  <c r="AO72" i="45"/>
  <c r="AN72" i="45"/>
  <c r="AO71" i="45"/>
  <c r="AN71" i="45"/>
  <c r="AP71" i="45" s="1"/>
  <c r="AQ71" i="45" s="1"/>
  <c r="AO70" i="45"/>
  <c r="AN70" i="45"/>
  <c r="AP70" i="45" s="1"/>
  <c r="AQ70" i="45" s="1"/>
  <c r="AO69" i="45"/>
  <c r="AN69" i="45"/>
  <c r="AO68" i="45"/>
  <c r="AN68" i="45"/>
  <c r="AO67" i="45"/>
  <c r="AN67" i="45"/>
  <c r="AP67" i="45" s="1"/>
  <c r="AQ67" i="45" s="1"/>
  <c r="AO66" i="45"/>
  <c r="AN66" i="45"/>
  <c r="AO65" i="45"/>
  <c r="AN65" i="45"/>
  <c r="AO64" i="45"/>
  <c r="AN64" i="45"/>
  <c r="AO63" i="45"/>
  <c r="AN63" i="45"/>
  <c r="AO62" i="45"/>
  <c r="AN62" i="45"/>
  <c r="AP62" i="45" s="1"/>
  <c r="AQ62" i="45" s="1"/>
  <c r="AO61" i="45"/>
  <c r="AN61" i="45"/>
  <c r="AO60" i="45"/>
  <c r="AN60" i="45"/>
  <c r="AO59" i="45"/>
  <c r="AN59" i="45"/>
  <c r="AP59" i="45" s="1"/>
  <c r="AQ59" i="45" s="1"/>
  <c r="AO58" i="45"/>
  <c r="AN58" i="45"/>
  <c r="AP58" i="45" s="1"/>
  <c r="AQ58" i="45" s="1"/>
  <c r="AO57" i="45"/>
  <c r="AN57" i="45"/>
  <c r="AO56" i="45"/>
  <c r="AN56" i="45"/>
  <c r="AO55" i="45"/>
  <c r="AN55" i="45"/>
  <c r="AP55" i="45" s="1"/>
  <c r="AQ55" i="45" s="1"/>
  <c r="AO54" i="45"/>
  <c r="AN54" i="45"/>
  <c r="AO53" i="45"/>
  <c r="AN53" i="45"/>
  <c r="AO52" i="45"/>
  <c r="AN52" i="45"/>
  <c r="AO51" i="45"/>
  <c r="AN51" i="45"/>
  <c r="AP51" i="45" s="1"/>
  <c r="AQ51" i="45" s="1"/>
  <c r="AO50" i="45"/>
  <c r="AN50" i="45"/>
  <c r="AO49" i="45"/>
  <c r="AN49" i="45"/>
  <c r="AO48" i="45"/>
  <c r="AN48" i="45"/>
  <c r="AO47" i="45"/>
  <c r="AN47" i="45"/>
  <c r="AP47" i="45" s="1"/>
  <c r="AQ47" i="45" s="1"/>
  <c r="AO46" i="45"/>
  <c r="AN46" i="45"/>
  <c r="AO45" i="45"/>
  <c r="AN45" i="45"/>
  <c r="AO44" i="45"/>
  <c r="AN44" i="45"/>
  <c r="AO43" i="45"/>
  <c r="AN43" i="45"/>
  <c r="AP43" i="45" s="1"/>
  <c r="AQ43" i="45" s="1"/>
  <c r="AO42" i="45"/>
  <c r="AN42" i="45"/>
  <c r="AO41" i="45"/>
  <c r="AN41" i="45"/>
  <c r="AO40" i="45"/>
  <c r="AN40" i="45"/>
  <c r="AO39" i="45"/>
  <c r="AN39" i="45"/>
  <c r="AP39" i="45" s="1"/>
  <c r="AQ39" i="45" s="1"/>
  <c r="AO38" i="45"/>
  <c r="AN38" i="45"/>
  <c r="AO37" i="45"/>
  <c r="AN37" i="45"/>
  <c r="AO36" i="45"/>
  <c r="AN36" i="45"/>
  <c r="AO35" i="45"/>
  <c r="AN35" i="45"/>
  <c r="AP35" i="45" s="1"/>
  <c r="AQ35" i="45" s="1"/>
  <c r="AO34" i="45"/>
  <c r="AN34" i="45"/>
  <c r="AO33" i="45"/>
  <c r="AN33" i="45"/>
  <c r="AO32" i="45"/>
  <c r="AN32" i="45"/>
  <c r="AO31" i="45"/>
  <c r="AN31" i="45"/>
  <c r="AP31" i="45" s="1"/>
  <c r="AQ31" i="45" s="1"/>
  <c r="AO30" i="45"/>
  <c r="AN30" i="45"/>
  <c r="AO29" i="45"/>
  <c r="AN29" i="45"/>
  <c r="AO28" i="45"/>
  <c r="AN28" i="45"/>
  <c r="AO27" i="45"/>
  <c r="AN27" i="45"/>
  <c r="AO26" i="45"/>
  <c r="AN26" i="45"/>
  <c r="AO25" i="45"/>
  <c r="AN25" i="45"/>
  <c r="AO24" i="45"/>
  <c r="AN24" i="45"/>
  <c r="AO23" i="45"/>
  <c r="AN23" i="45"/>
  <c r="AP23" i="45" s="1"/>
  <c r="AQ23" i="45" s="1"/>
  <c r="AO22" i="45"/>
  <c r="AN22" i="45"/>
  <c r="AP22" i="45" s="1"/>
  <c r="AQ22" i="45" s="1"/>
  <c r="AO21" i="45"/>
  <c r="AN21" i="45"/>
  <c r="AO20" i="45"/>
  <c r="AN20" i="45"/>
  <c r="AO19" i="45"/>
  <c r="AN19" i="45"/>
  <c r="AO18" i="45"/>
  <c r="AN18" i="45"/>
  <c r="AP18" i="45" s="1"/>
  <c r="AQ18" i="45" s="1"/>
  <c r="AO17" i="45"/>
  <c r="AN17" i="45"/>
  <c r="AO16" i="45"/>
  <c r="AN16" i="45"/>
  <c r="AO15" i="45"/>
  <c r="AN15" i="45"/>
  <c r="AP15" i="45" s="1"/>
  <c r="AQ15" i="45" s="1"/>
  <c r="AO14" i="45"/>
  <c r="AN14" i="45"/>
  <c r="AP14" i="45" s="1"/>
  <c r="AQ14" i="45" s="1"/>
  <c r="AO13" i="45"/>
  <c r="AN13" i="45"/>
  <c r="AO12" i="45"/>
  <c r="AN12" i="45"/>
  <c r="AO11" i="45"/>
  <c r="AN11" i="45"/>
  <c r="AP11" i="45" s="1"/>
  <c r="AQ11" i="45" s="1"/>
  <c r="AO10" i="45"/>
  <c r="AN10" i="45"/>
  <c r="AP10" i="45" s="1"/>
  <c r="AQ10" i="45" s="1"/>
  <c r="AO9" i="45"/>
  <c r="AN9" i="45"/>
  <c r="AO8" i="45"/>
  <c r="AN8" i="45"/>
  <c r="AO7" i="45"/>
  <c r="AN7" i="45"/>
  <c r="AP7" i="45" s="1"/>
  <c r="AQ7" i="45" s="1"/>
  <c r="AO6" i="45"/>
  <c r="AN6" i="45"/>
  <c r="AP6" i="45" s="1"/>
  <c r="AQ6" i="45" s="1"/>
  <c r="AO5" i="45"/>
  <c r="AN5" i="45"/>
  <c r="AO4" i="45"/>
  <c r="AN4" i="45"/>
  <c r="H300" i="45"/>
  <c r="H299" i="45"/>
  <c r="H298" i="45"/>
  <c r="H297" i="45"/>
  <c r="H296" i="45"/>
  <c r="H295" i="45"/>
  <c r="H294" i="45"/>
  <c r="H293" i="45"/>
  <c r="H292" i="45"/>
  <c r="H291" i="45"/>
  <c r="H290" i="45"/>
  <c r="H289" i="45"/>
  <c r="H288" i="45"/>
  <c r="H287" i="45"/>
  <c r="H286" i="45"/>
  <c r="H285" i="45"/>
  <c r="H284" i="45"/>
  <c r="H283" i="45"/>
  <c r="H282" i="45"/>
  <c r="H281" i="45"/>
  <c r="H280" i="45"/>
  <c r="H279" i="45"/>
  <c r="H278" i="45"/>
  <c r="H277" i="45"/>
  <c r="H276" i="45"/>
  <c r="H275" i="45"/>
  <c r="H274" i="45"/>
  <c r="H273" i="45"/>
  <c r="H272" i="45"/>
  <c r="H271" i="45"/>
  <c r="H270" i="45"/>
  <c r="H269" i="45"/>
  <c r="H268" i="45"/>
  <c r="H267" i="45"/>
  <c r="H266" i="45"/>
  <c r="H265" i="45"/>
  <c r="H264" i="45"/>
  <c r="H263" i="45"/>
  <c r="H262" i="45"/>
  <c r="H261" i="45"/>
  <c r="H260" i="45"/>
  <c r="H259" i="45"/>
  <c r="H258" i="45"/>
  <c r="H257" i="45"/>
  <c r="H256" i="45"/>
  <c r="H255" i="45"/>
  <c r="H254" i="45"/>
  <c r="H253" i="45"/>
  <c r="H252" i="45"/>
  <c r="H251" i="45"/>
  <c r="H250" i="45"/>
  <c r="H249" i="45"/>
  <c r="H248" i="45"/>
  <c r="H247" i="45"/>
  <c r="H246" i="45"/>
  <c r="H245" i="45"/>
  <c r="H244" i="45"/>
  <c r="H243" i="45"/>
  <c r="H242" i="45"/>
  <c r="H241" i="45"/>
  <c r="H240" i="45"/>
  <c r="H239" i="45"/>
  <c r="H238" i="45"/>
  <c r="H237" i="45"/>
  <c r="H236" i="45"/>
  <c r="H235" i="45"/>
  <c r="H234" i="45"/>
  <c r="H233" i="45"/>
  <c r="H232" i="45"/>
  <c r="H231" i="45"/>
  <c r="H230" i="45"/>
  <c r="H229" i="45"/>
  <c r="H228" i="45"/>
  <c r="H227" i="45"/>
  <c r="H226" i="45"/>
  <c r="H225" i="45"/>
  <c r="H224" i="45"/>
  <c r="H223" i="45"/>
  <c r="H222" i="45"/>
  <c r="H221" i="45"/>
  <c r="H220" i="45"/>
  <c r="H219" i="45"/>
  <c r="H218" i="45"/>
  <c r="H217" i="45"/>
  <c r="H216" i="45"/>
  <c r="H215" i="45"/>
  <c r="H214" i="45"/>
  <c r="H213" i="45"/>
  <c r="H212" i="45"/>
  <c r="H211" i="45"/>
  <c r="H210" i="45"/>
  <c r="H209" i="45"/>
  <c r="H208" i="45"/>
  <c r="H207" i="45"/>
  <c r="H206" i="45"/>
  <c r="H205" i="45"/>
  <c r="H204" i="45"/>
  <c r="H203" i="45"/>
  <c r="H202" i="45"/>
  <c r="H201" i="45"/>
  <c r="H200" i="45"/>
  <c r="H199" i="45"/>
  <c r="H198" i="45"/>
  <c r="H197" i="45"/>
  <c r="H196" i="45"/>
  <c r="H195" i="45"/>
  <c r="H194" i="45"/>
  <c r="H193" i="45"/>
  <c r="H192" i="45"/>
  <c r="H191" i="45"/>
  <c r="H190" i="45"/>
  <c r="H189" i="45"/>
  <c r="H188" i="45"/>
  <c r="H187" i="45"/>
  <c r="H186" i="45"/>
  <c r="H185" i="45"/>
  <c r="H184" i="45"/>
  <c r="H183" i="45"/>
  <c r="H182" i="45"/>
  <c r="H181" i="45"/>
  <c r="H180" i="45"/>
  <c r="H179" i="45"/>
  <c r="H178" i="45"/>
  <c r="H177" i="45"/>
  <c r="H176" i="45"/>
  <c r="H175" i="45"/>
  <c r="H174" i="45"/>
  <c r="H173" i="45"/>
  <c r="H172" i="45"/>
  <c r="H171" i="45"/>
  <c r="H170" i="45"/>
  <c r="H169" i="45"/>
  <c r="H168" i="45"/>
  <c r="H167" i="45"/>
  <c r="H166" i="45"/>
  <c r="H165" i="45"/>
  <c r="H164" i="45"/>
  <c r="H163" i="45"/>
  <c r="H162" i="45"/>
  <c r="H161" i="45"/>
  <c r="H160" i="45"/>
  <c r="H159" i="45"/>
  <c r="H158" i="45"/>
  <c r="H157" i="45"/>
  <c r="H156" i="45"/>
  <c r="H155" i="45"/>
  <c r="H154" i="45"/>
  <c r="H153" i="45"/>
  <c r="H152" i="45"/>
  <c r="H151" i="45"/>
  <c r="H150" i="45"/>
  <c r="H149" i="45"/>
  <c r="H148" i="45"/>
  <c r="H147" i="45"/>
  <c r="H146" i="45"/>
  <c r="H145" i="45"/>
  <c r="H144" i="45"/>
  <c r="H143" i="45"/>
  <c r="H142" i="45"/>
  <c r="AP141" i="45"/>
  <c r="AQ141" i="45" s="1"/>
  <c r="H141" i="45"/>
  <c r="AP140" i="45"/>
  <c r="AQ140" i="45" s="1"/>
  <c r="H140" i="45"/>
  <c r="H139" i="45"/>
  <c r="H138" i="45"/>
  <c r="AP137" i="45"/>
  <c r="AQ137" i="45" s="1"/>
  <c r="H137" i="45"/>
  <c r="H136" i="45"/>
  <c r="H135" i="45"/>
  <c r="H134" i="45"/>
  <c r="AP133" i="45"/>
  <c r="AQ133" i="45" s="1"/>
  <c r="H133" i="45"/>
  <c r="H132" i="45"/>
  <c r="H131" i="45"/>
  <c r="H130" i="45"/>
  <c r="AP129" i="45"/>
  <c r="AQ129" i="45" s="1"/>
  <c r="H129" i="45"/>
  <c r="H128" i="45"/>
  <c r="H127" i="45"/>
  <c r="H126" i="45"/>
  <c r="AP125" i="45"/>
  <c r="AQ125" i="45" s="1"/>
  <c r="H125" i="45"/>
  <c r="AP124" i="45"/>
  <c r="AQ124" i="45" s="1"/>
  <c r="H124" i="45"/>
  <c r="H123" i="45"/>
  <c r="H122" i="45"/>
  <c r="AP121" i="45"/>
  <c r="AQ121" i="45" s="1"/>
  <c r="H121" i="45"/>
  <c r="H120" i="45"/>
  <c r="H119" i="45"/>
  <c r="H118" i="45"/>
  <c r="AP117" i="45"/>
  <c r="AQ117" i="45" s="1"/>
  <c r="H117" i="45"/>
  <c r="H116" i="45"/>
  <c r="H115" i="45"/>
  <c r="H114" i="45"/>
  <c r="AP113" i="45"/>
  <c r="AQ113" i="45" s="1"/>
  <c r="H113" i="45"/>
  <c r="H112" i="45"/>
  <c r="H111" i="45"/>
  <c r="AQ110" i="45"/>
  <c r="AP110" i="45"/>
  <c r="H110" i="45"/>
  <c r="AP109" i="45"/>
  <c r="AQ109" i="45" s="1"/>
  <c r="H109" i="45"/>
  <c r="AP108" i="45"/>
  <c r="AQ108" i="45" s="1"/>
  <c r="H108" i="45"/>
  <c r="AQ107" i="45"/>
  <c r="AP107" i="45"/>
  <c r="H107" i="45"/>
  <c r="H106" i="45"/>
  <c r="AP105" i="45"/>
  <c r="AQ105" i="45" s="1"/>
  <c r="H105" i="45"/>
  <c r="H104" i="45"/>
  <c r="AQ103" i="45"/>
  <c r="AP103" i="45"/>
  <c r="H103" i="45"/>
  <c r="H102" i="45"/>
  <c r="AP101" i="45"/>
  <c r="AQ101" i="45" s="1"/>
  <c r="H101" i="45"/>
  <c r="H100" i="45"/>
  <c r="AP99" i="45"/>
  <c r="AQ99" i="45" s="1"/>
  <c r="H99" i="45"/>
  <c r="H98" i="45"/>
  <c r="AP97" i="45"/>
  <c r="AQ97" i="45" s="1"/>
  <c r="H97" i="45"/>
  <c r="H96" i="45"/>
  <c r="AQ95" i="45"/>
  <c r="AP95" i="45"/>
  <c r="H95" i="45"/>
  <c r="H94" i="45"/>
  <c r="AP93" i="45"/>
  <c r="AQ93" i="45" s="1"/>
  <c r="H93" i="45"/>
  <c r="AQ92" i="45"/>
  <c r="AP92" i="45"/>
  <c r="H92" i="45"/>
  <c r="H91" i="45"/>
  <c r="H90" i="45"/>
  <c r="AP89" i="45"/>
  <c r="AQ89" i="45" s="1"/>
  <c r="H89" i="45"/>
  <c r="H88" i="45"/>
  <c r="H87" i="45"/>
  <c r="H86" i="45"/>
  <c r="AP85" i="45"/>
  <c r="AQ85" i="45" s="1"/>
  <c r="H85" i="45"/>
  <c r="H84" i="45"/>
  <c r="H83" i="45"/>
  <c r="H82" i="45"/>
  <c r="AP81" i="45"/>
  <c r="AQ81" i="45" s="1"/>
  <c r="H81" i="45"/>
  <c r="H80" i="45"/>
  <c r="H79" i="45"/>
  <c r="H78" i="45"/>
  <c r="AP77" i="45"/>
  <c r="AQ77" i="45" s="1"/>
  <c r="H77" i="45"/>
  <c r="AP76" i="45"/>
  <c r="AQ76" i="45" s="1"/>
  <c r="H76" i="45"/>
  <c r="H75" i="45"/>
  <c r="H74" i="45"/>
  <c r="AP73" i="45"/>
  <c r="AQ73" i="45" s="1"/>
  <c r="H73" i="45"/>
  <c r="AP72" i="45"/>
  <c r="AQ72" i="45" s="1"/>
  <c r="H72" i="45"/>
  <c r="H71" i="45"/>
  <c r="H70" i="45"/>
  <c r="AQ69" i="45"/>
  <c r="AP69" i="45"/>
  <c r="H69" i="45"/>
  <c r="AP68" i="45"/>
  <c r="AQ68" i="45" s="1"/>
  <c r="H68" i="45"/>
  <c r="H67" i="45"/>
  <c r="AP66" i="45"/>
  <c r="AQ66" i="45" s="1"/>
  <c r="H66" i="45"/>
  <c r="AP65" i="45"/>
  <c r="AQ65" i="45" s="1"/>
  <c r="H65" i="45"/>
  <c r="H64" i="45"/>
  <c r="H63" i="45"/>
  <c r="H62" i="45"/>
  <c r="AP61" i="45"/>
  <c r="AQ61" i="45" s="1"/>
  <c r="H61" i="45"/>
  <c r="AP60" i="45"/>
  <c r="AQ60" i="45" s="1"/>
  <c r="H60" i="45"/>
  <c r="H59" i="45"/>
  <c r="H58" i="45"/>
  <c r="AQ57" i="45"/>
  <c r="AP57" i="45"/>
  <c r="H57" i="45"/>
  <c r="AP56" i="45"/>
  <c r="AQ56" i="45" s="1"/>
  <c r="H56" i="45"/>
  <c r="H55" i="45"/>
  <c r="AP54" i="45"/>
  <c r="AQ54" i="45" s="1"/>
  <c r="H54" i="45"/>
  <c r="AP53" i="45"/>
  <c r="AQ53" i="45" s="1"/>
  <c r="H53" i="45"/>
  <c r="AP52" i="45"/>
  <c r="AQ52" i="45" s="1"/>
  <c r="H52" i="45"/>
  <c r="H51" i="45"/>
  <c r="AP50" i="45"/>
  <c r="AQ50" i="45" s="1"/>
  <c r="H50" i="45"/>
  <c r="AP49" i="45"/>
  <c r="AQ49" i="45" s="1"/>
  <c r="H49" i="45"/>
  <c r="AP48" i="45"/>
  <c r="AQ48" i="45" s="1"/>
  <c r="H48" i="45"/>
  <c r="H47" i="45"/>
  <c r="H46" i="45"/>
  <c r="AP45" i="45"/>
  <c r="AQ45" i="45" s="1"/>
  <c r="H45" i="45"/>
  <c r="AP44" i="45"/>
  <c r="AQ44" i="45" s="1"/>
  <c r="H44" i="45"/>
  <c r="H43" i="45"/>
  <c r="AP42" i="45"/>
  <c r="AQ42" i="45" s="1"/>
  <c r="H42" i="45"/>
  <c r="AP41" i="45"/>
  <c r="AQ41" i="45" s="1"/>
  <c r="H41" i="45"/>
  <c r="AP40" i="45"/>
  <c r="AQ40" i="45" s="1"/>
  <c r="H40" i="45"/>
  <c r="H39" i="45"/>
  <c r="H38" i="45"/>
  <c r="AQ37" i="45"/>
  <c r="AP37" i="45"/>
  <c r="H37" i="45"/>
  <c r="AP36" i="45"/>
  <c r="AQ36" i="45" s="1"/>
  <c r="H36" i="45"/>
  <c r="H35" i="45"/>
  <c r="AP34" i="45"/>
  <c r="AQ34" i="45" s="1"/>
  <c r="H34" i="45"/>
  <c r="AP33" i="45"/>
  <c r="AQ33" i="45" s="1"/>
  <c r="H33" i="45"/>
  <c r="AP32" i="45"/>
  <c r="AQ32" i="45" s="1"/>
  <c r="H32" i="45"/>
  <c r="H31" i="45"/>
  <c r="AQ30" i="45"/>
  <c r="AP30" i="45"/>
  <c r="H30" i="45"/>
  <c r="AQ29" i="45"/>
  <c r="AP29" i="45"/>
  <c r="H29" i="45"/>
  <c r="AP28" i="45"/>
  <c r="AQ28" i="45" s="1"/>
  <c r="H28" i="45"/>
  <c r="AP27" i="45"/>
  <c r="AQ27" i="45" s="1"/>
  <c r="H27" i="45"/>
  <c r="AP26" i="45"/>
  <c r="AQ26" i="45" s="1"/>
  <c r="H26" i="45"/>
  <c r="AQ25" i="45"/>
  <c r="AP25" i="45"/>
  <c r="H25" i="45"/>
  <c r="AP24" i="45"/>
  <c r="AQ24" i="45" s="1"/>
  <c r="H24" i="45"/>
  <c r="H23" i="45"/>
  <c r="H22" i="45"/>
  <c r="AP21" i="45"/>
  <c r="AQ21" i="45" s="1"/>
  <c r="H21" i="45"/>
  <c r="AP20" i="45"/>
  <c r="AQ20" i="45" s="1"/>
  <c r="H20" i="45"/>
  <c r="H19" i="45"/>
  <c r="H18" i="45"/>
  <c r="AP17" i="45"/>
  <c r="AQ17" i="45" s="1"/>
  <c r="H17" i="45"/>
  <c r="AP16" i="45"/>
  <c r="AQ16" i="45" s="1"/>
  <c r="H16" i="45"/>
  <c r="H15" i="45"/>
  <c r="H14" i="45"/>
  <c r="AP13" i="45"/>
  <c r="AQ13" i="45" s="1"/>
  <c r="H13" i="45"/>
  <c r="AP12" i="45"/>
  <c r="AQ12" i="45" s="1"/>
  <c r="H12" i="45"/>
  <c r="H11" i="45"/>
  <c r="H10" i="45"/>
  <c r="AP9" i="45"/>
  <c r="AQ9" i="45" s="1"/>
  <c r="H9" i="45"/>
  <c r="AQ8" i="45"/>
  <c r="AP8" i="45"/>
  <c r="H8" i="45"/>
  <c r="H7" i="45"/>
  <c r="H6" i="45"/>
  <c r="AP5" i="45"/>
  <c r="AQ5" i="45" s="1"/>
  <c r="H5" i="45"/>
  <c r="AP4" i="45"/>
  <c r="H4" i="45"/>
  <c r="H3" i="45"/>
  <c r="K107" i="31"/>
  <c r="K108" i="31" s="1"/>
  <c r="K106" i="31"/>
  <c r="K105" i="31"/>
  <c r="K104" i="31"/>
  <c r="K103" i="31"/>
  <c r="K102" i="31"/>
  <c r="K101" i="31"/>
  <c r="K97" i="31"/>
  <c r="K96" i="31"/>
  <c r="K95" i="31"/>
  <c r="K94" i="31"/>
  <c r="K93" i="31"/>
  <c r="K92" i="31"/>
  <c r="K91" i="31"/>
  <c r="K87" i="31"/>
  <c r="K86" i="31"/>
  <c r="K85" i="31"/>
  <c r="K84" i="31"/>
  <c r="K83" i="31"/>
  <c r="K82" i="31"/>
  <c r="K78" i="31"/>
  <c r="K77" i="31"/>
  <c r="K76" i="31"/>
  <c r="K75" i="31"/>
  <c r="K74" i="31"/>
  <c r="K73" i="31"/>
  <c r="K72" i="31"/>
  <c r="K71" i="31"/>
  <c r="K70" i="31"/>
  <c r="K69" i="31"/>
  <c r="K68" i="31"/>
  <c r="K64" i="31"/>
  <c r="K63" i="31"/>
  <c r="K62" i="31"/>
  <c r="K61" i="31"/>
  <c r="K60" i="31"/>
  <c r="K59" i="31"/>
  <c r="K58" i="31"/>
  <c r="K54" i="31"/>
  <c r="K53" i="31"/>
  <c r="K52" i="31"/>
  <c r="K51" i="31"/>
  <c r="K50" i="31"/>
  <c r="K49" i="31"/>
  <c r="K45" i="31"/>
  <c r="K44" i="31"/>
  <c r="K43" i="31"/>
  <c r="K42" i="31"/>
  <c r="K41" i="31"/>
  <c r="K40" i="31"/>
  <c r="K39" i="31"/>
  <c r="K35" i="31"/>
  <c r="K34" i="31"/>
  <c r="K33" i="31"/>
  <c r="K32" i="31"/>
  <c r="K31" i="31"/>
  <c r="K30" i="31"/>
  <c r="K29" i="31"/>
  <c r="K28" i="31"/>
  <c r="K24" i="31"/>
  <c r="K23" i="31"/>
  <c r="K22" i="31"/>
  <c r="K21" i="31"/>
  <c r="K20" i="31"/>
  <c r="K19" i="31"/>
  <c r="K18" i="31"/>
  <c r="K17" i="31"/>
  <c r="K16" i="31"/>
  <c r="K15" i="31"/>
  <c r="K14" i="31"/>
  <c r="K13" i="31"/>
  <c r="E107" i="31"/>
  <c r="E106" i="31"/>
  <c r="E105" i="31"/>
  <c r="E104" i="31"/>
  <c r="E103" i="31"/>
  <c r="E102" i="31"/>
  <c r="E101" i="31"/>
  <c r="E97" i="31"/>
  <c r="E96" i="31"/>
  <c r="E95" i="31"/>
  <c r="E94" i="31"/>
  <c r="E93" i="31"/>
  <c r="E92" i="31"/>
  <c r="E91" i="31"/>
  <c r="E87" i="31"/>
  <c r="E86" i="31"/>
  <c r="E85" i="31"/>
  <c r="E84" i="31"/>
  <c r="E83" i="31"/>
  <c r="E82" i="31"/>
  <c r="E78" i="31"/>
  <c r="E77" i="31"/>
  <c r="E76" i="31"/>
  <c r="E75" i="31"/>
  <c r="E74" i="31"/>
  <c r="E73" i="31"/>
  <c r="E72" i="31"/>
  <c r="E71" i="31"/>
  <c r="E70" i="31"/>
  <c r="E69" i="31"/>
  <c r="E68" i="31"/>
  <c r="E64" i="31"/>
  <c r="E63" i="31"/>
  <c r="E62" i="31"/>
  <c r="E61" i="31"/>
  <c r="E60" i="31"/>
  <c r="E59" i="31"/>
  <c r="E58" i="31"/>
  <c r="E54" i="31"/>
  <c r="E53" i="31"/>
  <c r="E52" i="31"/>
  <c r="E51" i="31"/>
  <c r="E50" i="31"/>
  <c r="E49" i="31"/>
  <c r="E45" i="31"/>
  <c r="E44" i="31"/>
  <c r="E43" i="31"/>
  <c r="E42" i="31"/>
  <c r="E41" i="31"/>
  <c r="E40" i="31"/>
  <c r="E39" i="31"/>
  <c r="E35" i="31"/>
  <c r="E34" i="31"/>
  <c r="E33" i="31"/>
  <c r="E32" i="31"/>
  <c r="E31" i="31"/>
  <c r="E30" i="31"/>
  <c r="E29" i="31"/>
  <c r="E28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AO136" i="44"/>
  <c r="AN137" i="44"/>
  <c r="AO141" i="44"/>
  <c r="AN141" i="44"/>
  <c r="AP141" i="44" s="1"/>
  <c r="AQ141" i="44" s="1"/>
  <c r="AO140" i="44"/>
  <c r="AN140" i="44"/>
  <c r="AO139" i="44"/>
  <c r="AN139" i="44"/>
  <c r="AP139" i="44" s="1"/>
  <c r="AQ139" i="44" s="1"/>
  <c r="AO138" i="44"/>
  <c r="AN138" i="44"/>
  <c r="AP138" i="44" s="1"/>
  <c r="AQ138" i="44" s="1"/>
  <c r="AO137" i="44"/>
  <c r="AN136" i="44"/>
  <c r="AP136" i="44" s="1"/>
  <c r="AQ136" i="44" s="1"/>
  <c r="AO135" i="44"/>
  <c r="AN135" i="44"/>
  <c r="AP135" i="44" s="1"/>
  <c r="AQ135" i="44" s="1"/>
  <c r="AO134" i="44"/>
  <c r="AN134" i="44"/>
  <c r="AP134" i="44" s="1"/>
  <c r="AQ134" i="44" s="1"/>
  <c r="AO133" i="44"/>
  <c r="AN133" i="44"/>
  <c r="AO132" i="44"/>
  <c r="AN132" i="44"/>
  <c r="AP132" i="44" s="1"/>
  <c r="AQ132" i="44" s="1"/>
  <c r="AO131" i="44"/>
  <c r="AN131" i="44"/>
  <c r="AP131" i="44" s="1"/>
  <c r="AQ131" i="44" s="1"/>
  <c r="AO130" i="44"/>
  <c r="AN130" i="44"/>
  <c r="AP130" i="44" s="1"/>
  <c r="AQ130" i="44" s="1"/>
  <c r="AO129" i="44"/>
  <c r="AN129" i="44"/>
  <c r="AO128" i="44"/>
  <c r="AN128" i="44"/>
  <c r="AP128" i="44" s="1"/>
  <c r="AQ128" i="44" s="1"/>
  <c r="AO127" i="44"/>
  <c r="AN127" i="44"/>
  <c r="AP127" i="44" s="1"/>
  <c r="AQ127" i="44" s="1"/>
  <c r="AO126" i="44"/>
  <c r="AN126" i="44"/>
  <c r="AP126" i="44" s="1"/>
  <c r="AQ126" i="44" s="1"/>
  <c r="AO125" i="44"/>
  <c r="AN125" i="44"/>
  <c r="AO124" i="44"/>
  <c r="AN124" i="44"/>
  <c r="AP124" i="44" s="1"/>
  <c r="AQ124" i="44" s="1"/>
  <c r="AO123" i="44"/>
  <c r="AN123" i="44"/>
  <c r="AP123" i="44" s="1"/>
  <c r="AQ123" i="44" s="1"/>
  <c r="AO122" i="44"/>
  <c r="AN122" i="44"/>
  <c r="AP122" i="44" s="1"/>
  <c r="AQ122" i="44" s="1"/>
  <c r="AO121" i="44"/>
  <c r="AN121" i="44"/>
  <c r="AP121" i="44" s="1"/>
  <c r="AQ121" i="44" s="1"/>
  <c r="AO120" i="44"/>
  <c r="AN120" i="44"/>
  <c r="AP120" i="44" s="1"/>
  <c r="AQ120" i="44" s="1"/>
  <c r="AO119" i="44"/>
  <c r="AN119" i="44"/>
  <c r="AP119" i="44" s="1"/>
  <c r="AQ119" i="44" s="1"/>
  <c r="AO118" i="44"/>
  <c r="AN118" i="44"/>
  <c r="AP118" i="44" s="1"/>
  <c r="AQ118" i="44" s="1"/>
  <c r="AO117" i="44"/>
  <c r="AN117" i="44"/>
  <c r="AO116" i="44"/>
  <c r="AN116" i="44"/>
  <c r="AP116" i="44" s="1"/>
  <c r="AQ116" i="44" s="1"/>
  <c r="AO115" i="44"/>
  <c r="AN115" i="44"/>
  <c r="AP115" i="44" s="1"/>
  <c r="AQ115" i="44" s="1"/>
  <c r="AO114" i="44"/>
  <c r="AN114" i="44"/>
  <c r="AP114" i="44" s="1"/>
  <c r="AQ114" i="44" s="1"/>
  <c r="AO113" i="44"/>
  <c r="AN113" i="44"/>
  <c r="AO112" i="44"/>
  <c r="AN112" i="44"/>
  <c r="AO111" i="44"/>
  <c r="AN111" i="44"/>
  <c r="AO110" i="44"/>
  <c r="AN110" i="44"/>
  <c r="AP110" i="44" s="1"/>
  <c r="AQ110" i="44" s="1"/>
  <c r="AO109" i="44"/>
  <c r="AN109" i="44"/>
  <c r="AO108" i="44"/>
  <c r="AN108" i="44"/>
  <c r="AO107" i="44"/>
  <c r="AN107" i="44"/>
  <c r="AP107" i="44" s="1"/>
  <c r="AQ107" i="44" s="1"/>
  <c r="AO106" i="44"/>
  <c r="AN106" i="44"/>
  <c r="AO105" i="44"/>
  <c r="AN105" i="44"/>
  <c r="AO104" i="44"/>
  <c r="AN104" i="44"/>
  <c r="AO103" i="44"/>
  <c r="AN103" i="44"/>
  <c r="AO102" i="44"/>
  <c r="AN102" i="44"/>
  <c r="AP102" i="44" s="1"/>
  <c r="AQ102" i="44" s="1"/>
  <c r="AO101" i="44"/>
  <c r="AN101" i="44"/>
  <c r="AO100" i="44"/>
  <c r="AN100" i="44"/>
  <c r="AO99" i="44"/>
  <c r="AN99" i="44"/>
  <c r="AP99" i="44" s="1"/>
  <c r="AQ99" i="44" s="1"/>
  <c r="AO98" i="44"/>
  <c r="AN98" i="44"/>
  <c r="AP98" i="44" s="1"/>
  <c r="AQ98" i="44" s="1"/>
  <c r="AO97" i="44"/>
  <c r="AN97" i="44"/>
  <c r="AO96" i="44"/>
  <c r="AN96" i="44"/>
  <c r="AO95" i="44"/>
  <c r="AN95" i="44"/>
  <c r="AP95" i="44" s="1"/>
  <c r="AQ95" i="44" s="1"/>
  <c r="AO94" i="44"/>
  <c r="AN94" i="44"/>
  <c r="AP94" i="44" s="1"/>
  <c r="AQ94" i="44" s="1"/>
  <c r="AO93" i="44"/>
  <c r="AN93" i="44"/>
  <c r="AO92" i="44"/>
  <c r="AN92" i="44"/>
  <c r="AO91" i="44"/>
  <c r="AN91" i="44"/>
  <c r="AP91" i="44" s="1"/>
  <c r="AQ91" i="44" s="1"/>
  <c r="AO90" i="44"/>
  <c r="AN90" i="44"/>
  <c r="AO89" i="44"/>
  <c r="AN89" i="44"/>
  <c r="AO88" i="44"/>
  <c r="AN88" i="44"/>
  <c r="AO87" i="44"/>
  <c r="AN87" i="44"/>
  <c r="AP87" i="44" s="1"/>
  <c r="AQ87" i="44" s="1"/>
  <c r="AO86" i="44"/>
  <c r="AN86" i="44"/>
  <c r="AP86" i="44" s="1"/>
  <c r="AQ86" i="44" s="1"/>
  <c r="AO85" i="44"/>
  <c r="AN85" i="44"/>
  <c r="AO84" i="44"/>
  <c r="AN84" i="44"/>
  <c r="AO83" i="44"/>
  <c r="AN83" i="44"/>
  <c r="AP83" i="44" s="1"/>
  <c r="AQ83" i="44" s="1"/>
  <c r="AO82" i="44"/>
  <c r="AN82" i="44"/>
  <c r="AP82" i="44" s="1"/>
  <c r="AQ82" i="44" s="1"/>
  <c r="AO81" i="44"/>
  <c r="AN81" i="44"/>
  <c r="AO80" i="44"/>
  <c r="AN80" i="44"/>
  <c r="AP80" i="44" s="1"/>
  <c r="AQ80" i="44" s="1"/>
  <c r="AO79" i="44"/>
  <c r="AN79" i="44"/>
  <c r="AP79" i="44" s="1"/>
  <c r="AQ79" i="44" s="1"/>
  <c r="AO78" i="44"/>
  <c r="AN78" i="44"/>
  <c r="AP78" i="44" s="1"/>
  <c r="AQ78" i="44" s="1"/>
  <c r="AO77" i="44"/>
  <c r="AN77" i="44"/>
  <c r="AO76" i="44"/>
  <c r="AN76" i="44"/>
  <c r="AP76" i="44" s="1"/>
  <c r="AQ76" i="44" s="1"/>
  <c r="AO75" i="44"/>
  <c r="AN75" i="44"/>
  <c r="AP75" i="44" s="1"/>
  <c r="AQ75" i="44" s="1"/>
  <c r="AO74" i="44"/>
  <c r="AN74" i="44"/>
  <c r="AO73" i="44"/>
  <c r="AN73" i="44"/>
  <c r="AO72" i="44"/>
  <c r="AN72" i="44"/>
  <c r="AP72" i="44" s="1"/>
  <c r="AQ72" i="44" s="1"/>
  <c r="AO71" i="44"/>
  <c r="AN71" i="44"/>
  <c r="AO70" i="44"/>
  <c r="AN70" i="44"/>
  <c r="AP70" i="44" s="1"/>
  <c r="AQ70" i="44" s="1"/>
  <c r="AO69" i="44"/>
  <c r="AN69" i="44"/>
  <c r="AO68" i="44"/>
  <c r="AN68" i="44"/>
  <c r="AP68" i="44" s="1"/>
  <c r="AQ68" i="44" s="1"/>
  <c r="AO67" i="44"/>
  <c r="AN67" i="44"/>
  <c r="AP67" i="44" s="1"/>
  <c r="AQ67" i="44" s="1"/>
  <c r="AO66" i="44"/>
  <c r="AN66" i="44"/>
  <c r="AP66" i="44" s="1"/>
  <c r="AQ66" i="44" s="1"/>
  <c r="AO65" i="44"/>
  <c r="AN65" i="44"/>
  <c r="AO64" i="44"/>
  <c r="AN64" i="44"/>
  <c r="AP64" i="44" s="1"/>
  <c r="AQ64" i="44" s="1"/>
  <c r="AO63" i="44"/>
  <c r="AN63" i="44"/>
  <c r="AP63" i="44" s="1"/>
  <c r="AQ63" i="44" s="1"/>
  <c r="AO62" i="44"/>
  <c r="AN62" i="44"/>
  <c r="AP62" i="44" s="1"/>
  <c r="AQ62" i="44" s="1"/>
  <c r="AO61" i="44"/>
  <c r="AN61" i="44"/>
  <c r="AO60" i="44"/>
  <c r="AN60" i="44"/>
  <c r="AO59" i="44"/>
  <c r="AN59" i="44"/>
  <c r="AO58" i="44"/>
  <c r="AN58" i="44"/>
  <c r="AO57" i="44"/>
  <c r="AN57" i="44"/>
  <c r="AO56" i="44"/>
  <c r="AN56" i="44"/>
  <c r="AP56" i="44" s="1"/>
  <c r="AQ56" i="44" s="1"/>
  <c r="AO55" i="44"/>
  <c r="AN55" i="44"/>
  <c r="AO54" i="44"/>
  <c r="AN54" i="44"/>
  <c r="AP54" i="44" s="1"/>
  <c r="AQ54" i="44" s="1"/>
  <c r="AO53" i="44"/>
  <c r="AN53" i="44"/>
  <c r="AO52" i="44"/>
  <c r="AN52" i="44"/>
  <c r="AO51" i="44"/>
  <c r="AN51" i="44"/>
  <c r="AO50" i="44"/>
  <c r="AN50" i="44"/>
  <c r="AP50" i="44" s="1"/>
  <c r="AQ50" i="44" s="1"/>
  <c r="AO49" i="44"/>
  <c r="AN49" i="44"/>
  <c r="AO48" i="44"/>
  <c r="AN48" i="44"/>
  <c r="AO47" i="44"/>
  <c r="AN47" i="44"/>
  <c r="AO46" i="44"/>
  <c r="AN46" i="44"/>
  <c r="AO45" i="44"/>
  <c r="AN45" i="44"/>
  <c r="AO44" i="44"/>
  <c r="AN44" i="44"/>
  <c r="AO43" i="44"/>
  <c r="AN43" i="44"/>
  <c r="AO42" i="44"/>
  <c r="AN42" i="44"/>
  <c r="AP42" i="44" s="1"/>
  <c r="AQ42" i="44" s="1"/>
  <c r="AO41" i="44"/>
  <c r="AN41" i="44"/>
  <c r="AO40" i="44"/>
  <c r="AN40" i="44"/>
  <c r="AO39" i="44"/>
  <c r="AN39" i="44"/>
  <c r="AO38" i="44"/>
  <c r="AN38" i="44"/>
  <c r="AP38" i="44" s="1"/>
  <c r="AQ38" i="44" s="1"/>
  <c r="AO37" i="44"/>
  <c r="AN37" i="44"/>
  <c r="AO36" i="44"/>
  <c r="AN36" i="44"/>
  <c r="AO35" i="44"/>
  <c r="AN35" i="44"/>
  <c r="AP35" i="44" s="1"/>
  <c r="AQ35" i="44" s="1"/>
  <c r="AO34" i="44"/>
  <c r="AN34" i="44"/>
  <c r="AP34" i="44" s="1"/>
  <c r="AQ34" i="44" s="1"/>
  <c r="AO33" i="44"/>
  <c r="AN33" i="44"/>
  <c r="AO32" i="44"/>
  <c r="AN32" i="44"/>
  <c r="AO31" i="44"/>
  <c r="AN31" i="44"/>
  <c r="AP31" i="44" s="1"/>
  <c r="AQ31" i="44" s="1"/>
  <c r="AO30" i="44"/>
  <c r="AN30" i="44"/>
  <c r="AP30" i="44" s="1"/>
  <c r="AQ30" i="44" s="1"/>
  <c r="AO29" i="44"/>
  <c r="AN29" i="44"/>
  <c r="AO28" i="44"/>
  <c r="AN28" i="44"/>
  <c r="AO27" i="44"/>
  <c r="AN27" i="44"/>
  <c r="AP27" i="44" s="1"/>
  <c r="AQ27" i="44" s="1"/>
  <c r="AO26" i="44"/>
  <c r="AN26" i="44"/>
  <c r="AP26" i="44" s="1"/>
  <c r="AQ26" i="44" s="1"/>
  <c r="AO25" i="44"/>
  <c r="AN25" i="44"/>
  <c r="AO24" i="44"/>
  <c r="AN24" i="44"/>
  <c r="AO23" i="44"/>
  <c r="AN23" i="44"/>
  <c r="AP23" i="44" s="1"/>
  <c r="AQ23" i="44" s="1"/>
  <c r="AO22" i="44"/>
  <c r="AN22" i="44"/>
  <c r="AP22" i="44" s="1"/>
  <c r="AQ22" i="44" s="1"/>
  <c r="AO21" i="44"/>
  <c r="AN21" i="44"/>
  <c r="AO20" i="44"/>
  <c r="AN20" i="44"/>
  <c r="AP20" i="44" s="1"/>
  <c r="AQ20" i="44" s="1"/>
  <c r="AO19" i="44"/>
  <c r="AN19" i="44"/>
  <c r="AP19" i="44" s="1"/>
  <c r="AQ19" i="44" s="1"/>
  <c r="AO18" i="44"/>
  <c r="AN18" i="44"/>
  <c r="AP18" i="44" s="1"/>
  <c r="AQ18" i="44" s="1"/>
  <c r="AO17" i="44"/>
  <c r="AN17" i="44"/>
  <c r="AO16" i="44"/>
  <c r="AN16" i="44"/>
  <c r="AO15" i="44"/>
  <c r="AN15" i="44"/>
  <c r="AP15" i="44" s="1"/>
  <c r="AQ15" i="44" s="1"/>
  <c r="AO14" i="44"/>
  <c r="AN14" i="44"/>
  <c r="AP14" i="44" s="1"/>
  <c r="AQ14" i="44" s="1"/>
  <c r="AO13" i="44"/>
  <c r="AN13" i="44"/>
  <c r="AO12" i="44"/>
  <c r="AN12" i="44"/>
  <c r="AP12" i="44" s="1"/>
  <c r="AQ12" i="44" s="1"/>
  <c r="AO11" i="44"/>
  <c r="AN11" i="44"/>
  <c r="AP11" i="44" s="1"/>
  <c r="AQ11" i="44" s="1"/>
  <c r="AO10" i="44"/>
  <c r="AN10" i="44"/>
  <c r="AP10" i="44" s="1"/>
  <c r="AQ10" i="44" s="1"/>
  <c r="AO9" i="44"/>
  <c r="AN9" i="44"/>
  <c r="AO8" i="44"/>
  <c r="AN8" i="44"/>
  <c r="AP8" i="44" s="1"/>
  <c r="AQ8" i="44" s="1"/>
  <c r="AO7" i="44"/>
  <c r="AN7" i="44"/>
  <c r="AP7" i="44" s="1"/>
  <c r="AQ7" i="44" s="1"/>
  <c r="AO6" i="44"/>
  <c r="AN6" i="44"/>
  <c r="AP6" i="44" s="1"/>
  <c r="AQ6" i="44" s="1"/>
  <c r="AO5" i="44"/>
  <c r="AN5" i="44"/>
  <c r="AO4" i="44"/>
  <c r="AN4" i="44"/>
  <c r="AP4" i="44" s="1"/>
  <c r="H300" i="44"/>
  <c r="H299" i="44"/>
  <c r="H298" i="44"/>
  <c r="H297" i="44"/>
  <c r="H296" i="44"/>
  <c r="H295" i="44"/>
  <c r="H294" i="44"/>
  <c r="H293" i="44"/>
  <c r="H292" i="44"/>
  <c r="H291" i="44"/>
  <c r="H290" i="44"/>
  <c r="H289" i="44"/>
  <c r="H288" i="44"/>
  <c r="H287" i="44"/>
  <c r="H286" i="44"/>
  <c r="H285" i="44"/>
  <c r="H284" i="44"/>
  <c r="H283" i="44"/>
  <c r="H282" i="44"/>
  <c r="H281" i="44"/>
  <c r="H280" i="44"/>
  <c r="H279" i="44"/>
  <c r="H278" i="44"/>
  <c r="H277" i="44"/>
  <c r="H276" i="44"/>
  <c r="H275" i="44"/>
  <c r="H274" i="44"/>
  <c r="H273" i="44"/>
  <c r="H272" i="44"/>
  <c r="H271" i="44"/>
  <c r="H270" i="44"/>
  <c r="H269" i="44"/>
  <c r="H268" i="44"/>
  <c r="H267" i="44"/>
  <c r="H266" i="44"/>
  <c r="H265" i="44"/>
  <c r="H264" i="44"/>
  <c r="H263" i="44"/>
  <c r="H262" i="44"/>
  <c r="H261" i="44"/>
  <c r="H260" i="44"/>
  <c r="H259" i="44"/>
  <c r="H258" i="44"/>
  <c r="H257" i="44"/>
  <c r="H256" i="44"/>
  <c r="H255" i="44"/>
  <c r="H254" i="44"/>
  <c r="H253" i="44"/>
  <c r="H252" i="44"/>
  <c r="H251" i="44"/>
  <c r="H250" i="44"/>
  <c r="H249" i="44"/>
  <c r="H248" i="44"/>
  <c r="H247" i="44"/>
  <c r="H246" i="44"/>
  <c r="H245" i="44"/>
  <c r="H244" i="44"/>
  <c r="H243" i="44"/>
  <c r="H242" i="44"/>
  <c r="H241" i="44"/>
  <c r="H240" i="44"/>
  <c r="H239" i="44"/>
  <c r="H238" i="44"/>
  <c r="H237" i="44"/>
  <c r="H236" i="44"/>
  <c r="H235" i="44"/>
  <c r="H234" i="44"/>
  <c r="H233" i="44"/>
  <c r="H232" i="44"/>
  <c r="H231" i="44"/>
  <c r="H230" i="44"/>
  <c r="H229" i="44"/>
  <c r="H228" i="44"/>
  <c r="H227" i="44"/>
  <c r="H226" i="44"/>
  <c r="H225" i="44"/>
  <c r="H224" i="44"/>
  <c r="H223" i="44"/>
  <c r="H222" i="44"/>
  <c r="H221" i="44"/>
  <c r="H220" i="44"/>
  <c r="H219" i="44"/>
  <c r="H218" i="44"/>
  <c r="H217" i="44"/>
  <c r="H216" i="44"/>
  <c r="H215" i="44"/>
  <c r="H214" i="44"/>
  <c r="H213" i="44"/>
  <c r="H212" i="44"/>
  <c r="H211" i="44"/>
  <c r="H210" i="44"/>
  <c r="H209" i="44"/>
  <c r="H208" i="44"/>
  <c r="H207" i="44"/>
  <c r="H206" i="44"/>
  <c r="H205" i="44"/>
  <c r="H204" i="44"/>
  <c r="H203" i="44"/>
  <c r="H202" i="44"/>
  <c r="H201" i="44"/>
  <c r="H200" i="44"/>
  <c r="H199" i="44"/>
  <c r="H198" i="44"/>
  <c r="H197" i="44"/>
  <c r="H196" i="44"/>
  <c r="H195" i="44"/>
  <c r="H194" i="44"/>
  <c r="H193" i="44"/>
  <c r="H192" i="44"/>
  <c r="H191" i="44"/>
  <c r="H190" i="44"/>
  <c r="H189" i="44"/>
  <c r="H188" i="44"/>
  <c r="H187" i="44"/>
  <c r="H186" i="44"/>
  <c r="H185" i="44"/>
  <c r="H184" i="44"/>
  <c r="H183" i="44"/>
  <c r="H182" i="44"/>
  <c r="H181" i="44"/>
  <c r="H180" i="44"/>
  <c r="H179" i="44"/>
  <c r="H178" i="44"/>
  <c r="H177" i="44"/>
  <c r="H176" i="44"/>
  <c r="H175" i="44"/>
  <c r="H174" i="44"/>
  <c r="H173" i="44"/>
  <c r="H172" i="44"/>
  <c r="H171" i="44"/>
  <c r="H170" i="44"/>
  <c r="H169" i="44"/>
  <c r="H168" i="44"/>
  <c r="H167" i="44"/>
  <c r="H166" i="44"/>
  <c r="H165" i="44"/>
  <c r="H164" i="44"/>
  <c r="H163" i="44"/>
  <c r="H162" i="44"/>
  <c r="H161" i="44"/>
  <c r="H160" i="44"/>
  <c r="H159" i="44"/>
  <c r="H158" i="44"/>
  <c r="H157" i="44"/>
  <c r="H156" i="44"/>
  <c r="H155" i="44"/>
  <c r="H154" i="44"/>
  <c r="H153" i="44"/>
  <c r="H152" i="44"/>
  <c r="H151" i="44"/>
  <c r="H150" i="44"/>
  <c r="H149" i="44"/>
  <c r="H148" i="44"/>
  <c r="H147" i="44"/>
  <c r="H146" i="44"/>
  <c r="H145" i="44"/>
  <c r="H144" i="44"/>
  <c r="H143" i="44"/>
  <c r="H142" i="44"/>
  <c r="H141" i="44"/>
  <c r="AP140" i="44"/>
  <c r="AQ140" i="44" s="1"/>
  <c r="H140" i="44"/>
  <c r="H139" i="44"/>
  <c r="H138" i="44"/>
  <c r="AP137" i="44"/>
  <c r="AQ137" i="44" s="1"/>
  <c r="H137" i="44"/>
  <c r="H136" i="44"/>
  <c r="H135" i="44"/>
  <c r="H134" i="44"/>
  <c r="AP133" i="44"/>
  <c r="AQ133" i="44" s="1"/>
  <c r="H133" i="44"/>
  <c r="H132" i="44"/>
  <c r="H131" i="44"/>
  <c r="H130" i="44"/>
  <c r="AP129" i="44"/>
  <c r="AQ129" i="44" s="1"/>
  <c r="H129" i="44"/>
  <c r="H128" i="44"/>
  <c r="H127" i="44"/>
  <c r="H126" i="44"/>
  <c r="AP125" i="44"/>
  <c r="AQ125" i="44" s="1"/>
  <c r="H125" i="44"/>
  <c r="H124" i="44"/>
  <c r="H123" i="44"/>
  <c r="H122" i="44"/>
  <c r="H121" i="44"/>
  <c r="H120" i="44"/>
  <c r="H119" i="44"/>
  <c r="H118" i="44"/>
  <c r="AP117" i="44"/>
  <c r="AQ117" i="44" s="1"/>
  <c r="H117" i="44"/>
  <c r="H116" i="44"/>
  <c r="H115" i="44"/>
  <c r="H114" i="44"/>
  <c r="AP113" i="44"/>
  <c r="AQ113" i="44" s="1"/>
  <c r="H113" i="44"/>
  <c r="AP112" i="44"/>
  <c r="AQ112" i="44" s="1"/>
  <c r="H112" i="44"/>
  <c r="AP111" i="44"/>
  <c r="AQ111" i="44" s="1"/>
  <c r="H111" i="44"/>
  <c r="H110" i="44"/>
  <c r="AP109" i="44"/>
  <c r="AQ109" i="44" s="1"/>
  <c r="H109" i="44"/>
  <c r="AP108" i="44"/>
  <c r="AQ108" i="44" s="1"/>
  <c r="H108" i="44"/>
  <c r="H107" i="44"/>
  <c r="H106" i="44"/>
  <c r="AP105" i="44"/>
  <c r="AQ105" i="44" s="1"/>
  <c r="H105" i="44"/>
  <c r="AP104" i="44"/>
  <c r="AQ104" i="44" s="1"/>
  <c r="H104" i="44"/>
  <c r="AP103" i="44"/>
  <c r="AQ103" i="44" s="1"/>
  <c r="H103" i="44"/>
  <c r="H102" i="44"/>
  <c r="AP101" i="44"/>
  <c r="AQ101" i="44" s="1"/>
  <c r="H101" i="44"/>
  <c r="AP100" i="44"/>
  <c r="AQ100" i="44" s="1"/>
  <c r="H100" i="44"/>
  <c r="H99" i="44"/>
  <c r="H98" i="44"/>
  <c r="AP97" i="44"/>
  <c r="AQ97" i="44" s="1"/>
  <c r="H97" i="44"/>
  <c r="AP96" i="44"/>
  <c r="AQ96" i="44" s="1"/>
  <c r="H96" i="44"/>
  <c r="H95" i="44"/>
  <c r="H94" i="44"/>
  <c r="AP93" i="44"/>
  <c r="AQ93" i="44" s="1"/>
  <c r="H93" i="44"/>
  <c r="AP92" i="44"/>
  <c r="AQ92" i="44" s="1"/>
  <c r="H92" i="44"/>
  <c r="H91" i="44"/>
  <c r="H90" i="44"/>
  <c r="AP89" i="44"/>
  <c r="AQ89" i="44" s="1"/>
  <c r="H89" i="44"/>
  <c r="AP88" i="44"/>
  <c r="AQ88" i="44" s="1"/>
  <c r="H88" i="44"/>
  <c r="H87" i="44"/>
  <c r="H86" i="44"/>
  <c r="AP85" i="44"/>
  <c r="AQ85" i="44" s="1"/>
  <c r="H85" i="44"/>
  <c r="AP84" i="44"/>
  <c r="AQ84" i="44" s="1"/>
  <c r="H84" i="44"/>
  <c r="H83" i="44"/>
  <c r="H82" i="44"/>
  <c r="AP81" i="44"/>
  <c r="AQ81" i="44" s="1"/>
  <c r="H81" i="44"/>
  <c r="H80" i="44"/>
  <c r="H79" i="44"/>
  <c r="H78" i="44"/>
  <c r="AP77" i="44"/>
  <c r="AQ77" i="44" s="1"/>
  <c r="H77" i="44"/>
  <c r="H76" i="44"/>
  <c r="H75" i="44"/>
  <c r="H74" i="44"/>
  <c r="AP73" i="44"/>
  <c r="AQ73" i="44" s="1"/>
  <c r="H73" i="44"/>
  <c r="H72" i="44"/>
  <c r="H71" i="44"/>
  <c r="H70" i="44"/>
  <c r="AP69" i="44"/>
  <c r="AQ69" i="44" s="1"/>
  <c r="H69" i="44"/>
  <c r="H68" i="44"/>
  <c r="H67" i="44"/>
  <c r="H66" i="44"/>
  <c r="AP65" i="44"/>
  <c r="AQ65" i="44" s="1"/>
  <c r="H65" i="44"/>
  <c r="H64" i="44"/>
  <c r="H63" i="44"/>
  <c r="H62" i="44"/>
  <c r="AP61" i="44"/>
  <c r="AQ61" i="44" s="1"/>
  <c r="H61" i="44"/>
  <c r="AP60" i="44"/>
  <c r="AQ60" i="44" s="1"/>
  <c r="H60" i="44"/>
  <c r="AP59" i="44"/>
  <c r="AQ59" i="44" s="1"/>
  <c r="H59" i="44"/>
  <c r="H58" i="44"/>
  <c r="AP57" i="44"/>
  <c r="AQ57" i="44" s="1"/>
  <c r="H57" i="44"/>
  <c r="H56" i="44"/>
  <c r="H55" i="44"/>
  <c r="H54" i="44"/>
  <c r="AP53" i="44"/>
  <c r="AQ53" i="44" s="1"/>
  <c r="H53" i="44"/>
  <c r="AP52" i="44"/>
  <c r="AQ52" i="44" s="1"/>
  <c r="H52" i="44"/>
  <c r="AP51" i="44"/>
  <c r="AQ51" i="44" s="1"/>
  <c r="H51" i="44"/>
  <c r="H50" i="44"/>
  <c r="AP49" i="44"/>
  <c r="AQ49" i="44" s="1"/>
  <c r="H49" i="44"/>
  <c r="H48" i="44"/>
  <c r="AP47" i="44"/>
  <c r="AQ47" i="44" s="1"/>
  <c r="H47" i="44"/>
  <c r="AP46" i="44"/>
  <c r="AQ46" i="44" s="1"/>
  <c r="H46" i="44"/>
  <c r="AP45" i="44"/>
  <c r="AQ45" i="44" s="1"/>
  <c r="H45" i="44"/>
  <c r="AP44" i="44"/>
  <c r="AQ44" i="44" s="1"/>
  <c r="H44" i="44"/>
  <c r="AP43" i="44"/>
  <c r="AQ43" i="44" s="1"/>
  <c r="H43" i="44"/>
  <c r="H42" i="44"/>
  <c r="AP41" i="44"/>
  <c r="AQ41" i="44" s="1"/>
  <c r="H41" i="44"/>
  <c r="H40" i="44"/>
  <c r="AP39" i="44"/>
  <c r="AQ39" i="44" s="1"/>
  <c r="H39" i="44"/>
  <c r="H38" i="44"/>
  <c r="AP37" i="44"/>
  <c r="AQ37" i="44" s="1"/>
  <c r="H37" i="44"/>
  <c r="AP36" i="44"/>
  <c r="AQ36" i="44" s="1"/>
  <c r="H36" i="44"/>
  <c r="H35" i="44"/>
  <c r="H34" i="44"/>
  <c r="AP33" i="44"/>
  <c r="AQ33" i="44" s="1"/>
  <c r="H33" i="44"/>
  <c r="H32" i="44"/>
  <c r="H31" i="44"/>
  <c r="H30" i="44"/>
  <c r="AP29" i="44"/>
  <c r="AQ29" i="44" s="1"/>
  <c r="H29" i="44"/>
  <c r="AP28" i="44"/>
  <c r="AQ28" i="44" s="1"/>
  <c r="H28" i="44"/>
  <c r="H27" i="44"/>
  <c r="H26" i="44"/>
  <c r="AP25" i="44"/>
  <c r="AQ25" i="44" s="1"/>
  <c r="H25" i="44"/>
  <c r="H24" i="44"/>
  <c r="H23" i="44"/>
  <c r="H22" i="44"/>
  <c r="AP21" i="44"/>
  <c r="AQ21" i="44" s="1"/>
  <c r="H21" i="44"/>
  <c r="H20" i="44"/>
  <c r="H19" i="44"/>
  <c r="H18" i="44"/>
  <c r="AP17" i="44"/>
  <c r="AQ17" i="44" s="1"/>
  <c r="H17" i="44"/>
  <c r="H16" i="44"/>
  <c r="H15" i="44"/>
  <c r="H14" i="44"/>
  <c r="AP13" i="44"/>
  <c r="H13" i="44"/>
  <c r="H12" i="44"/>
  <c r="H11" i="44"/>
  <c r="H10" i="44"/>
  <c r="AP9" i="44"/>
  <c r="AQ9" i="44" s="1"/>
  <c r="H9" i="44"/>
  <c r="H8" i="44"/>
  <c r="H7" i="44"/>
  <c r="H6" i="44"/>
  <c r="AP5" i="44"/>
  <c r="AQ5" i="44" s="1"/>
  <c r="H5" i="44"/>
  <c r="H4" i="44"/>
  <c r="H3" i="44"/>
  <c r="K107" i="30"/>
  <c r="K106" i="30"/>
  <c r="K105" i="30"/>
  <c r="K104" i="30"/>
  <c r="K103" i="30"/>
  <c r="K102" i="30"/>
  <c r="K101" i="30"/>
  <c r="K97" i="30"/>
  <c r="K96" i="30"/>
  <c r="K95" i="30"/>
  <c r="K94" i="30"/>
  <c r="K93" i="30"/>
  <c r="K92" i="30"/>
  <c r="K91" i="30"/>
  <c r="K87" i="30"/>
  <c r="K86" i="30"/>
  <c r="K85" i="30"/>
  <c r="K84" i="30"/>
  <c r="K88" i="30" s="1"/>
  <c r="K83" i="30"/>
  <c r="K82" i="30"/>
  <c r="K78" i="30"/>
  <c r="K77" i="30"/>
  <c r="K76" i="30"/>
  <c r="K75" i="30"/>
  <c r="K74" i="30"/>
  <c r="K73" i="30"/>
  <c r="K72" i="30"/>
  <c r="K71" i="30"/>
  <c r="K70" i="30"/>
  <c r="K69" i="30"/>
  <c r="K68" i="30"/>
  <c r="K64" i="30"/>
  <c r="K63" i="30"/>
  <c r="K62" i="30"/>
  <c r="K61" i="30"/>
  <c r="K60" i="30"/>
  <c r="K59" i="30"/>
  <c r="K58" i="30"/>
  <c r="K54" i="30"/>
  <c r="K53" i="30"/>
  <c r="K52" i="30"/>
  <c r="K51" i="30"/>
  <c r="K50" i="30"/>
  <c r="K49" i="30"/>
  <c r="K45" i="30"/>
  <c r="K44" i="30"/>
  <c r="K43" i="30"/>
  <c r="K42" i="30"/>
  <c r="K41" i="30"/>
  <c r="K40" i="30"/>
  <c r="K39" i="30"/>
  <c r="K35" i="30"/>
  <c r="K34" i="30"/>
  <c r="K33" i="30"/>
  <c r="K32" i="30"/>
  <c r="K31" i="30"/>
  <c r="K30" i="30"/>
  <c r="K29" i="30"/>
  <c r="K28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H14" i="41"/>
  <c r="H14" i="43"/>
  <c r="E74" i="30"/>
  <c r="E107" i="30"/>
  <c r="E106" i="30"/>
  <c r="E105" i="30"/>
  <c r="E104" i="30"/>
  <c r="E103" i="30"/>
  <c r="E102" i="30"/>
  <c r="E101" i="30"/>
  <c r="E97" i="30"/>
  <c r="E96" i="30"/>
  <c r="E95" i="30"/>
  <c r="E94" i="30"/>
  <c r="E93" i="30"/>
  <c r="E92" i="30"/>
  <c r="E91" i="30"/>
  <c r="E87" i="30"/>
  <c r="E86" i="30"/>
  <c r="E85" i="30"/>
  <c r="E84" i="30"/>
  <c r="E83" i="30"/>
  <c r="E82" i="30"/>
  <c r="E78" i="30"/>
  <c r="E77" i="30"/>
  <c r="E76" i="30"/>
  <c r="E75" i="30"/>
  <c r="E73" i="30"/>
  <c r="E72" i="30"/>
  <c r="E71" i="30"/>
  <c r="E70" i="30"/>
  <c r="E69" i="30"/>
  <c r="E68" i="30"/>
  <c r="E64" i="30"/>
  <c r="E63" i="30"/>
  <c r="E62" i="30"/>
  <c r="E61" i="30"/>
  <c r="E60" i="30"/>
  <c r="E59" i="30"/>
  <c r="E58" i="30"/>
  <c r="E54" i="30"/>
  <c r="E53" i="30"/>
  <c r="E52" i="30"/>
  <c r="E51" i="30"/>
  <c r="E50" i="30"/>
  <c r="E49" i="30"/>
  <c r="E45" i="30"/>
  <c r="E44" i="30"/>
  <c r="E43" i="30"/>
  <c r="E42" i="30"/>
  <c r="E41" i="30"/>
  <c r="E40" i="30"/>
  <c r="E39" i="30"/>
  <c r="E35" i="30"/>
  <c r="E34" i="30"/>
  <c r="E33" i="30"/>
  <c r="E32" i="30"/>
  <c r="E31" i="30"/>
  <c r="E30" i="30"/>
  <c r="E29" i="30"/>
  <c r="E28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AN121" i="43"/>
  <c r="AO141" i="43"/>
  <c r="AN141" i="43"/>
  <c r="AO140" i="43"/>
  <c r="AN140" i="43"/>
  <c r="AO139" i="43"/>
  <c r="AN139" i="43"/>
  <c r="AP139" i="43" s="1"/>
  <c r="AQ139" i="43" s="1"/>
  <c r="AO138" i="43"/>
  <c r="AN138" i="43"/>
  <c r="AP138" i="43" s="1"/>
  <c r="AQ138" i="43" s="1"/>
  <c r="AO137" i="43"/>
  <c r="AN137" i="43"/>
  <c r="AP137" i="43" s="1"/>
  <c r="AQ137" i="43" s="1"/>
  <c r="AO136" i="43"/>
  <c r="AN136" i="43"/>
  <c r="AO135" i="43"/>
  <c r="AN135" i="43"/>
  <c r="AP135" i="43" s="1"/>
  <c r="AQ135" i="43" s="1"/>
  <c r="AO134" i="43"/>
  <c r="AN134" i="43"/>
  <c r="AP134" i="43" s="1"/>
  <c r="AQ134" i="43" s="1"/>
  <c r="AO133" i="43"/>
  <c r="AN133" i="43"/>
  <c r="AO132" i="43"/>
  <c r="AN132" i="43"/>
  <c r="AP132" i="43" s="1"/>
  <c r="AQ132" i="43" s="1"/>
  <c r="AO131" i="43"/>
  <c r="AN131" i="43"/>
  <c r="AP131" i="43" s="1"/>
  <c r="AQ131" i="43" s="1"/>
  <c r="AO130" i="43"/>
  <c r="AN130" i="43"/>
  <c r="AP130" i="43" s="1"/>
  <c r="AQ130" i="43" s="1"/>
  <c r="AO129" i="43"/>
  <c r="AN129" i="43"/>
  <c r="AO128" i="43"/>
  <c r="AN128" i="43"/>
  <c r="AP128" i="43" s="1"/>
  <c r="AQ128" i="43" s="1"/>
  <c r="AO127" i="43"/>
  <c r="AN127" i="43"/>
  <c r="AP127" i="43" s="1"/>
  <c r="AQ127" i="43" s="1"/>
  <c r="AO126" i="43"/>
  <c r="AN126" i="43"/>
  <c r="AP126" i="43" s="1"/>
  <c r="AQ126" i="43" s="1"/>
  <c r="AO125" i="43"/>
  <c r="AN125" i="43"/>
  <c r="AP125" i="43" s="1"/>
  <c r="AQ125" i="43" s="1"/>
  <c r="AO124" i="43"/>
  <c r="AN124" i="43"/>
  <c r="AO123" i="43"/>
  <c r="AN123" i="43"/>
  <c r="AP123" i="43" s="1"/>
  <c r="AQ123" i="43" s="1"/>
  <c r="AO122" i="43"/>
  <c r="AN122" i="43"/>
  <c r="AO121" i="43"/>
  <c r="AO120" i="43"/>
  <c r="AN120" i="43"/>
  <c r="AP120" i="43" s="1"/>
  <c r="AQ120" i="43" s="1"/>
  <c r="AO119" i="43"/>
  <c r="AN119" i="43"/>
  <c r="AP119" i="43" s="1"/>
  <c r="AQ119" i="43" s="1"/>
  <c r="AO118" i="43"/>
  <c r="AN118" i="43"/>
  <c r="AP118" i="43" s="1"/>
  <c r="AQ118" i="43" s="1"/>
  <c r="AO117" i="43"/>
  <c r="AN117" i="43"/>
  <c r="AO116" i="43"/>
  <c r="AN116" i="43"/>
  <c r="AO115" i="43"/>
  <c r="AN115" i="43"/>
  <c r="AP115" i="43" s="1"/>
  <c r="AQ115" i="43" s="1"/>
  <c r="AO114" i="43"/>
  <c r="AN114" i="43"/>
  <c r="AP114" i="43" s="1"/>
  <c r="AQ114" i="43" s="1"/>
  <c r="AO113" i="43"/>
  <c r="AN113" i="43"/>
  <c r="AO112" i="43"/>
  <c r="AN112" i="43"/>
  <c r="AO111" i="43"/>
  <c r="AN111" i="43"/>
  <c r="AO110" i="43"/>
  <c r="AN110" i="43"/>
  <c r="AO109" i="43"/>
  <c r="AN109" i="43"/>
  <c r="AO108" i="43"/>
  <c r="AN108" i="43"/>
  <c r="AO107" i="43"/>
  <c r="AN107" i="43"/>
  <c r="AO106" i="43"/>
  <c r="AN106" i="43"/>
  <c r="AP106" i="43" s="1"/>
  <c r="AQ106" i="43" s="1"/>
  <c r="AO105" i="43"/>
  <c r="AN105" i="43"/>
  <c r="AO104" i="43"/>
  <c r="AN104" i="43"/>
  <c r="AO103" i="43"/>
  <c r="AN103" i="43"/>
  <c r="AO102" i="43"/>
  <c r="AN102" i="43"/>
  <c r="AP102" i="43" s="1"/>
  <c r="AQ102" i="43" s="1"/>
  <c r="AO101" i="43"/>
  <c r="AN101" i="43"/>
  <c r="AO100" i="43"/>
  <c r="AN100" i="43"/>
  <c r="AO99" i="43"/>
  <c r="AN99" i="43"/>
  <c r="AO98" i="43"/>
  <c r="AN98" i="43"/>
  <c r="AP98" i="43" s="1"/>
  <c r="AQ98" i="43" s="1"/>
  <c r="AO97" i="43"/>
  <c r="AN97" i="43"/>
  <c r="AO96" i="43"/>
  <c r="AN96" i="43"/>
  <c r="AO95" i="43"/>
  <c r="AN95" i="43"/>
  <c r="AO94" i="43"/>
  <c r="AN94" i="43"/>
  <c r="AP94" i="43" s="1"/>
  <c r="AQ94" i="43" s="1"/>
  <c r="AO93" i="43"/>
  <c r="AN93" i="43"/>
  <c r="AO92" i="43"/>
  <c r="AN92" i="43"/>
  <c r="AO91" i="43"/>
  <c r="AN91" i="43"/>
  <c r="AO90" i="43"/>
  <c r="AN90" i="43"/>
  <c r="AP90" i="43" s="1"/>
  <c r="AQ90" i="43" s="1"/>
  <c r="AO89" i="43"/>
  <c r="AN89" i="43"/>
  <c r="AO88" i="43"/>
  <c r="AN88" i="43"/>
  <c r="AO87" i="43"/>
  <c r="AN87" i="43"/>
  <c r="AP87" i="43" s="1"/>
  <c r="AQ87" i="43" s="1"/>
  <c r="AO86" i="43"/>
  <c r="AN86" i="43"/>
  <c r="AP86" i="43" s="1"/>
  <c r="AQ86" i="43" s="1"/>
  <c r="AO85" i="43"/>
  <c r="AN85" i="43"/>
  <c r="AO84" i="43"/>
  <c r="AN84" i="43"/>
  <c r="AO83" i="43"/>
  <c r="AN83" i="43"/>
  <c r="AP83" i="43" s="1"/>
  <c r="AQ83" i="43" s="1"/>
  <c r="AO82" i="43"/>
  <c r="AN82" i="43"/>
  <c r="AP82" i="43" s="1"/>
  <c r="AQ82" i="43" s="1"/>
  <c r="AO81" i="43"/>
  <c r="AN81" i="43"/>
  <c r="AO80" i="43"/>
  <c r="AN80" i="43"/>
  <c r="AO79" i="43"/>
  <c r="AN79" i="43"/>
  <c r="AO78" i="43"/>
  <c r="AN78" i="43"/>
  <c r="AP78" i="43" s="1"/>
  <c r="AQ78" i="43" s="1"/>
  <c r="AO77" i="43"/>
  <c r="AN77" i="43"/>
  <c r="AO76" i="43"/>
  <c r="AN76" i="43"/>
  <c r="AO75" i="43"/>
  <c r="AN75" i="43"/>
  <c r="AP75" i="43" s="1"/>
  <c r="AQ75" i="43" s="1"/>
  <c r="AO74" i="43"/>
  <c r="AN74" i="43"/>
  <c r="AP74" i="43" s="1"/>
  <c r="AQ74" i="43" s="1"/>
  <c r="AO73" i="43"/>
  <c r="AN73" i="43"/>
  <c r="AO72" i="43"/>
  <c r="AN72" i="43"/>
  <c r="AO71" i="43"/>
  <c r="AN71" i="43"/>
  <c r="AP71" i="43" s="1"/>
  <c r="AQ71" i="43" s="1"/>
  <c r="AO70" i="43"/>
  <c r="AN70" i="43"/>
  <c r="AP70" i="43" s="1"/>
  <c r="AQ70" i="43" s="1"/>
  <c r="AO69" i="43"/>
  <c r="AN69" i="43"/>
  <c r="AO68" i="43"/>
  <c r="AN68" i="43"/>
  <c r="AO67" i="43"/>
  <c r="AN67" i="43"/>
  <c r="AP67" i="43" s="1"/>
  <c r="AQ67" i="43" s="1"/>
  <c r="AO66" i="43"/>
  <c r="AN66" i="43"/>
  <c r="AP66" i="43" s="1"/>
  <c r="AQ66" i="43" s="1"/>
  <c r="AO65" i="43"/>
  <c r="AN65" i="43"/>
  <c r="AO64" i="43"/>
  <c r="AN64" i="43"/>
  <c r="AO63" i="43"/>
  <c r="AN63" i="43"/>
  <c r="AP63" i="43" s="1"/>
  <c r="AQ63" i="43" s="1"/>
  <c r="AO62" i="43"/>
  <c r="AN62" i="43"/>
  <c r="AP62" i="43" s="1"/>
  <c r="AQ62" i="43" s="1"/>
  <c r="AO61" i="43"/>
  <c r="AN61" i="43"/>
  <c r="AO60" i="43"/>
  <c r="AN60" i="43"/>
  <c r="AP60" i="43" s="1"/>
  <c r="AQ60" i="43" s="1"/>
  <c r="AO59" i="43"/>
  <c r="AN59" i="43"/>
  <c r="AP59" i="43" s="1"/>
  <c r="AQ59" i="43" s="1"/>
  <c r="AO58" i="43"/>
  <c r="AN58" i="43"/>
  <c r="AP58" i="43" s="1"/>
  <c r="AQ58" i="43" s="1"/>
  <c r="AO57" i="43"/>
  <c r="AN57" i="43"/>
  <c r="AO56" i="43"/>
  <c r="AN56" i="43"/>
  <c r="AO55" i="43"/>
  <c r="AN55" i="43"/>
  <c r="AP55" i="43" s="1"/>
  <c r="AQ55" i="43" s="1"/>
  <c r="AO54" i="43"/>
  <c r="AN54" i="43"/>
  <c r="AP54" i="43" s="1"/>
  <c r="AQ54" i="43" s="1"/>
  <c r="AO53" i="43"/>
  <c r="AN53" i="43"/>
  <c r="AO52" i="43"/>
  <c r="AN52" i="43"/>
  <c r="AO51" i="43"/>
  <c r="AN51" i="43"/>
  <c r="AP51" i="43" s="1"/>
  <c r="AQ51" i="43" s="1"/>
  <c r="AO50" i="43"/>
  <c r="AN50" i="43"/>
  <c r="AP50" i="43" s="1"/>
  <c r="AQ50" i="43" s="1"/>
  <c r="AO49" i="43"/>
  <c r="AN49" i="43"/>
  <c r="AO48" i="43"/>
  <c r="AN48" i="43"/>
  <c r="AO47" i="43"/>
  <c r="AN47" i="43"/>
  <c r="AP47" i="43" s="1"/>
  <c r="AQ47" i="43" s="1"/>
  <c r="AO46" i="43"/>
  <c r="AN46" i="43"/>
  <c r="AO45" i="43"/>
  <c r="AN45" i="43"/>
  <c r="AO44" i="43"/>
  <c r="AN44" i="43"/>
  <c r="AO43" i="43"/>
  <c r="AN43" i="43"/>
  <c r="AP43" i="43" s="1"/>
  <c r="AQ43" i="43" s="1"/>
  <c r="AO42" i="43"/>
  <c r="AN42" i="43"/>
  <c r="AP42" i="43" s="1"/>
  <c r="AQ42" i="43" s="1"/>
  <c r="AO41" i="43"/>
  <c r="AN41" i="43"/>
  <c r="AO40" i="43"/>
  <c r="AN40" i="43"/>
  <c r="AP40" i="43" s="1"/>
  <c r="AQ40" i="43" s="1"/>
  <c r="AO39" i="43"/>
  <c r="AN39" i="43"/>
  <c r="AP39" i="43" s="1"/>
  <c r="AQ39" i="43" s="1"/>
  <c r="AO38" i="43"/>
  <c r="AN38" i="43"/>
  <c r="AP38" i="43" s="1"/>
  <c r="AQ38" i="43" s="1"/>
  <c r="AO37" i="43"/>
  <c r="AN37" i="43"/>
  <c r="AO36" i="43"/>
  <c r="AN36" i="43"/>
  <c r="AP36" i="43" s="1"/>
  <c r="AQ36" i="43" s="1"/>
  <c r="AO35" i="43"/>
  <c r="AN35" i="43"/>
  <c r="AP35" i="43" s="1"/>
  <c r="AQ35" i="43" s="1"/>
  <c r="AO34" i="43"/>
  <c r="AN34" i="43"/>
  <c r="AP34" i="43" s="1"/>
  <c r="AQ34" i="43" s="1"/>
  <c r="AO33" i="43"/>
  <c r="AN33" i="43"/>
  <c r="AO32" i="43"/>
  <c r="AN32" i="43"/>
  <c r="AP32" i="43" s="1"/>
  <c r="AQ32" i="43" s="1"/>
  <c r="AO31" i="43"/>
  <c r="AN31" i="43"/>
  <c r="AP31" i="43" s="1"/>
  <c r="AQ31" i="43" s="1"/>
  <c r="AO30" i="43"/>
  <c r="AN30" i="43"/>
  <c r="AP30" i="43" s="1"/>
  <c r="AQ30" i="43" s="1"/>
  <c r="AO29" i="43"/>
  <c r="AN29" i="43"/>
  <c r="AO28" i="43"/>
  <c r="AN28" i="43"/>
  <c r="AP28" i="43" s="1"/>
  <c r="AQ28" i="43" s="1"/>
  <c r="AO27" i="43"/>
  <c r="AN27" i="43"/>
  <c r="AP27" i="43" s="1"/>
  <c r="AQ27" i="43" s="1"/>
  <c r="AO26" i="43"/>
  <c r="AN26" i="43"/>
  <c r="AP26" i="43" s="1"/>
  <c r="AQ26" i="43" s="1"/>
  <c r="AO25" i="43"/>
  <c r="AN25" i="43"/>
  <c r="AO24" i="43"/>
  <c r="AN24" i="43"/>
  <c r="AP24" i="43" s="1"/>
  <c r="AQ24" i="43" s="1"/>
  <c r="AO23" i="43"/>
  <c r="AN23" i="43"/>
  <c r="AP23" i="43" s="1"/>
  <c r="AQ23" i="43" s="1"/>
  <c r="AO22" i="43"/>
  <c r="AN22" i="43"/>
  <c r="AP22" i="43" s="1"/>
  <c r="AQ22" i="43" s="1"/>
  <c r="AO21" i="43"/>
  <c r="AN21" i="43"/>
  <c r="AO20" i="43"/>
  <c r="AN20" i="43"/>
  <c r="AP20" i="43" s="1"/>
  <c r="AQ20" i="43" s="1"/>
  <c r="AO19" i="43"/>
  <c r="AN19" i="43"/>
  <c r="AP19" i="43" s="1"/>
  <c r="AQ19" i="43" s="1"/>
  <c r="AO18" i="43"/>
  <c r="AN18" i="43"/>
  <c r="AP18" i="43" s="1"/>
  <c r="AQ18" i="43" s="1"/>
  <c r="AO17" i="43"/>
  <c r="AN17" i="43"/>
  <c r="AO16" i="43"/>
  <c r="AN16" i="43"/>
  <c r="AP16" i="43" s="1"/>
  <c r="AQ16" i="43" s="1"/>
  <c r="AO15" i="43"/>
  <c r="AP15" i="43" s="1"/>
  <c r="AQ15" i="43" s="1"/>
  <c r="AO14" i="43"/>
  <c r="AP14" i="43" s="1"/>
  <c r="AQ14" i="43" s="1"/>
  <c r="AO13" i="43"/>
  <c r="AP13" i="43" s="1"/>
  <c r="AQ13" i="43" s="1"/>
  <c r="AO12" i="43"/>
  <c r="AO11" i="43"/>
  <c r="AO10" i="43"/>
  <c r="AO9" i="43"/>
  <c r="AO8" i="43"/>
  <c r="AO7" i="43"/>
  <c r="AP7" i="43" s="1"/>
  <c r="AQ7" i="43" s="1"/>
  <c r="AO6" i="43"/>
  <c r="AO5" i="43"/>
  <c r="AO4" i="43"/>
  <c r="AP4" i="43" s="1"/>
  <c r="AN5" i="43"/>
  <c r="AN6" i="43"/>
  <c r="AN7" i="43"/>
  <c r="AN8" i="43"/>
  <c r="AN9" i="43"/>
  <c r="AP9" i="43" s="1"/>
  <c r="AQ9" i="43" s="1"/>
  <c r="AN10" i="43"/>
  <c r="AN11" i="43"/>
  <c r="AP11" i="43" s="1"/>
  <c r="AQ11" i="43" s="1"/>
  <c r="AN12" i="43"/>
  <c r="AP12" i="43" s="1"/>
  <c r="AQ12" i="43" s="1"/>
  <c r="AN13" i="43"/>
  <c r="AN14" i="43"/>
  <c r="AN15" i="43"/>
  <c r="AP8" i="43"/>
  <c r="AQ8" i="43" s="1"/>
  <c r="AN4" i="43"/>
  <c r="H300" i="43"/>
  <c r="H299" i="43"/>
  <c r="H298" i="43"/>
  <c r="H297" i="43"/>
  <c r="H296" i="43"/>
  <c r="H295" i="43"/>
  <c r="H294" i="43"/>
  <c r="H293" i="43"/>
  <c r="H292" i="43"/>
  <c r="H291" i="43"/>
  <c r="H290" i="43"/>
  <c r="H289" i="43"/>
  <c r="H288" i="43"/>
  <c r="H287" i="43"/>
  <c r="H286" i="43"/>
  <c r="H285" i="43"/>
  <c r="H284" i="43"/>
  <c r="H283" i="43"/>
  <c r="H282" i="43"/>
  <c r="H281" i="43"/>
  <c r="H280" i="43"/>
  <c r="H279" i="43"/>
  <c r="H278" i="43"/>
  <c r="H277" i="43"/>
  <c r="H276" i="43"/>
  <c r="H275" i="43"/>
  <c r="H274" i="43"/>
  <c r="H273" i="43"/>
  <c r="H272" i="43"/>
  <c r="H271" i="43"/>
  <c r="H270" i="43"/>
  <c r="H269" i="43"/>
  <c r="H268" i="43"/>
  <c r="H267" i="43"/>
  <c r="H266" i="43"/>
  <c r="H265" i="43"/>
  <c r="H264" i="43"/>
  <c r="H263" i="43"/>
  <c r="H262" i="43"/>
  <c r="H261" i="43"/>
  <c r="H260" i="43"/>
  <c r="H259" i="43"/>
  <c r="H258" i="43"/>
  <c r="H257" i="43"/>
  <c r="H256" i="43"/>
  <c r="H255" i="43"/>
  <c r="H254" i="43"/>
  <c r="H253" i="43"/>
  <c r="H252" i="43"/>
  <c r="H251" i="43"/>
  <c r="H250" i="43"/>
  <c r="H249" i="43"/>
  <c r="H248" i="43"/>
  <c r="H247" i="43"/>
  <c r="H246" i="43"/>
  <c r="H245" i="43"/>
  <c r="H244" i="43"/>
  <c r="H243" i="43"/>
  <c r="H242" i="43"/>
  <c r="H241" i="43"/>
  <c r="H240" i="43"/>
  <c r="H239" i="43"/>
  <c r="H238" i="43"/>
  <c r="H237" i="43"/>
  <c r="H236" i="43"/>
  <c r="H235" i="43"/>
  <c r="H234" i="43"/>
  <c r="H233" i="43"/>
  <c r="H232" i="43"/>
  <c r="H231" i="43"/>
  <c r="H230" i="43"/>
  <c r="H229" i="43"/>
  <c r="H228" i="43"/>
  <c r="H227" i="43"/>
  <c r="H226" i="43"/>
  <c r="H225" i="43"/>
  <c r="H224" i="43"/>
  <c r="H223" i="43"/>
  <c r="H222" i="43"/>
  <c r="H221" i="43"/>
  <c r="H220" i="43"/>
  <c r="H219" i="43"/>
  <c r="H218" i="43"/>
  <c r="H217" i="43"/>
  <c r="H216" i="43"/>
  <c r="H215" i="43"/>
  <c r="H214" i="43"/>
  <c r="H213" i="43"/>
  <c r="H212" i="43"/>
  <c r="H211" i="43"/>
  <c r="H210" i="43"/>
  <c r="H209" i="43"/>
  <c r="H208" i="43"/>
  <c r="H207" i="43"/>
  <c r="H206" i="43"/>
  <c r="H205" i="43"/>
  <c r="H204" i="43"/>
  <c r="H203" i="43"/>
  <c r="H202" i="43"/>
  <c r="H201" i="43"/>
  <c r="H200" i="43"/>
  <c r="H199" i="43"/>
  <c r="H198" i="43"/>
  <c r="H197" i="43"/>
  <c r="H196" i="43"/>
  <c r="H195" i="43"/>
  <c r="H194" i="43"/>
  <c r="H193" i="43"/>
  <c r="H192" i="43"/>
  <c r="H191" i="43"/>
  <c r="H190" i="43"/>
  <c r="H189" i="43"/>
  <c r="H188" i="43"/>
  <c r="H187" i="43"/>
  <c r="H186" i="43"/>
  <c r="H185" i="43"/>
  <c r="H184" i="43"/>
  <c r="H183" i="43"/>
  <c r="H182" i="43"/>
  <c r="H181" i="43"/>
  <c r="H180" i="43"/>
  <c r="H179" i="43"/>
  <c r="H178" i="43"/>
  <c r="H177" i="43"/>
  <c r="H176" i="43"/>
  <c r="H175" i="43"/>
  <c r="H174" i="43"/>
  <c r="H173" i="43"/>
  <c r="H172" i="43"/>
  <c r="H171" i="43"/>
  <c r="H170" i="43"/>
  <c r="H169" i="43"/>
  <c r="H168" i="43"/>
  <c r="H167" i="43"/>
  <c r="H166" i="43"/>
  <c r="H165" i="43"/>
  <c r="H164" i="43"/>
  <c r="H163" i="43"/>
  <c r="H162" i="43"/>
  <c r="H161" i="43"/>
  <c r="H160" i="43"/>
  <c r="H159" i="43"/>
  <c r="H158" i="43"/>
  <c r="H157" i="43"/>
  <c r="H156" i="43"/>
  <c r="H155" i="43"/>
  <c r="H154" i="43"/>
  <c r="H153" i="43"/>
  <c r="H152" i="43"/>
  <c r="H151" i="43"/>
  <c r="H150" i="43"/>
  <c r="H149" i="43"/>
  <c r="H148" i="43"/>
  <c r="H147" i="43"/>
  <c r="H146" i="43"/>
  <c r="H145" i="43"/>
  <c r="H144" i="43"/>
  <c r="H143" i="43"/>
  <c r="H142" i="43"/>
  <c r="AP141" i="43"/>
  <c r="AQ141" i="43" s="1"/>
  <c r="H141" i="43"/>
  <c r="AP140" i="43"/>
  <c r="AQ140" i="43" s="1"/>
  <c r="H140" i="43"/>
  <c r="H139" i="43"/>
  <c r="H138" i="43"/>
  <c r="H137" i="43"/>
  <c r="H136" i="43"/>
  <c r="H135" i="43"/>
  <c r="H134" i="43"/>
  <c r="AP133" i="43"/>
  <c r="AQ133" i="43" s="1"/>
  <c r="H133" i="43"/>
  <c r="H132" i="43"/>
  <c r="H131" i="43"/>
  <c r="H130" i="43"/>
  <c r="AP129" i="43"/>
  <c r="AQ129" i="43" s="1"/>
  <c r="H129" i="43"/>
  <c r="H128" i="43"/>
  <c r="H127" i="43"/>
  <c r="H126" i="43"/>
  <c r="H125" i="43"/>
  <c r="H124" i="43"/>
  <c r="H123" i="43"/>
  <c r="AP122" i="43"/>
  <c r="AQ122" i="43" s="1"/>
  <c r="H122" i="43"/>
  <c r="H121" i="43"/>
  <c r="H120" i="43"/>
  <c r="H119" i="43"/>
  <c r="H118" i="43"/>
  <c r="AP117" i="43"/>
  <c r="AQ117" i="43" s="1"/>
  <c r="H117" i="43"/>
  <c r="H116" i="43"/>
  <c r="H115" i="43"/>
  <c r="H114" i="43"/>
  <c r="AP113" i="43"/>
  <c r="AQ113" i="43" s="1"/>
  <c r="H113" i="43"/>
  <c r="AP112" i="43"/>
  <c r="AQ112" i="43" s="1"/>
  <c r="H112" i="43"/>
  <c r="AP111" i="43"/>
  <c r="AQ111" i="43" s="1"/>
  <c r="H111" i="43"/>
  <c r="AP110" i="43"/>
  <c r="AQ110" i="43" s="1"/>
  <c r="H110" i="43"/>
  <c r="AP109" i="43"/>
  <c r="AQ109" i="43" s="1"/>
  <c r="H109" i="43"/>
  <c r="AP108" i="43"/>
  <c r="AQ108" i="43" s="1"/>
  <c r="H108" i="43"/>
  <c r="AP107" i="43"/>
  <c r="AQ107" i="43" s="1"/>
  <c r="H107" i="43"/>
  <c r="H106" i="43"/>
  <c r="AP105" i="43"/>
  <c r="AQ105" i="43" s="1"/>
  <c r="H105" i="43"/>
  <c r="AP104" i="43"/>
  <c r="AQ104" i="43" s="1"/>
  <c r="H104" i="43"/>
  <c r="AP103" i="43"/>
  <c r="AQ103" i="43" s="1"/>
  <c r="H103" i="43"/>
  <c r="H102" i="43"/>
  <c r="AP101" i="43"/>
  <c r="AQ101" i="43" s="1"/>
  <c r="H101" i="43"/>
  <c r="H100" i="43"/>
  <c r="AP99" i="43"/>
  <c r="AQ99" i="43" s="1"/>
  <c r="H99" i="43"/>
  <c r="H98" i="43"/>
  <c r="AP97" i="43"/>
  <c r="AQ97" i="43" s="1"/>
  <c r="H97" i="43"/>
  <c r="AP96" i="43"/>
  <c r="AQ96" i="43" s="1"/>
  <c r="H96" i="43"/>
  <c r="AP95" i="43"/>
  <c r="AQ95" i="43" s="1"/>
  <c r="H95" i="43"/>
  <c r="H94" i="43"/>
  <c r="AP93" i="43"/>
  <c r="AQ93" i="43" s="1"/>
  <c r="H93" i="43"/>
  <c r="AP92" i="43"/>
  <c r="AQ92" i="43" s="1"/>
  <c r="H92" i="43"/>
  <c r="AP91" i="43"/>
  <c r="AQ91" i="43" s="1"/>
  <c r="H91" i="43"/>
  <c r="H90" i="43"/>
  <c r="AP89" i="43"/>
  <c r="AQ89" i="43" s="1"/>
  <c r="H89" i="43"/>
  <c r="AP88" i="43"/>
  <c r="AQ88" i="43" s="1"/>
  <c r="H88" i="43"/>
  <c r="H87" i="43"/>
  <c r="H86" i="43"/>
  <c r="AP85" i="43"/>
  <c r="AQ85" i="43" s="1"/>
  <c r="H85" i="43"/>
  <c r="AP84" i="43"/>
  <c r="AQ84" i="43" s="1"/>
  <c r="H84" i="43"/>
  <c r="H83" i="43"/>
  <c r="H82" i="43"/>
  <c r="AP81" i="43"/>
  <c r="AQ81" i="43" s="1"/>
  <c r="H81" i="43"/>
  <c r="H80" i="43"/>
  <c r="AP79" i="43"/>
  <c r="AQ79" i="43" s="1"/>
  <c r="H79" i="43"/>
  <c r="H78" i="43"/>
  <c r="AP77" i="43"/>
  <c r="AQ77" i="43" s="1"/>
  <c r="H77" i="43"/>
  <c r="AP76" i="43"/>
  <c r="AQ76" i="43" s="1"/>
  <c r="H76" i="43"/>
  <c r="H75" i="43"/>
  <c r="H74" i="43"/>
  <c r="AP73" i="43"/>
  <c r="AQ73" i="43" s="1"/>
  <c r="H73" i="43"/>
  <c r="H72" i="43"/>
  <c r="H71" i="43"/>
  <c r="H70" i="43"/>
  <c r="AP69" i="43"/>
  <c r="AQ69" i="43" s="1"/>
  <c r="H69" i="43"/>
  <c r="H68" i="43"/>
  <c r="H67" i="43"/>
  <c r="H66" i="43"/>
  <c r="AP65" i="43"/>
  <c r="AQ65" i="43" s="1"/>
  <c r="H65" i="43"/>
  <c r="H64" i="43"/>
  <c r="H63" i="43"/>
  <c r="H62" i="43"/>
  <c r="AP61" i="43"/>
  <c r="AQ61" i="43" s="1"/>
  <c r="H61" i="43"/>
  <c r="H60" i="43"/>
  <c r="H59" i="43"/>
  <c r="H58" i="43"/>
  <c r="AP57" i="43"/>
  <c r="AQ57" i="43" s="1"/>
  <c r="H57" i="43"/>
  <c r="H56" i="43"/>
  <c r="H55" i="43"/>
  <c r="H54" i="43"/>
  <c r="AP53" i="43"/>
  <c r="AQ53" i="43" s="1"/>
  <c r="H53" i="43"/>
  <c r="AP52" i="43"/>
  <c r="AQ52" i="43" s="1"/>
  <c r="H52" i="43"/>
  <c r="H51" i="43"/>
  <c r="H50" i="43"/>
  <c r="AP49" i="43"/>
  <c r="AQ49" i="43" s="1"/>
  <c r="H49" i="43"/>
  <c r="AP48" i="43"/>
  <c r="AQ48" i="43" s="1"/>
  <c r="H48" i="43"/>
  <c r="H47" i="43"/>
  <c r="H46" i="43"/>
  <c r="AP45" i="43"/>
  <c r="AQ45" i="43" s="1"/>
  <c r="H45" i="43"/>
  <c r="H44" i="43"/>
  <c r="H43" i="43"/>
  <c r="H42" i="43"/>
  <c r="AP41" i="43"/>
  <c r="AQ41" i="43" s="1"/>
  <c r="H41" i="43"/>
  <c r="H40" i="43"/>
  <c r="H39" i="43"/>
  <c r="H38" i="43"/>
  <c r="AP37" i="43"/>
  <c r="AQ37" i="43" s="1"/>
  <c r="H37" i="43"/>
  <c r="H36" i="43"/>
  <c r="H35" i="43"/>
  <c r="H34" i="43"/>
  <c r="AP33" i="43"/>
  <c r="AQ33" i="43" s="1"/>
  <c r="H33" i="43"/>
  <c r="H32" i="43"/>
  <c r="H31" i="43"/>
  <c r="H30" i="43"/>
  <c r="AP29" i="43"/>
  <c r="AQ29" i="43" s="1"/>
  <c r="H29" i="43"/>
  <c r="H28" i="43"/>
  <c r="H27" i="43"/>
  <c r="H26" i="43"/>
  <c r="AP25" i="43"/>
  <c r="AQ25" i="43" s="1"/>
  <c r="H25" i="43"/>
  <c r="H24" i="43"/>
  <c r="H23" i="43"/>
  <c r="H22" i="43"/>
  <c r="AP21" i="43"/>
  <c r="AQ21" i="43" s="1"/>
  <c r="H21" i="43"/>
  <c r="H20" i="43"/>
  <c r="H19" i="43"/>
  <c r="H18" i="43"/>
  <c r="AP17" i="43"/>
  <c r="AQ17" i="43" s="1"/>
  <c r="H17" i="43"/>
  <c r="H16" i="43"/>
  <c r="H15" i="43"/>
  <c r="H13" i="43"/>
  <c r="H12" i="43"/>
  <c r="H11" i="43"/>
  <c r="H10" i="43"/>
  <c r="H9" i="43"/>
  <c r="H8" i="43"/>
  <c r="H7" i="43"/>
  <c r="AP6" i="43"/>
  <c r="AQ6" i="43" s="1"/>
  <c r="H6" i="43"/>
  <c r="AP5" i="43"/>
  <c r="H5" i="43"/>
  <c r="H4" i="43"/>
  <c r="H3" i="43"/>
  <c r="H141" i="41"/>
  <c r="H142" i="41"/>
  <c r="H143" i="41"/>
  <c r="H144" i="41"/>
  <c r="H145" i="41"/>
  <c r="H146" i="41"/>
  <c r="H147" i="41"/>
  <c r="H148" i="41"/>
  <c r="H149" i="41"/>
  <c r="H150" i="41"/>
  <c r="H151" i="41"/>
  <c r="H152" i="41"/>
  <c r="H153" i="41"/>
  <c r="H154" i="41"/>
  <c r="H155" i="41"/>
  <c r="H156" i="41"/>
  <c r="H157" i="41"/>
  <c r="H158" i="41"/>
  <c r="H159" i="41"/>
  <c r="H160" i="41"/>
  <c r="H161" i="41"/>
  <c r="H162" i="41"/>
  <c r="H163" i="41"/>
  <c r="H164" i="41"/>
  <c r="H165" i="41"/>
  <c r="H166" i="41"/>
  <c r="H167" i="41"/>
  <c r="H168" i="41"/>
  <c r="H169" i="41"/>
  <c r="H170" i="41"/>
  <c r="H171" i="41"/>
  <c r="H172" i="41"/>
  <c r="H173" i="41"/>
  <c r="H174" i="41"/>
  <c r="H175" i="41"/>
  <c r="H176" i="41"/>
  <c r="H177" i="41"/>
  <c r="H178" i="41"/>
  <c r="H179" i="41"/>
  <c r="H180" i="41"/>
  <c r="H181" i="41"/>
  <c r="H182" i="41"/>
  <c r="H183" i="41"/>
  <c r="H184" i="41"/>
  <c r="H185" i="41"/>
  <c r="H186" i="41"/>
  <c r="H187" i="41"/>
  <c r="H188" i="41"/>
  <c r="H189" i="41"/>
  <c r="H190" i="41"/>
  <c r="H191" i="41"/>
  <c r="H192" i="41"/>
  <c r="H193" i="41"/>
  <c r="H194" i="41"/>
  <c r="H195" i="41"/>
  <c r="H196" i="41"/>
  <c r="H197" i="41"/>
  <c r="H198" i="41"/>
  <c r="H199" i="41"/>
  <c r="H200" i="41"/>
  <c r="H201" i="41"/>
  <c r="H202" i="41"/>
  <c r="H203" i="41"/>
  <c r="H204" i="41"/>
  <c r="H205" i="41"/>
  <c r="H206" i="41"/>
  <c r="H207" i="41"/>
  <c r="H208" i="41"/>
  <c r="H209" i="41"/>
  <c r="H210" i="41"/>
  <c r="H211" i="41"/>
  <c r="H212" i="41"/>
  <c r="H213" i="41"/>
  <c r="H214" i="41"/>
  <c r="H215" i="41"/>
  <c r="H216" i="41"/>
  <c r="H217" i="41"/>
  <c r="H218" i="41"/>
  <c r="H219" i="41"/>
  <c r="H220" i="41"/>
  <c r="H221" i="41"/>
  <c r="H222" i="41"/>
  <c r="H223" i="41"/>
  <c r="H224" i="41"/>
  <c r="H225" i="41"/>
  <c r="H226" i="41"/>
  <c r="H227" i="41"/>
  <c r="H228" i="41"/>
  <c r="H229" i="41"/>
  <c r="H230" i="41"/>
  <c r="H231" i="41"/>
  <c r="H232" i="41"/>
  <c r="H233" i="41"/>
  <c r="H234" i="41"/>
  <c r="H235" i="41"/>
  <c r="H236" i="41"/>
  <c r="H237" i="41"/>
  <c r="H238" i="41"/>
  <c r="H239" i="41"/>
  <c r="H240" i="41"/>
  <c r="H241" i="41"/>
  <c r="H242" i="41"/>
  <c r="H243" i="41"/>
  <c r="H244" i="41"/>
  <c r="H245" i="41"/>
  <c r="H246" i="41"/>
  <c r="H247" i="41"/>
  <c r="H248" i="41"/>
  <c r="H249" i="41"/>
  <c r="H250" i="41"/>
  <c r="H251" i="41"/>
  <c r="H252" i="41"/>
  <c r="H253" i="41"/>
  <c r="H254" i="41"/>
  <c r="H255" i="41"/>
  <c r="H256" i="41"/>
  <c r="H257" i="41"/>
  <c r="H258" i="41"/>
  <c r="H259" i="41"/>
  <c r="H260" i="41"/>
  <c r="H261" i="41"/>
  <c r="H262" i="41"/>
  <c r="H263" i="41"/>
  <c r="H264" i="41"/>
  <c r="H265" i="41"/>
  <c r="H266" i="41"/>
  <c r="H267" i="41"/>
  <c r="H268" i="41"/>
  <c r="H269" i="41"/>
  <c r="H270" i="41"/>
  <c r="H271" i="41"/>
  <c r="H272" i="41"/>
  <c r="H273" i="41"/>
  <c r="H274" i="41"/>
  <c r="H275" i="41"/>
  <c r="H276" i="41"/>
  <c r="H277" i="41"/>
  <c r="H278" i="41"/>
  <c r="H279" i="41"/>
  <c r="H280" i="41"/>
  <c r="H281" i="41"/>
  <c r="H282" i="41"/>
  <c r="H283" i="41"/>
  <c r="H284" i="41"/>
  <c r="H285" i="41"/>
  <c r="H286" i="41"/>
  <c r="H287" i="41"/>
  <c r="H288" i="41"/>
  <c r="H289" i="41"/>
  <c r="H290" i="41"/>
  <c r="H291" i="41"/>
  <c r="H292" i="41"/>
  <c r="H293" i="41"/>
  <c r="H294" i="41"/>
  <c r="H295" i="41"/>
  <c r="H296" i="41"/>
  <c r="H297" i="41"/>
  <c r="H298" i="41"/>
  <c r="H299" i="41"/>
  <c r="H300" i="41"/>
  <c r="K102" i="29"/>
  <c r="K103" i="29"/>
  <c r="K104" i="29"/>
  <c r="K105" i="29"/>
  <c r="K106" i="29"/>
  <c r="K107" i="29"/>
  <c r="K101" i="29"/>
  <c r="K92" i="29"/>
  <c r="K93" i="29"/>
  <c r="K94" i="29"/>
  <c r="K95" i="29"/>
  <c r="K96" i="29"/>
  <c r="K97" i="29"/>
  <c r="K91" i="29"/>
  <c r="K83" i="29"/>
  <c r="K84" i="29"/>
  <c r="K85" i="29"/>
  <c r="K86" i="29"/>
  <c r="K87" i="29"/>
  <c r="K82" i="29"/>
  <c r="K69" i="29"/>
  <c r="K70" i="29"/>
  <c r="K71" i="29"/>
  <c r="K72" i="29"/>
  <c r="K73" i="29"/>
  <c r="K74" i="29"/>
  <c r="K75" i="29"/>
  <c r="K76" i="29"/>
  <c r="K77" i="29"/>
  <c r="K78" i="29"/>
  <c r="K68" i="29"/>
  <c r="K59" i="29"/>
  <c r="K60" i="29"/>
  <c r="K61" i="29"/>
  <c r="K62" i="29"/>
  <c r="K63" i="29"/>
  <c r="K64" i="29"/>
  <c r="K58" i="29"/>
  <c r="K50" i="29"/>
  <c r="K51" i="29"/>
  <c r="K52" i="29"/>
  <c r="K53" i="29"/>
  <c r="K54" i="29"/>
  <c r="K49" i="29"/>
  <c r="K40" i="29"/>
  <c r="K41" i="29"/>
  <c r="K42" i="29"/>
  <c r="K43" i="29"/>
  <c r="K44" i="29"/>
  <c r="K45" i="29"/>
  <c r="K39" i="29"/>
  <c r="K28" i="29"/>
  <c r="E102" i="29"/>
  <c r="E103" i="29"/>
  <c r="E104" i="29"/>
  <c r="E105" i="29"/>
  <c r="E106" i="29"/>
  <c r="E107" i="29"/>
  <c r="E101" i="29"/>
  <c r="E92" i="29"/>
  <c r="E93" i="29"/>
  <c r="E94" i="29"/>
  <c r="E95" i="29"/>
  <c r="E96" i="29"/>
  <c r="E97" i="29"/>
  <c r="E83" i="29"/>
  <c r="E84" i="29"/>
  <c r="E85" i="29"/>
  <c r="E86" i="29"/>
  <c r="E87" i="29"/>
  <c r="E82" i="29"/>
  <c r="E69" i="29"/>
  <c r="E70" i="29"/>
  <c r="E71" i="29"/>
  <c r="E72" i="29"/>
  <c r="E73" i="29"/>
  <c r="E74" i="29"/>
  <c r="E75" i="29"/>
  <c r="E76" i="29"/>
  <c r="E77" i="29"/>
  <c r="E78" i="29"/>
  <c r="E68" i="29"/>
  <c r="E59" i="29"/>
  <c r="E60" i="29"/>
  <c r="E61" i="29"/>
  <c r="E62" i="29"/>
  <c r="E63" i="29"/>
  <c r="E64" i="29"/>
  <c r="E58" i="29"/>
  <c r="E50" i="29"/>
  <c r="E51" i="29"/>
  <c r="E52" i="29"/>
  <c r="E53" i="29"/>
  <c r="E54" i="29"/>
  <c r="E49" i="29"/>
  <c r="E40" i="29"/>
  <c r="E41" i="29"/>
  <c r="E42" i="29"/>
  <c r="E43" i="29"/>
  <c r="E44" i="29"/>
  <c r="E45" i="29"/>
  <c r="E39" i="29"/>
  <c r="K29" i="29"/>
  <c r="K30" i="29"/>
  <c r="K31" i="29"/>
  <c r="K32" i="29"/>
  <c r="K33" i="29"/>
  <c r="K34" i="29"/>
  <c r="K35" i="29"/>
  <c r="E29" i="29"/>
  <c r="E30" i="29"/>
  <c r="E31" i="29"/>
  <c r="E32" i="29"/>
  <c r="E33" i="29"/>
  <c r="E34" i="29"/>
  <c r="E35" i="29"/>
  <c r="E28" i="29"/>
  <c r="K14" i="29"/>
  <c r="K15" i="29"/>
  <c r="K16" i="29"/>
  <c r="K17" i="29"/>
  <c r="K18" i="29"/>
  <c r="K19" i="29"/>
  <c r="K20" i="29"/>
  <c r="K21" i="29"/>
  <c r="K22" i="29"/>
  <c r="K23" i="29"/>
  <c r="K24" i="29"/>
  <c r="K13" i="29"/>
  <c r="E14" i="29"/>
  <c r="E15" i="29"/>
  <c r="E16" i="29"/>
  <c r="E17" i="29"/>
  <c r="E18" i="29"/>
  <c r="E19" i="29"/>
  <c r="E20" i="29"/>
  <c r="E21" i="29"/>
  <c r="E22" i="29"/>
  <c r="E23" i="29"/>
  <c r="E24" i="29"/>
  <c r="E13" i="29"/>
  <c r="E108" i="24" l="1"/>
  <c r="K55" i="32"/>
  <c r="K108" i="30"/>
  <c r="K36" i="26"/>
  <c r="K46" i="26"/>
  <c r="E25" i="26"/>
  <c r="E55" i="26"/>
  <c r="E108" i="26"/>
  <c r="K108" i="24"/>
  <c r="K108" i="23"/>
  <c r="E108" i="21"/>
  <c r="K25" i="32"/>
  <c r="K36" i="32"/>
  <c r="K46" i="32"/>
  <c r="K108" i="32"/>
  <c r="E55" i="32"/>
  <c r="E108" i="32"/>
  <c r="E46" i="32"/>
  <c r="E36" i="32"/>
  <c r="E108" i="31"/>
  <c r="K98" i="31"/>
  <c r="K65" i="31"/>
  <c r="I3" i="54"/>
  <c r="J3" i="54" s="1"/>
  <c r="E88" i="26"/>
  <c r="E79" i="26"/>
  <c r="E65" i="26"/>
  <c r="E98" i="26"/>
  <c r="E36" i="26"/>
  <c r="K88" i="26"/>
  <c r="E46" i="26"/>
  <c r="K25" i="26"/>
  <c r="K79" i="26"/>
  <c r="K65" i="26"/>
  <c r="K98" i="26"/>
  <c r="K108" i="25"/>
  <c r="E108" i="25"/>
  <c r="K25" i="25"/>
  <c r="E25" i="25"/>
  <c r="E36" i="25"/>
  <c r="E46" i="25"/>
  <c r="E55" i="25"/>
  <c r="E88" i="25"/>
  <c r="E79" i="25"/>
  <c r="K36" i="25"/>
  <c r="K46" i="25"/>
  <c r="K55" i="25"/>
  <c r="K88" i="25"/>
  <c r="E65" i="25"/>
  <c r="E98" i="25"/>
  <c r="K79" i="25"/>
  <c r="K65" i="25"/>
  <c r="K98" i="25"/>
  <c r="E98" i="23"/>
  <c r="K88" i="23"/>
  <c r="K108" i="21"/>
  <c r="E36" i="21"/>
  <c r="E46" i="21"/>
  <c r="E55" i="21"/>
  <c r="E88" i="21"/>
  <c r="K25" i="21"/>
  <c r="K36" i="21"/>
  <c r="K46" i="21"/>
  <c r="K55" i="21"/>
  <c r="K88" i="21"/>
  <c r="E65" i="21"/>
  <c r="E98" i="21"/>
  <c r="E25" i="21"/>
  <c r="E79" i="21"/>
  <c r="K79" i="21"/>
  <c r="K65" i="21"/>
  <c r="K98" i="21"/>
  <c r="K79" i="32"/>
  <c r="K65" i="32"/>
  <c r="K98" i="32"/>
  <c r="E88" i="32"/>
  <c r="E25" i="32"/>
  <c r="E79" i="32"/>
  <c r="E65" i="32"/>
  <c r="E98" i="32"/>
  <c r="K88" i="32"/>
  <c r="E36" i="31"/>
  <c r="E46" i="31"/>
  <c r="E79" i="31"/>
  <c r="E88" i="31"/>
  <c r="E98" i="31"/>
  <c r="K25" i="31"/>
  <c r="K36" i="31"/>
  <c r="K46" i="31"/>
  <c r="K55" i="31"/>
  <c r="K88" i="31"/>
  <c r="K79" i="31"/>
  <c r="E25" i="31"/>
  <c r="E55" i="31"/>
  <c r="E65" i="31"/>
  <c r="K36" i="30"/>
  <c r="K46" i="30"/>
  <c r="K55" i="30"/>
  <c r="K25" i="30"/>
  <c r="K79" i="30"/>
  <c r="K65" i="30"/>
  <c r="K98" i="30"/>
  <c r="K46" i="28"/>
  <c r="E25" i="28"/>
  <c r="E65" i="28"/>
  <c r="E98" i="28"/>
  <c r="E108" i="28"/>
  <c r="K55" i="28"/>
  <c r="K25" i="28"/>
  <c r="K79" i="28"/>
  <c r="K65" i="28"/>
  <c r="K98" i="28"/>
  <c r="E36" i="28"/>
  <c r="E46" i="28"/>
  <c r="E55" i="28"/>
  <c r="E88" i="28"/>
  <c r="E79" i="28"/>
  <c r="AP18" i="54"/>
  <c r="AQ18" i="54" s="1"/>
  <c r="AP46" i="54"/>
  <c r="AQ46" i="54" s="1"/>
  <c r="AP10" i="54"/>
  <c r="AP30" i="54"/>
  <c r="AQ30" i="54" s="1"/>
  <c r="AP29" i="54"/>
  <c r="AQ29" i="54" s="1"/>
  <c r="AP45" i="54"/>
  <c r="AQ45" i="54" s="1"/>
  <c r="AP68" i="54"/>
  <c r="AQ68" i="54" s="1"/>
  <c r="AP100" i="54"/>
  <c r="AQ100" i="54" s="1"/>
  <c r="AP103" i="54"/>
  <c r="AQ103" i="54" s="1"/>
  <c r="AP116" i="54"/>
  <c r="AQ116" i="54" s="1"/>
  <c r="AP119" i="54"/>
  <c r="AQ119" i="54" s="1"/>
  <c r="AP57" i="54"/>
  <c r="AQ57" i="54" s="1"/>
  <c r="AP71" i="54"/>
  <c r="AQ71" i="54" s="1"/>
  <c r="AP89" i="54"/>
  <c r="AQ89" i="54" s="1"/>
  <c r="AP60" i="54"/>
  <c r="AQ60" i="54" s="1"/>
  <c r="AP92" i="54"/>
  <c r="AQ92" i="54" s="1"/>
  <c r="AP37" i="54"/>
  <c r="AQ37" i="54" s="1"/>
  <c r="AP124" i="54"/>
  <c r="AQ124" i="54" s="1"/>
  <c r="AP127" i="54"/>
  <c r="AQ127" i="54" s="1"/>
  <c r="I207" i="54"/>
  <c r="J207" i="54" s="1"/>
  <c r="I227" i="54"/>
  <c r="J227" i="54" s="1"/>
  <c r="I256" i="54"/>
  <c r="J256" i="54" s="1"/>
  <c r="AP55" i="54"/>
  <c r="AQ55" i="54" s="1"/>
  <c r="I61" i="54"/>
  <c r="J61" i="54" s="1"/>
  <c r="AP73" i="54"/>
  <c r="AQ73" i="54" s="1"/>
  <c r="AP87" i="54"/>
  <c r="AQ87" i="54" s="1"/>
  <c r="I187" i="54"/>
  <c r="J187" i="54" s="1"/>
  <c r="I280" i="54"/>
  <c r="J280" i="54" s="1"/>
  <c r="I75" i="54"/>
  <c r="J75" i="54" s="1"/>
  <c r="AP76" i="54"/>
  <c r="AQ76" i="54" s="1"/>
  <c r="I175" i="54"/>
  <c r="J175" i="54" s="1"/>
  <c r="I184" i="54"/>
  <c r="J184" i="54" s="1"/>
  <c r="I245" i="54"/>
  <c r="J245" i="54" s="1"/>
  <c r="I263" i="54"/>
  <c r="J263" i="54" s="1"/>
  <c r="I281" i="54"/>
  <c r="J281" i="54" s="1"/>
  <c r="I141" i="54"/>
  <c r="J141" i="54" s="1"/>
  <c r="I161" i="54"/>
  <c r="J161" i="54" s="1"/>
  <c r="I182" i="54"/>
  <c r="J182" i="54" s="1"/>
  <c r="I225" i="54"/>
  <c r="J225" i="54" s="1"/>
  <c r="I246" i="54"/>
  <c r="J246" i="54" s="1"/>
  <c r="I247" i="54"/>
  <c r="J247" i="54" s="1"/>
  <c r="I243" i="54"/>
  <c r="J243" i="54" s="1"/>
  <c r="I262" i="54"/>
  <c r="J262" i="54" s="1"/>
  <c r="I270" i="54"/>
  <c r="J270" i="54" s="1"/>
  <c r="I145" i="54"/>
  <c r="J145" i="54" s="1"/>
  <c r="I177" i="54"/>
  <c r="J177" i="54" s="1"/>
  <c r="I198" i="54"/>
  <c r="J198" i="54" s="1"/>
  <c r="I209" i="54"/>
  <c r="J209" i="54" s="1"/>
  <c r="I230" i="54"/>
  <c r="J230" i="54" s="1"/>
  <c r="I241" i="54"/>
  <c r="J241" i="54" s="1"/>
  <c r="I153" i="54"/>
  <c r="J153" i="54" s="1"/>
  <c r="I185" i="54"/>
  <c r="J185" i="54" s="1"/>
  <c r="I206" i="54"/>
  <c r="J206" i="54" s="1"/>
  <c r="I217" i="54"/>
  <c r="J217" i="54" s="1"/>
  <c r="I238" i="54"/>
  <c r="J238" i="54" s="1"/>
  <c r="I249" i="54"/>
  <c r="J249" i="54" s="1"/>
  <c r="E25" i="27"/>
  <c r="E108" i="27"/>
  <c r="K25" i="27"/>
  <c r="E65" i="27"/>
  <c r="E98" i="27"/>
  <c r="E79" i="27"/>
  <c r="K98" i="27"/>
  <c r="K79" i="27"/>
  <c r="K65" i="27"/>
  <c r="E36" i="27"/>
  <c r="E46" i="27"/>
  <c r="E55" i="27"/>
  <c r="E88" i="27"/>
  <c r="AP130" i="52"/>
  <c r="AQ130" i="52" s="1"/>
  <c r="AP124" i="52"/>
  <c r="AQ124" i="52" s="1"/>
  <c r="I3" i="52"/>
  <c r="J3" i="52" s="1"/>
  <c r="I7" i="52"/>
  <c r="J7" i="52" s="1"/>
  <c r="I5" i="52"/>
  <c r="J5" i="52" s="1"/>
  <c r="AQ9" i="52"/>
  <c r="I6" i="52"/>
  <c r="J6" i="52" s="1"/>
  <c r="I8" i="52"/>
  <c r="J8" i="52" s="1"/>
  <c r="AQ7" i="52"/>
  <c r="I4" i="52"/>
  <c r="J4" i="52" s="1"/>
  <c r="AP74" i="52"/>
  <c r="AQ74" i="52" s="1"/>
  <c r="AP79" i="52"/>
  <c r="AQ79" i="52" s="1"/>
  <c r="AP128" i="52"/>
  <c r="AQ128" i="52" s="1"/>
  <c r="AP56" i="52"/>
  <c r="AQ56" i="52" s="1"/>
  <c r="AP72" i="52"/>
  <c r="AQ72" i="52" s="1"/>
  <c r="AP88" i="52"/>
  <c r="AQ88" i="52" s="1"/>
  <c r="AP104" i="52"/>
  <c r="AQ104" i="52" s="1"/>
  <c r="I283" i="52"/>
  <c r="J283" i="52" s="1"/>
  <c r="I268" i="52"/>
  <c r="J268" i="52" s="1"/>
  <c r="I284" i="52"/>
  <c r="J284" i="52" s="1"/>
  <c r="AP55" i="52"/>
  <c r="AQ55" i="52" s="1"/>
  <c r="AP71" i="52"/>
  <c r="AQ71" i="52" s="1"/>
  <c r="AP87" i="52"/>
  <c r="AQ87" i="52" s="1"/>
  <c r="AP103" i="52"/>
  <c r="AQ103" i="52" s="1"/>
  <c r="I207" i="52"/>
  <c r="J207" i="52" s="1"/>
  <c r="I223" i="52"/>
  <c r="J223" i="52" s="1"/>
  <c r="I4" i="51"/>
  <c r="J4" i="51" s="1"/>
  <c r="I5" i="51"/>
  <c r="J5" i="51" s="1"/>
  <c r="AQ5" i="51"/>
  <c r="AP116" i="51"/>
  <c r="AQ116" i="51" s="1"/>
  <c r="AP57" i="51"/>
  <c r="AQ57" i="51" s="1"/>
  <c r="AP92" i="51"/>
  <c r="AQ92" i="51" s="1"/>
  <c r="AP124" i="51"/>
  <c r="AQ124" i="51" s="1"/>
  <c r="AQ4" i="51"/>
  <c r="I3" i="51" s="1"/>
  <c r="J3" i="51" s="1"/>
  <c r="AP68" i="51"/>
  <c r="AQ68" i="51" s="1"/>
  <c r="AP100" i="51"/>
  <c r="AQ100" i="51" s="1"/>
  <c r="AP132" i="51"/>
  <c r="AQ132" i="51" s="1"/>
  <c r="I6" i="51"/>
  <c r="J6" i="51" s="1"/>
  <c r="AP36" i="51"/>
  <c r="AQ36" i="51" s="1"/>
  <c r="I191" i="51"/>
  <c r="J191" i="51" s="1"/>
  <c r="AP64" i="51"/>
  <c r="AQ64" i="51" s="1"/>
  <c r="AP72" i="51"/>
  <c r="AQ72" i="51" s="1"/>
  <c r="AP80" i="51"/>
  <c r="AQ80" i="51" s="1"/>
  <c r="AP88" i="51"/>
  <c r="AQ88" i="51" s="1"/>
  <c r="AP96" i="51"/>
  <c r="AQ96" i="51" s="1"/>
  <c r="AP104" i="51"/>
  <c r="AQ104" i="51" s="1"/>
  <c r="AP112" i="51"/>
  <c r="AQ112" i="51" s="1"/>
  <c r="AP120" i="51"/>
  <c r="AQ120" i="51" s="1"/>
  <c r="AP128" i="51"/>
  <c r="AQ128" i="51" s="1"/>
  <c r="AP136" i="51"/>
  <c r="AQ136" i="51" s="1"/>
  <c r="I285" i="51"/>
  <c r="J285" i="51" s="1"/>
  <c r="I228" i="51"/>
  <c r="J228" i="51" s="1"/>
  <c r="I292" i="51"/>
  <c r="J292" i="51" s="1"/>
  <c r="AP118" i="50"/>
  <c r="AQ118" i="50" s="1"/>
  <c r="I6" i="50"/>
  <c r="J6" i="50" s="1"/>
  <c r="I4" i="50"/>
  <c r="J4" i="50" s="1"/>
  <c r="AQ4" i="50"/>
  <c r="I3" i="50"/>
  <c r="J3" i="50" s="1"/>
  <c r="I7" i="50"/>
  <c r="J7" i="50" s="1"/>
  <c r="I5" i="50"/>
  <c r="J5" i="50" s="1"/>
  <c r="AP138" i="50"/>
  <c r="AQ138" i="50" s="1"/>
  <c r="AP63" i="50"/>
  <c r="AQ63" i="50" s="1"/>
  <c r="AP79" i="50"/>
  <c r="AQ79" i="50" s="1"/>
  <c r="AP99" i="50"/>
  <c r="AQ99" i="50" s="1"/>
  <c r="AP122" i="50"/>
  <c r="AQ122" i="50" s="1"/>
  <c r="AP50" i="50"/>
  <c r="AQ50" i="50" s="1"/>
  <c r="AP120" i="50"/>
  <c r="AQ120" i="50" s="1"/>
  <c r="AP88" i="50"/>
  <c r="AQ88" i="50" s="1"/>
  <c r="AP104" i="50"/>
  <c r="AQ104" i="50" s="1"/>
  <c r="AP136" i="50"/>
  <c r="AQ136" i="50" s="1"/>
  <c r="I264" i="50"/>
  <c r="J264" i="50" s="1"/>
  <c r="I239" i="50"/>
  <c r="J239" i="50" s="1"/>
  <c r="AP128" i="50"/>
  <c r="AQ128" i="50" s="1"/>
  <c r="I164" i="50"/>
  <c r="J164" i="50" s="1"/>
  <c r="I261" i="50"/>
  <c r="J261" i="50" s="1"/>
  <c r="I281" i="50"/>
  <c r="J281" i="50" s="1"/>
  <c r="AP55" i="50"/>
  <c r="AQ55" i="50" s="1"/>
  <c r="AP71" i="50"/>
  <c r="AQ71" i="50" s="1"/>
  <c r="AP87" i="50"/>
  <c r="AQ87" i="50" s="1"/>
  <c r="I292" i="50"/>
  <c r="J292" i="50" s="1"/>
  <c r="K25" i="24"/>
  <c r="K36" i="24"/>
  <c r="K46" i="24"/>
  <c r="K88" i="24"/>
  <c r="E98" i="24"/>
  <c r="K55" i="24"/>
  <c r="E25" i="24"/>
  <c r="E65" i="24"/>
  <c r="K79" i="24"/>
  <c r="K65" i="24"/>
  <c r="K98" i="24"/>
  <c r="E36" i="24"/>
  <c r="E46" i="24"/>
  <c r="E55" i="24"/>
  <c r="E88" i="24"/>
  <c r="E79" i="24"/>
  <c r="AQ4" i="49"/>
  <c r="I3" i="49"/>
  <c r="J3" i="49" s="1"/>
  <c r="AP32" i="49"/>
  <c r="AQ32" i="49" s="1"/>
  <c r="AP7" i="49"/>
  <c r="AQ7" i="49" s="1"/>
  <c r="AP36" i="49"/>
  <c r="AQ36" i="49" s="1"/>
  <c r="AP23" i="49"/>
  <c r="AQ23" i="49" s="1"/>
  <c r="AP44" i="49"/>
  <c r="AQ44" i="49" s="1"/>
  <c r="AP15" i="49"/>
  <c r="AQ15" i="49" s="1"/>
  <c r="AP106" i="49"/>
  <c r="AQ106" i="49" s="1"/>
  <c r="AP114" i="49"/>
  <c r="AQ114" i="49" s="1"/>
  <c r="AP74" i="49"/>
  <c r="AQ74" i="49" s="1"/>
  <c r="I94" i="49"/>
  <c r="J94" i="49" s="1"/>
  <c r="AP58" i="49"/>
  <c r="AQ58" i="49" s="1"/>
  <c r="AP121" i="49"/>
  <c r="AQ121" i="49" s="1"/>
  <c r="AP129" i="49"/>
  <c r="AQ129" i="49" s="1"/>
  <c r="AP137" i="49"/>
  <c r="AQ137" i="49" s="1"/>
  <c r="I241" i="49"/>
  <c r="J241" i="49" s="1"/>
  <c r="I76" i="49"/>
  <c r="J76" i="49" s="1"/>
  <c r="I92" i="49"/>
  <c r="J92" i="49" s="1"/>
  <c r="I108" i="49"/>
  <c r="J108" i="49" s="1"/>
  <c r="I175" i="49"/>
  <c r="J175" i="49" s="1"/>
  <c r="I207" i="49"/>
  <c r="J207" i="49" s="1"/>
  <c r="I271" i="49"/>
  <c r="J271" i="49" s="1"/>
  <c r="I285" i="49"/>
  <c r="J285" i="49" s="1"/>
  <c r="I289" i="49"/>
  <c r="J289" i="49" s="1"/>
  <c r="I297" i="49"/>
  <c r="J297" i="49" s="1"/>
  <c r="I116" i="49"/>
  <c r="J116" i="49" s="1"/>
  <c r="I124" i="49"/>
  <c r="J124" i="49" s="1"/>
  <c r="I148" i="49"/>
  <c r="J148" i="49" s="1"/>
  <c r="I156" i="49"/>
  <c r="J156" i="49" s="1"/>
  <c r="I164" i="49"/>
  <c r="J164" i="49" s="1"/>
  <c r="I172" i="49"/>
  <c r="J172" i="49" s="1"/>
  <c r="I180" i="49"/>
  <c r="J180" i="49" s="1"/>
  <c r="I188" i="49"/>
  <c r="J188" i="49" s="1"/>
  <c r="I212" i="49"/>
  <c r="J212" i="49" s="1"/>
  <c r="I220" i="49"/>
  <c r="J220" i="49" s="1"/>
  <c r="I228" i="49"/>
  <c r="J228" i="49" s="1"/>
  <c r="I236" i="49"/>
  <c r="J236" i="49" s="1"/>
  <c r="I244" i="49"/>
  <c r="J244" i="49" s="1"/>
  <c r="I252" i="49"/>
  <c r="J252" i="49" s="1"/>
  <c r="I268" i="49"/>
  <c r="J268" i="49" s="1"/>
  <c r="I276" i="49"/>
  <c r="J276" i="49" s="1"/>
  <c r="I284" i="49"/>
  <c r="J284" i="49" s="1"/>
  <c r="I292" i="49"/>
  <c r="J292" i="49" s="1"/>
  <c r="I300" i="49"/>
  <c r="J300" i="49" s="1"/>
  <c r="K25" i="22"/>
  <c r="K108" i="22"/>
  <c r="E25" i="22"/>
  <c r="E65" i="22"/>
  <c r="E98" i="22"/>
  <c r="E108" i="22"/>
  <c r="K65" i="22"/>
  <c r="E36" i="22"/>
  <c r="E46" i="22"/>
  <c r="E55" i="22"/>
  <c r="E88" i="22"/>
  <c r="K36" i="22"/>
  <c r="K55" i="22"/>
  <c r="K79" i="22"/>
  <c r="K88" i="22"/>
  <c r="K98" i="22"/>
  <c r="L98" i="22" s="1"/>
  <c r="K46" i="22"/>
  <c r="E79" i="22"/>
  <c r="E25" i="23"/>
  <c r="E36" i="23"/>
  <c r="E46" i="23"/>
  <c r="E55" i="23"/>
  <c r="E88" i="23"/>
  <c r="K25" i="23"/>
  <c r="K36" i="23"/>
  <c r="K46" i="23"/>
  <c r="E108" i="23"/>
  <c r="E79" i="23"/>
  <c r="K65" i="23"/>
  <c r="K98" i="23"/>
  <c r="K55" i="23"/>
  <c r="E65" i="23"/>
  <c r="K79" i="23"/>
  <c r="AP136" i="48"/>
  <c r="AQ136" i="48" s="1"/>
  <c r="AQ4" i="48"/>
  <c r="I3" i="48"/>
  <c r="J3" i="48" s="1"/>
  <c r="AP71" i="48"/>
  <c r="AQ71" i="48" s="1"/>
  <c r="AP112" i="48"/>
  <c r="AQ112" i="48" s="1"/>
  <c r="I4" i="48"/>
  <c r="J4" i="48" s="1"/>
  <c r="AP36" i="48"/>
  <c r="AQ36" i="48" s="1"/>
  <c r="AP96" i="48"/>
  <c r="AQ96" i="48" s="1"/>
  <c r="AP55" i="48"/>
  <c r="AQ55" i="48" s="1"/>
  <c r="AP45" i="48"/>
  <c r="AQ45" i="48" s="1"/>
  <c r="AP26" i="48"/>
  <c r="AQ26" i="48" s="1"/>
  <c r="AP34" i="48"/>
  <c r="AQ34" i="48" s="1"/>
  <c r="AP44" i="48"/>
  <c r="AQ44" i="48" s="1"/>
  <c r="AP135" i="48"/>
  <c r="AQ135" i="48" s="1"/>
  <c r="AP138" i="48"/>
  <c r="AQ138" i="48" s="1"/>
  <c r="AP57" i="48"/>
  <c r="AQ57" i="48" s="1"/>
  <c r="AP73" i="48"/>
  <c r="AQ73" i="48" s="1"/>
  <c r="AP89" i="48"/>
  <c r="AQ89" i="48" s="1"/>
  <c r="AP105" i="48"/>
  <c r="AQ105" i="48" s="1"/>
  <c r="AP121" i="48"/>
  <c r="AQ121" i="48" s="1"/>
  <c r="AP127" i="48"/>
  <c r="AQ127" i="48" s="1"/>
  <c r="I185" i="48"/>
  <c r="J185" i="48" s="1"/>
  <c r="I208" i="48"/>
  <c r="J208" i="48" s="1"/>
  <c r="I256" i="48"/>
  <c r="J256" i="48" s="1"/>
  <c r="AP87" i="48"/>
  <c r="AQ87" i="48" s="1"/>
  <c r="AP103" i="48"/>
  <c r="AQ103" i="48" s="1"/>
  <c r="AP119" i="48"/>
  <c r="AQ119" i="48" s="1"/>
  <c r="AP129" i="48"/>
  <c r="AQ129" i="48" s="1"/>
  <c r="AP137" i="48"/>
  <c r="AQ137" i="48" s="1"/>
  <c r="I209" i="48"/>
  <c r="J209" i="48" s="1"/>
  <c r="I257" i="48"/>
  <c r="J257" i="48" s="1"/>
  <c r="I287" i="48"/>
  <c r="J287" i="48" s="1"/>
  <c r="I4" i="47"/>
  <c r="J4" i="47" s="1"/>
  <c r="AQ4" i="47"/>
  <c r="I3" i="47" s="1"/>
  <c r="J3" i="47" s="1"/>
  <c r="AP28" i="47"/>
  <c r="AQ28" i="47" s="1"/>
  <c r="AP44" i="47"/>
  <c r="AQ44" i="47" s="1"/>
  <c r="AP96" i="47"/>
  <c r="AQ96" i="47" s="1"/>
  <c r="AP138" i="47"/>
  <c r="AQ138" i="47" s="1"/>
  <c r="AP57" i="47"/>
  <c r="AQ57" i="47" s="1"/>
  <c r="AP88" i="47"/>
  <c r="AQ88" i="47" s="1"/>
  <c r="AP137" i="47"/>
  <c r="AQ137" i="47" s="1"/>
  <c r="I12" i="47"/>
  <c r="J12" i="47" s="1"/>
  <c r="I69" i="47"/>
  <c r="J69" i="47" s="1"/>
  <c r="AP104" i="47"/>
  <c r="AQ104" i="47" s="1"/>
  <c r="I133" i="47"/>
  <c r="J133" i="47" s="1"/>
  <c r="I171" i="47"/>
  <c r="J171" i="47" s="1"/>
  <c r="I193" i="47"/>
  <c r="J193" i="47" s="1"/>
  <c r="I297" i="47"/>
  <c r="J297" i="47" s="1"/>
  <c r="I145" i="47"/>
  <c r="J145" i="47" s="1"/>
  <c r="I209" i="47"/>
  <c r="J209" i="47" s="1"/>
  <c r="I241" i="47"/>
  <c r="J241" i="47" s="1"/>
  <c r="I273" i="47"/>
  <c r="J273" i="47" s="1"/>
  <c r="I167" i="47"/>
  <c r="J167" i="47" s="1"/>
  <c r="I295" i="47"/>
  <c r="J295" i="47" s="1"/>
  <c r="I249" i="47"/>
  <c r="J249" i="47" s="1"/>
  <c r="I281" i="47"/>
  <c r="J281" i="47" s="1"/>
  <c r="I131" i="47"/>
  <c r="J131" i="47" s="1"/>
  <c r="I175" i="47"/>
  <c r="J175" i="47" s="1"/>
  <c r="I239" i="47"/>
  <c r="J239" i="47" s="1"/>
  <c r="I253" i="47"/>
  <c r="J253" i="47" s="1"/>
  <c r="I267" i="47"/>
  <c r="J267" i="47" s="1"/>
  <c r="I271" i="47"/>
  <c r="J271" i="47" s="1"/>
  <c r="I299" i="47"/>
  <c r="J299" i="47" s="1"/>
  <c r="I257" i="47"/>
  <c r="J257" i="47" s="1"/>
  <c r="I296" i="47"/>
  <c r="J296" i="47" s="1"/>
  <c r="I247" i="47"/>
  <c r="J247" i="47" s="1"/>
  <c r="I279" i="47"/>
  <c r="J279" i="47" s="1"/>
  <c r="I148" i="47"/>
  <c r="J148" i="47" s="1"/>
  <c r="I156" i="47"/>
  <c r="J156" i="47" s="1"/>
  <c r="I164" i="47"/>
  <c r="J164" i="47" s="1"/>
  <c r="I180" i="47"/>
  <c r="J180" i="47" s="1"/>
  <c r="I188" i="47"/>
  <c r="J188" i="47" s="1"/>
  <c r="I196" i="47"/>
  <c r="J196" i="47" s="1"/>
  <c r="I212" i="47"/>
  <c r="J212" i="47" s="1"/>
  <c r="I220" i="47"/>
  <c r="J220" i="47" s="1"/>
  <c r="I228" i="47"/>
  <c r="J228" i="47" s="1"/>
  <c r="I236" i="47"/>
  <c r="J236" i="47" s="1"/>
  <c r="I244" i="47"/>
  <c r="J244" i="47" s="1"/>
  <c r="I252" i="47"/>
  <c r="J252" i="47" s="1"/>
  <c r="I260" i="47"/>
  <c r="J260" i="47" s="1"/>
  <c r="I276" i="47"/>
  <c r="J276" i="47" s="1"/>
  <c r="I284" i="47"/>
  <c r="J284" i="47" s="1"/>
  <c r="I292" i="47"/>
  <c r="J292" i="47" s="1"/>
  <c r="I300" i="47"/>
  <c r="J300" i="47" s="1"/>
  <c r="AQ4" i="46"/>
  <c r="I3" i="46"/>
  <c r="J3" i="46" s="1"/>
  <c r="I4" i="46"/>
  <c r="J4" i="46" s="1"/>
  <c r="AP16" i="46"/>
  <c r="AQ16" i="46" s="1"/>
  <c r="AP25" i="46"/>
  <c r="AQ25" i="46" s="1"/>
  <c r="AP33" i="46"/>
  <c r="AQ33" i="46" s="1"/>
  <c r="AP41" i="46"/>
  <c r="AQ41" i="46" s="1"/>
  <c r="AP49" i="46"/>
  <c r="AQ49" i="46" s="1"/>
  <c r="AP18" i="46"/>
  <c r="AQ18" i="46" s="1"/>
  <c r="AP65" i="46"/>
  <c r="AQ65" i="46" s="1"/>
  <c r="AP88" i="46"/>
  <c r="AQ88" i="46" s="1"/>
  <c r="AP100" i="46"/>
  <c r="AQ100" i="46" s="1"/>
  <c r="AP124" i="46"/>
  <c r="AQ124" i="46" s="1"/>
  <c r="AP24" i="46"/>
  <c r="AQ24" i="46" s="1"/>
  <c r="AP40" i="46"/>
  <c r="AQ40" i="46" s="1"/>
  <c r="AP128" i="46"/>
  <c r="AQ128" i="46" s="1"/>
  <c r="AP32" i="46"/>
  <c r="AQ32" i="46" s="1"/>
  <c r="AP48" i="46"/>
  <c r="AQ48" i="46" s="1"/>
  <c r="I280" i="46"/>
  <c r="J280" i="46" s="1"/>
  <c r="AP55" i="46"/>
  <c r="AQ55" i="46" s="1"/>
  <c r="AP71" i="46"/>
  <c r="AQ71" i="46" s="1"/>
  <c r="AP87" i="46"/>
  <c r="AQ87" i="46" s="1"/>
  <c r="AP103" i="46"/>
  <c r="AQ103" i="46" s="1"/>
  <c r="I223" i="46"/>
  <c r="J223" i="46" s="1"/>
  <c r="I188" i="46"/>
  <c r="J188" i="46" s="1"/>
  <c r="I204" i="46"/>
  <c r="J204" i="46" s="1"/>
  <c r="I220" i="46"/>
  <c r="J220" i="46" s="1"/>
  <c r="I252" i="46"/>
  <c r="J252" i="46" s="1"/>
  <c r="AQ4" i="45"/>
  <c r="AP19" i="45"/>
  <c r="AQ19" i="45" s="1"/>
  <c r="AP90" i="45"/>
  <c r="AQ90" i="45" s="1"/>
  <c r="I3" i="45"/>
  <c r="J3" i="45" s="1"/>
  <c r="I4" i="45"/>
  <c r="J4" i="45" s="1"/>
  <c r="I6" i="45"/>
  <c r="J6" i="45" s="1"/>
  <c r="AP64" i="45"/>
  <c r="AQ64" i="45" s="1"/>
  <c r="AP132" i="45"/>
  <c r="AQ132" i="45" s="1"/>
  <c r="AP38" i="45"/>
  <c r="AQ38" i="45" s="1"/>
  <c r="AP46" i="45"/>
  <c r="AQ46" i="45" s="1"/>
  <c r="AP100" i="45"/>
  <c r="AQ100" i="45" s="1"/>
  <c r="AP84" i="45"/>
  <c r="AQ84" i="45" s="1"/>
  <c r="I255" i="45"/>
  <c r="J255" i="45" s="1"/>
  <c r="I264" i="45"/>
  <c r="J264" i="45" s="1"/>
  <c r="AP80" i="45"/>
  <c r="AQ80" i="45" s="1"/>
  <c r="AP88" i="45"/>
  <c r="AQ88" i="45" s="1"/>
  <c r="AP96" i="45"/>
  <c r="AQ96" i="45" s="1"/>
  <c r="AP104" i="45"/>
  <c r="AQ104" i="45" s="1"/>
  <c r="AP112" i="45"/>
  <c r="AQ112" i="45" s="1"/>
  <c r="AP120" i="45"/>
  <c r="AQ120" i="45" s="1"/>
  <c r="AP128" i="45"/>
  <c r="AQ128" i="45" s="1"/>
  <c r="AP136" i="45"/>
  <c r="AQ136" i="45" s="1"/>
  <c r="I180" i="45"/>
  <c r="J180" i="45" s="1"/>
  <c r="AP63" i="45"/>
  <c r="AQ63" i="45" s="1"/>
  <c r="AQ4" i="44"/>
  <c r="AP16" i="44"/>
  <c r="I5" i="44" s="1"/>
  <c r="J5" i="44" s="1"/>
  <c r="AP32" i="44"/>
  <c r="AQ32" i="44" s="1"/>
  <c r="AP48" i="44"/>
  <c r="AQ48" i="44" s="1"/>
  <c r="AP74" i="44"/>
  <c r="AQ74" i="44" s="1"/>
  <c r="AP106" i="44"/>
  <c r="AQ106" i="44" s="1"/>
  <c r="AQ13" i="44"/>
  <c r="I3" i="44"/>
  <c r="J3" i="44" s="1"/>
  <c r="AP71" i="44"/>
  <c r="AQ71" i="44" s="1"/>
  <c r="AP90" i="44"/>
  <c r="AQ90" i="44" s="1"/>
  <c r="AP24" i="44"/>
  <c r="AQ24" i="44" s="1"/>
  <c r="AP40" i="44"/>
  <c r="AQ40" i="44" s="1"/>
  <c r="AP58" i="44"/>
  <c r="AQ58" i="44" s="1"/>
  <c r="I4" i="44"/>
  <c r="J4" i="44" s="1"/>
  <c r="I13" i="44"/>
  <c r="J13" i="44" s="1"/>
  <c r="AP55" i="44"/>
  <c r="AQ55" i="44" s="1"/>
  <c r="I141" i="44"/>
  <c r="J141" i="44" s="1"/>
  <c r="I263" i="44"/>
  <c r="J263" i="44" s="1"/>
  <c r="I279" i="44"/>
  <c r="J279" i="44" s="1"/>
  <c r="I287" i="44"/>
  <c r="J287" i="44" s="1"/>
  <c r="I136" i="44"/>
  <c r="J136" i="44" s="1"/>
  <c r="I296" i="44"/>
  <c r="J296" i="44" s="1"/>
  <c r="I100" i="44"/>
  <c r="J100" i="44" s="1"/>
  <c r="I144" i="44"/>
  <c r="J144" i="44" s="1"/>
  <c r="I148" i="44"/>
  <c r="J148" i="44" s="1"/>
  <c r="I152" i="44"/>
  <c r="J152" i="44" s="1"/>
  <c r="I156" i="44"/>
  <c r="J156" i="44" s="1"/>
  <c r="I160" i="44"/>
  <c r="J160" i="44" s="1"/>
  <c r="I164" i="44"/>
  <c r="J164" i="44" s="1"/>
  <c r="I172" i="44"/>
  <c r="J172" i="44" s="1"/>
  <c r="I176" i="44"/>
  <c r="J176" i="44" s="1"/>
  <c r="I180" i="44"/>
  <c r="J180" i="44" s="1"/>
  <c r="I184" i="44"/>
  <c r="J184" i="44" s="1"/>
  <c r="I188" i="44"/>
  <c r="J188" i="44" s="1"/>
  <c r="I192" i="44"/>
  <c r="J192" i="44" s="1"/>
  <c r="I196" i="44"/>
  <c r="J196" i="44" s="1"/>
  <c r="I200" i="44"/>
  <c r="J200" i="44" s="1"/>
  <c r="I204" i="44"/>
  <c r="J204" i="44" s="1"/>
  <c r="I208" i="44"/>
  <c r="J208" i="44" s="1"/>
  <c r="I212" i="44"/>
  <c r="J212" i="44" s="1"/>
  <c r="I216" i="44"/>
  <c r="J216" i="44" s="1"/>
  <c r="I220" i="44"/>
  <c r="J220" i="44" s="1"/>
  <c r="I224" i="44"/>
  <c r="J224" i="44" s="1"/>
  <c r="I228" i="44"/>
  <c r="J228" i="44" s="1"/>
  <c r="I232" i="44"/>
  <c r="J232" i="44" s="1"/>
  <c r="I236" i="44"/>
  <c r="J236" i="44" s="1"/>
  <c r="I240" i="44"/>
  <c r="J240" i="44" s="1"/>
  <c r="I244" i="44"/>
  <c r="J244" i="44" s="1"/>
  <c r="I248" i="44"/>
  <c r="J248" i="44" s="1"/>
  <c r="I252" i="44"/>
  <c r="J252" i="44" s="1"/>
  <c r="I256" i="44"/>
  <c r="J256" i="44" s="1"/>
  <c r="I260" i="44"/>
  <c r="J260" i="44" s="1"/>
  <c r="I264" i="44"/>
  <c r="J264" i="44" s="1"/>
  <c r="I268" i="44"/>
  <c r="J268" i="44" s="1"/>
  <c r="I272" i="44"/>
  <c r="J272" i="44" s="1"/>
  <c r="I276" i="44"/>
  <c r="J276" i="44" s="1"/>
  <c r="I280" i="44"/>
  <c r="J280" i="44" s="1"/>
  <c r="I284" i="44"/>
  <c r="J284" i="44" s="1"/>
  <c r="I288" i="44"/>
  <c r="J288" i="44" s="1"/>
  <c r="I292" i="44"/>
  <c r="J292" i="44" s="1"/>
  <c r="I115" i="44"/>
  <c r="J115" i="44" s="1"/>
  <c r="I75" i="44"/>
  <c r="J75" i="44" s="1"/>
  <c r="I91" i="44"/>
  <c r="J91" i="44" s="1"/>
  <c r="I107" i="44"/>
  <c r="J107" i="44" s="1"/>
  <c r="I295" i="44"/>
  <c r="J295" i="44" s="1"/>
  <c r="I299" i="44"/>
  <c r="J299" i="44" s="1"/>
  <c r="I300" i="44"/>
  <c r="J300" i="44" s="1"/>
  <c r="AP124" i="43"/>
  <c r="AQ124" i="43" s="1"/>
  <c r="E98" i="30"/>
  <c r="E25" i="30"/>
  <c r="E65" i="30"/>
  <c r="E88" i="30"/>
  <c r="E108" i="30"/>
  <c r="E36" i="30"/>
  <c r="E46" i="30"/>
  <c r="E55" i="30"/>
  <c r="E79" i="30"/>
  <c r="AP136" i="43"/>
  <c r="AQ136" i="43" s="1"/>
  <c r="AP10" i="43"/>
  <c r="AQ10" i="43" s="1"/>
  <c r="AQ5" i="43"/>
  <c r="AQ4" i="43"/>
  <c r="AP44" i="43"/>
  <c r="AQ44" i="43" s="1"/>
  <c r="AP46" i="43"/>
  <c r="AQ46" i="43" s="1"/>
  <c r="AP100" i="43"/>
  <c r="AQ100" i="43" s="1"/>
  <c r="AP116" i="43"/>
  <c r="AQ116" i="43" s="1"/>
  <c r="AP68" i="43"/>
  <c r="AQ68" i="43" s="1"/>
  <c r="AP121" i="43"/>
  <c r="AQ121" i="43" s="1"/>
  <c r="I187" i="43"/>
  <c r="J187" i="43" s="1"/>
  <c r="I278" i="43"/>
  <c r="J278" i="43" s="1"/>
  <c r="I175" i="43"/>
  <c r="J175" i="43" s="1"/>
  <c r="I294" i="43"/>
  <c r="J294" i="43" s="1"/>
  <c r="AP56" i="43"/>
  <c r="AQ56" i="43" s="1"/>
  <c r="AP64" i="43"/>
  <c r="AQ64" i="43" s="1"/>
  <c r="AP72" i="43"/>
  <c r="AQ72" i="43" s="1"/>
  <c r="AP80" i="43"/>
  <c r="AQ80" i="43" s="1"/>
  <c r="I169" i="43"/>
  <c r="J169" i="43" s="1"/>
  <c r="I191" i="43"/>
  <c r="J191" i="43" s="1"/>
  <c r="I227" i="43"/>
  <c r="J227" i="43" s="1"/>
  <c r="I235" i="43"/>
  <c r="J235" i="43" s="1"/>
  <c r="I275" i="43"/>
  <c r="J275" i="43" s="1"/>
  <c r="I291" i="43"/>
  <c r="J291" i="43" s="1"/>
  <c r="I299" i="43"/>
  <c r="J299" i="43" s="1"/>
  <c r="I177" i="43"/>
  <c r="J177" i="43" s="1"/>
  <c r="I217" i="43"/>
  <c r="J217" i="43" s="1"/>
  <c r="I225" i="43"/>
  <c r="J225" i="43" s="1"/>
  <c r="I233" i="43"/>
  <c r="J233" i="43" s="1"/>
  <c r="I241" i="43"/>
  <c r="J241" i="43" s="1"/>
  <c r="I257" i="43"/>
  <c r="J257" i="43" s="1"/>
  <c r="I265" i="43"/>
  <c r="J265" i="43" s="1"/>
  <c r="I273" i="43"/>
  <c r="J273" i="43" s="1"/>
  <c r="I281" i="43"/>
  <c r="J281" i="43" s="1"/>
  <c r="I289" i="43"/>
  <c r="J289" i="43" s="1"/>
  <c r="I297" i="43"/>
  <c r="J297" i="43" s="1"/>
  <c r="I92" i="43"/>
  <c r="J92" i="43" s="1"/>
  <c r="I100" i="43"/>
  <c r="J100" i="43" s="1"/>
  <c r="I108" i="43"/>
  <c r="J108" i="43" s="1"/>
  <c r="I116" i="43"/>
  <c r="J116" i="43" s="1"/>
  <c r="I124" i="43"/>
  <c r="J124" i="43" s="1"/>
  <c r="I132" i="43"/>
  <c r="J132" i="43" s="1"/>
  <c r="I140" i="43"/>
  <c r="J140" i="43" s="1"/>
  <c r="I148" i="43"/>
  <c r="J148" i="43" s="1"/>
  <c r="I156" i="43"/>
  <c r="J156" i="43" s="1"/>
  <c r="I164" i="43"/>
  <c r="J164" i="43" s="1"/>
  <c r="I172" i="43"/>
  <c r="J172" i="43" s="1"/>
  <c r="I180" i="43"/>
  <c r="J180" i="43" s="1"/>
  <c r="I188" i="43"/>
  <c r="J188" i="43" s="1"/>
  <c r="I196" i="43"/>
  <c r="J196" i="43" s="1"/>
  <c r="I204" i="43"/>
  <c r="J204" i="43" s="1"/>
  <c r="I212" i="43"/>
  <c r="J212" i="43" s="1"/>
  <c r="I220" i="43"/>
  <c r="J220" i="43" s="1"/>
  <c r="I228" i="43"/>
  <c r="J228" i="43" s="1"/>
  <c r="I236" i="43"/>
  <c r="J236" i="43" s="1"/>
  <c r="I244" i="43"/>
  <c r="J244" i="43" s="1"/>
  <c r="I252" i="43"/>
  <c r="J252" i="43" s="1"/>
  <c r="I260" i="43"/>
  <c r="J260" i="43" s="1"/>
  <c r="I268" i="43"/>
  <c r="J268" i="43" s="1"/>
  <c r="I276" i="43"/>
  <c r="J276" i="43" s="1"/>
  <c r="I284" i="43"/>
  <c r="J284" i="43" s="1"/>
  <c r="I292" i="43"/>
  <c r="J292" i="43" s="1"/>
  <c r="I300" i="43"/>
  <c r="J300" i="43" s="1"/>
  <c r="AO137" i="41"/>
  <c r="AO138" i="41"/>
  <c r="AO139" i="41"/>
  <c r="AO140" i="41"/>
  <c r="AO141" i="41"/>
  <c r="AP139" i="41"/>
  <c r="AQ139" i="41" s="1"/>
  <c r="AO136" i="41"/>
  <c r="AN137" i="41"/>
  <c r="AN138" i="41"/>
  <c r="AN139" i="41"/>
  <c r="AN140" i="41"/>
  <c r="AN141" i="41"/>
  <c r="AP140" i="41"/>
  <c r="AQ140" i="41" s="1"/>
  <c r="AP141" i="41"/>
  <c r="AQ141" i="41" s="1"/>
  <c r="AN136" i="41"/>
  <c r="AO131" i="41"/>
  <c r="AO132" i="41"/>
  <c r="AP132" i="41" s="1"/>
  <c r="AQ132" i="41" s="1"/>
  <c r="AO133" i="41"/>
  <c r="AO134" i="41"/>
  <c r="AO135" i="41"/>
  <c r="AP135" i="41"/>
  <c r="AQ135" i="41" s="1"/>
  <c r="AO130" i="41"/>
  <c r="AN131" i="41"/>
  <c r="AN132" i="41"/>
  <c r="AN133" i="41"/>
  <c r="AN134" i="41"/>
  <c r="AN135" i="41"/>
  <c r="AN130" i="41"/>
  <c r="AO125" i="41"/>
  <c r="AO126" i="41"/>
  <c r="AO127" i="41"/>
  <c r="AO128" i="41"/>
  <c r="AO129" i="41"/>
  <c r="AP128" i="41"/>
  <c r="AQ128" i="41" s="1"/>
  <c r="AP129" i="41"/>
  <c r="AQ129" i="41" s="1"/>
  <c r="AO124" i="41"/>
  <c r="AN125" i="41"/>
  <c r="AN126" i="41"/>
  <c r="AN127" i="41"/>
  <c r="AN128" i="41"/>
  <c r="AN129" i="41"/>
  <c r="AN124" i="41"/>
  <c r="AO119" i="41"/>
  <c r="AO120" i="41"/>
  <c r="AO121" i="41"/>
  <c r="AO122" i="41"/>
  <c r="AO123" i="41"/>
  <c r="AP120" i="41"/>
  <c r="AQ120" i="41" s="1"/>
  <c r="AP121" i="41"/>
  <c r="AQ121" i="41" s="1"/>
  <c r="AO118" i="41"/>
  <c r="AN119" i="41"/>
  <c r="AN120" i="41"/>
  <c r="AN121" i="41"/>
  <c r="AN122" i="41"/>
  <c r="AP122" i="41" s="1"/>
  <c r="AQ122" i="41" s="1"/>
  <c r="AN123" i="41"/>
  <c r="AN118" i="41"/>
  <c r="AO113" i="41"/>
  <c r="AO114" i="41"/>
  <c r="AO115" i="41"/>
  <c r="AO116" i="41"/>
  <c r="AO117" i="41"/>
  <c r="AO112" i="41"/>
  <c r="AN113" i="41"/>
  <c r="AN114" i="41"/>
  <c r="AN115" i="41"/>
  <c r="AP115" i="41" s="1"/>
  <c r="AQ115" i="41" s="1"/>
  <c r="AN116" i="41"/>
  <c r="AP116" i="41" s="1"/>
  <c r="AQ116" i="41" s="1"/>
  <c r="AN117" i="41"/>
  <c r="AN112" i="41"/>
  <c r="AP112" i="41" s="1"/>
  <c r="AQ112" i="41" s="1"/>
  <c r="AO107" i="41"/>
  <c r="AO108" i="41"/>
  <c r="AO109" i="41"/>
  <c r="AO110" i="41"/>
  <c r="AO111" i="41"/>
  <c r="AO106" i="41"/>
  <c r="AP106" i="41" s="1"/>
  <c r="AQ106" i="41" s="1"/>
  <c r="AN107" i="41"/>
  <c r="AN108" i="41"/>
  <c r="AN109" i="41"/>
  <c r="AN110" i="41"/>
  <c r="AN111" i="41"/>
  <c r="AP109" i="41"/>
  <c r="AQ109" i="41" s="1"/>
  <c r="AP110" i="41"/>
  <c r="AQ110" i="41" s="1"/>
  <c r="AN106" i="41"/>
  <c r="AO96" i="41"/>
  <c r="AO97" i="41"/>
  <c r="AO98" i="41"/>
  <c r="AO99" i="41"/>
  <c r="AO100" i="41"/>
  <c r="AO101" i="41"/>
  <c r="AO102" i="41"/>
  <c r="AO103" i="41"/>
  <c r="AO104" i="41"/>
  <c r="AO105" i="41"/>
  <c r="AO95" i="41"/>
  <c r="AN96" i="41"/>
  <c r="AN97" i="41"/>
  <c r="AP97" i="41" s="1"/>
  <c r="AQ97" i="41" s="1"/>
  <c r="AN98" i="41"/>
  <c r="AN99" i="41"/>
  <c r="AN100" i="41"/>
  <c r="AP100" i="41" s="1"/>
  <c r="AQ100" i="41" s="1"/>
  <c r="AN101" i="41"/>
  <c r="AN102" i="41"/>
  <c r="AN103" i="41"/>
  <c r="AN104" i="41"/>
  <c r="AN105" i="41"/>
  <c r="AN95" i="41"/>
  <c r="AO85" i="41"/>
  <c r="AO86" i="41"/>
  <c r="AO87" i="41"/>
  <c r="AO88" i="41"/>
  <c r="AO89" i="41"/>
  <c r="AO90" i="41"/>
  <c r="AP90" i="41" s="1"/>
  <c r="AQ90" i="41" s="1"/>
  <c r="AO91" i="41"/>
  <c r="AO92" i="41"/>
  <c r="AO93" i="41"/>
  <c r="AO94" i="41"/>
  <c r="AO84" i="41"/>
  <c r="AN85" i="41"/>
  <c r="AN86" i="41"/>
  <c r="AN87" i="41"/>
  <c r="AN88" i="41"/>
  <c r="AP88" i="41" s="1"/>
  <c r="AQ88" i="41" s="1"/>
  <c r="AN89" i="41"/>
  <c r="AN90" i="41"/>
  <c r="AN91" i="41"/>
  <c r="AN92" i="41"/>
  <c r="AN93" i="41"/>
  <c r="AN94" i="41"/>
  <c r="AN84" i="41"/>
  <c r="AO78" i="41"/>
  <c r="AO79" i="41"/>
  <c r="AO80" i="41"/>
  <c r="AO81" i="41"/>
  <c r="AO82" i="41"/>
  <c r="AO83" i="41"/>
  <c r="AP79" i="41"/>
  <c r="AQ79" i="41" s="1"/>
  <c r="AO77" i="41"/>
  <c r="AN78" i="41"/>
  <c r="AN79" i="41"/>
  <c r="AN80" i="41"/>
  <c r="AN81" i="41"/>
  <c r="AN82" i="41"/>
  <c r="AN83" i="41"/>
  <c r="AN77" i="41"/>
  <c r="AO71" i="41"/>
  <c r="AO72" i="41"/>
  <c r="AO73" i="41"/>
  <c r="AO74" i="41"/>
  <c r="AO75" i="41"/>
  <c r="AO76" i="41"/>
  <c r="AO70" i="41"/>
  <c r="AN71" i="41"/>
  <c r="AN72" i="41"/>
  <c r="AN73" i="41"/>
  <c r="AN74" i="41"/>
  <c r="AN75" i="41"/>
  <c r="AN76" i="41"/>
  <c r="AP75" i="41"/>
  <c r="AQ75" i="41" s="1"/>
  <c r="AP76" i="41"/>
  <c r="AQ76" i="41" s="1"/>
  <c r="AN70" i="41"/>
  <c r="AO65" i="41"/>
  <c r="AO66" i="41"/>
  <c r="AO67" i="41"/>
  <c r="AO68" i="41"/>
  <c r="AO69" i="41"/>
  <c r="AO64" i="41"/>
  <c r="AN65" i="41"/>
  <c r="AN66" i="41"/>
  <c r="AN67" i="41"/>
  <c r="AN68" i="41"/>
  <c r="AN69" i="41"/>
  <c r="AP66" i="41"/>
  <c r="AQ66" i="41" s="1"/>
  <c r="AP68" i="41"/>
  <c r="AQ68" i="41" s="1"/>
  <c r="AN64" i="41"/>
  <c r="AO59" i="41"/>
  <c r="AO60" i="41"/>
  <c r="AP60" i="41" s="1"/>
  <c r="AQ60" i="41" s="1"/>
  <c r="AO61" i="41"/>
  <c r="AO62" i="41"/>
  <c r="AO63" i="41"/>
  <c r="AP63" i="41"/>
  <c r="AQ63" i="41" s="1"/>
  <c r="AO58" i="41"/>
  <c r="AN59" i="41"/>
  <c r="AN60" i="41"/>
  <c r="AN61" i="41"/>
  <c r="AN62" i="41"/>
  <c r="AN63" i="41"/>
  <c r="AN58" i="41"/>
  <c r="AO52" i="41"/>
  <c r="AO53" i="41"/>
  <c r="AO54" i="41"/>
  <c r="AP54" i="41" s="1"/>
  <c r="AQ54" i="41" s="1"/>
  <c r="AO55" i="41"/>
  <c r="AO56" i="41"/>
  <c r="AO57" i="41"/>
  <c r="AO51" i="41"/>
  <c r="AN52" i="41"/>
  <c r="AN53" i="41"/>
  <c r="AN54" i="41"/>
  <c r="AN55" i="41"/>
  <c r="AN56" i="41"/>
  <c r="AN57" i="41"/>
  <c r="AN51" i="41"/>
  <c r="AO45" i="41"/>
  <c r="AO46" i="41"/>
  <c r="AO47" i="41"/>
  <c r="AO48" i="41"/>
  <c r="AO49" i="41"/>
  <c r="AO50" i="41"/>
  <c r="AP48" i="41"/>
  <c r="AQ48" i="41" s="1"/>
  <c r="AO44" i="41"/>
  <c r="AN45" i="41"/>
  <c r="AN46" i="41"/>
  <c r="AN47" i="41"/>
  <c r="AN48" i="41"/>
  <c r="AN49" i="41"/>
  <c r="AN50" i="41"/>
  <c r="AP49" i="41"/>
  <c r="AQ49" i="41" s="1"/>
  <c r="AN44" i="41"/>
  <c r="AO37" i="41"/>
  <c r="AO38" i="41"/>
  <c r="AO39" i="41"/>
  <c r="AO40" i="41"/>
  <c r="AO41" i="41"/>
  <c r="AO42" i="41"/>
  <c r="AO43" i="41"/>
  <c r="AO36" i="41"/>
  <c r="AN37" i="41"/>
  <c r="AN38" i="41"/>
  <c r="AN39" i="41"/>
  <c r="AN40" i="41"/>
  <c r="AN41" i="41"/>
  <c r="AN42" i="41"/>
  <c r="AN43" i="41"/>
  <c r="AP43" i="41" s="1"/>
  <c r="AQ43" i="41" s="1"/>
  <c r="AN36" i="41"/>
  <c r="AO29" i="41"/>
  <c r="AO30" i="41"/>
  <c r="AO31" i="41"/>
  <c r="AO32" i="41"/>
  <c r="AO33" i="41"/>
  <c r="AO34" i="41"/>
  <c r="AO35" i="41"/>
  <c r="AO28" i="41"/>
  <c r="AN29" i="41"/>
  <c r="AN30" i="41"/>
  <c r="AN31" i="41"/>
  <c r="AP31" i="41" s="1"/>
  <c r="AQ31" i="41" s="1"/>
  <c r="AN32" i="41"/>
  <c r="AP32" i="41" s="1"/>
  <c r="AQ32" i="41" s="1"/>
  <c r="AN33" i="41"/>
  <c r="AN34" i="41"/>
  <c r="AN35" i="41"/>
  <c r="AN28" i="41"/>
  <c r="AO17" i="41"/>
  <c r="AP17" i="41" s="1"/>
  <c r="AO18" i="41"/>
  <c r="AP18" i="41" s="1"/>
  <c r="AQ18" i="41" s="1"/>
  <c r="AO19" i="41"/>
  <c r="AO20" i="41"/>
  <c r="AO21" i="41"/>
  <c r="AO22" i="41"/>
  <c r="AO23" i="41"/>
  <c r="AO24" i="41"/>
  <c r="AO25" i="41"/>
  <c r="AP25" i="41" s="1"/>
  <c r="AQ25" i="41" s="1"/>
  <c r="AO26" i="41"/>
  <c r="AP26" i="41" s="1"/>
  <c r="AQ26" i="41" s="1"/>
  <c r="AO27" i="41"/>
  <c r="AP27" i="41" s="1"/>
  <c r="AQ27" i="41" s="1"/>
  <c r="AP20" i="41"/>
  <c r="AQ20" i="41" s="1"/>
  <c r="AO16" i="41"/>
  <c r="AN17" i="41"/>
  <c r="AN18" i="41"/>
  <c r="AN19" i="41"/>
  <c r="AN20" i="41"/>
  <c r="AN21" i="41"/>
  <c r="AN22" i="41"/>
  <c r="AN23" i="41"/>
  <c r="AP23" i="41" s="1"/>
  <c r="AQ23" i="41" s="1"/>
  <c r="AN24" i="41"/>
  <c r="AN25" i="41"/>
  <c r="AN26" i="41"/>
  <c r="AN27" i="41"/>
  <c r="AN16" i="41"/>
  <c r="AP16" i="41" s="1"/>
  <c r="AO5" i="41"/>
  <c r="AO6" i="41"/>
  <c r="AO7" i="41"/>
  <c r="AO8" i="41"/>
  <c r="AO9" i="41"/>
  <c r="AO10" i="41"/>
  <c r="AO11" i="41"/>
  <c r="AO12" i="41"/>
  <c r="AO13" i="41"/>
  <c r="AO14" i="41"/>
  <c r="AO15" i="41"/>
  <c r="AP15" i="41" s="1"/>
  <c r="AQ15" i="41" s="1"/>
  <c r="AO4" i="41"/>
  <c r="AN5" i="41"/>
  <c r="AP5" i="41" s="1"/>
  <c r="AQ5" i="41" s="1"/>
  <c r="AN6" i="41"/>
  <c r="AN7" i="41"/>
  <c r="AN8" i="41"/>
  <c r="AP8" i="41" s="1"/>
  <c r="AQ8" i="41" s="1"/>
  <c r="AN9" i="41"/>
  <c r="AN10" i="41"/>
  <c r="AN11" i="41"/>
  <c r="AN12" i="41"/>
  <c r="AN13" i="41"/>
  <c r="AP13" i="41" s="1"/>
  <c r="AQ13" i="41" s="1"/>
  <c r="AN14" i="41"/>
  <c r="AN15" i="41"/>
  <c r="AN4" i="41"/>
  <c r="H140" i="41"/>
  <c r="H139" i="41"/>
  <c r="AP138" i="41"/>
  <c r="AQ138" i="41" s="1"/>
  <c r="H138" i="41"/>
  <c r="AP137" i="41"/>
  <c r="AQ137" i="41" s="1"/>
  <c r="H137" i="41"/>
  <c r="H136" i="41"/>
  <c r="H135" i="41"/>
  <c r="AP134" i="41"/>
  <c r="AQ134" i="41" s="1"/>
  <c r="H134" i="41"/>
  <c r="H133" i="41"/>
  <c r="H132" i="41"/>
  <c r="H131" i="41"/>
  <c r="AP130" i="41"/>
  <c r="AQ130" i="41" s="1"/>
  <c r="H130" i="41"/>
  <c r="H129" i="41"/>
  <c r="H128" i="41"/>
  <c r="AP127" i="41"/>
  <c r="AQ127" i="41" s="1"/>
  <c r="H127" i="41"/>
  <c r="AP126" i="41"/>
  <c r="AQ126" i="41" s="1"/>
  <c r="H126" i="41"/>
  <c r="H125" i="41"/>
  <c r="H124" i="41"/>
  <c r="AP123" i="41"/>
  <c r="AQ123" i="41" s="1"/>
  <c r="H123" i="41"/>
  <c r="H122" i="41"/>
  <c r="H121" i="41"/>
  <c r="H120" i="41"/>
  <c r="H119" i="41"/>
  <c r="AP118" i="41"/>
  <c r="AQ118" i="41" s="1"/>
  <c r="H118" i="41"/>
  <c r="H117" i="41"/>
  <c r="H116" i="41"/>
  <c r="H115" i="41"/>
  <c r="H114" i="41"/>
  <c r="AP113" i="41"/>
  <c r="AQ113" i="41" s="1"/>
  <c r="H113" i="41"/>
  <c r="H112" i="41"/>
  <c r="H111" i="41"/>
  <c r="H110" i="41"/>
  <c r="H109" i="41"/>
  <c r="AP108" i="41"/>
  <c r="AQ108" i="41" s="1"/>
  <c r="H108" i="41"/>
  <c r="AP107" i="41"/>
  <c r="AQ107" i="41" s="1"/>
  <c r="H107" i="41"/>
  <c r="H106" i="41"/>
  <c r="AP105" i="41"/>
  <c r="AQ105" i="41" s="1"/>
  <c r="H105" i="41"/>
  <c r="H104" i="41"/>
  <c r="H103" i="41"/>
  <c r="H102" i="41"/>
  <c r="H101" i="41"/>
  <c r="H100" i="41"/>
  <c r="H99" i="41"/>
  <c r="AP98" i="41"/>
  <c r="AQ98" i="41" s="1"/>
  <c r="H98" i="41"/>
  <c r="H97" i="41"/>
  <c r="AP96" i="41"/>
  <c r="AQ96" i="41" s="1"/>
  <c r="H96" i="41"/>
  <c r="AP95" i="41"/>
  <c r="AQ95" i="41" s="1"/>
  <c r="H95" i="41"/>
  <c r="AP94" i="41"/>
  <c r="AQ94" i="41" s="1"/>
  <c r="H94" i="41"/>
  <c r="H93" i="41"/>
  <c r="H92" i="41"/>
  <c r="H91" i="41"/>
  <c r="H90" i="41"/>
  <c r="H89" i="41"/>
  <c r="H88" i="41"/>
  <c r="H87" i="41"/>
  <c r="AP86" i="41"/>
  <c r="AQ86" i="41" s="1"/>
  <c r="H86" i="41"/>
  <c r="H85" i="41"/>
  <c r="AP84" i="41"/>
  <c r="AQ84" i="41" s="1"/>
  <c r="H84" i="41"/>
  <c r="H83" i="41"/>
  <c r="H82" i="41"/>
  <c r="H81" i="41"/>
  <c r="H80" i="41"/>
  <c r="H79" i="41"/>
  <c r="AP78" i="41"/>
  <c r="AQ78" i="41" s="1"/>
  <c r="H78" i="41"/>
  <c r="H77" i="41"/>
  <c r="H76" i="41"/>
  <c r="H75" i="41"/>
  <c r="AP74" i="41"/>
  <c r="AQ74" i="41" s="1"/>
  <c r="H74" i="41"/>
  <c r="AP73" i="41"/>
  <c r="AQ73" i="41" s="1"/>
  <c r="H73" i="41"/>
  <c r="H72" i="41"/>
  <c r="AP71" i="41"/>
  <c r="AQ71" i="41" s="1"/>
  <c r="H71" i="41"/>
  <c r="AP70" i="41"/>
  <c r="AQ70" i="41" s="1"/>
  <c r="H70" i="41"/>
  <c r="H69" i="41"/>
  <c r="H68" i="41"/>
  <c r="H67" i="41"/>
  <c r="H66" i="41"/>
  <c r="AP65" i="41"/>
  <c r="AQ65" i="41" s="1"/>
  <c r="H65" i="41"/>
  <c r="AP64" i="41"/>
  <c r="AQ64" i="41" s="1"/>
  <c r="H64" i="41"/>
  <c r="H63" i="41"/>
  <c r="AP62" i="41"/>
  <c r="AQ62" i="41" s="1"/>
  <c r="H62" i="41"/>
  <c r="H61" i="41"/>
  <c r="H60" i="41"/>
  <c r="AP59" i="41"/>
  <c r="AQ59" i="41" s="1"/>
  <c r="H59" i="41"/>
  <c r="AP58" i="41"/>
  <c r="AQ58" i="41" s="1"/>
  <c r="H58" i="41"/>
  <c r="H57" i="41"/>
  <c r="H56" i="41"/>
  <c r="AP55" i="41"/>
  <c r="AQ55" i="41" s="1"/>
  <c r="H55" i="41"/>
  <c r="H54" i="41"/>
  <c r="H53" i="41"/>
  <c r="AP52" i="41"/>
  <c r="AQ52" i="41" s="1"/>
  <c r="H52" i="41"/>
  <c r="H51" i="41"/>
  <c r="H50" i="41"/>
  <c r="H49" i="41"/>
  <c r="H48" i="41"/>
  <c r="H47" i="41"/>
  <c r="AP46" i="41"/>
  <c r="AQ46" i="41" s="1"/>
  <c r="H46" i="41"/>
  <c r="H45" i="41"/>
  <c r="AP44" i="41"/>
  <c r="AQ44" i="41" s="1"/>
  <c r="H44" i="41"/>
  <c r="H43" i="41"/>
  <c r="H42" i="41"/>
  <c r="H41" i="41"/>
  <c r="AP40" i="41"/>
  <c r="AQ40" i="41" s="1"/>
  <c r="H40" i="41"/>
  <c r="H39" i="41"/>
  <c r="AP38" i="41"/>
  <c r="AQ38" i="41" s="1"/>
  <c r="H38" i="41"/>
  <c r="AP37" i="41"/>
  <c r="AQ37" i="41" s="1"/>
  <c r="H37" i="41"/>
  <c r="AP36" i="41"/>
  <c r="AQ36" i="41" s="1"/>
  <c r="H36" i="41"/>
  <c r="H35" i="41"/>
  <c r="H34" i="41"/>
  <c r="H33" i="41"/>
  <c r="H32" i="41"/>
  <c r="H31" i="41"/>
  <c r="H30" i="41"/>
  <c r="H29" i="41"/>
  <c r="AP28" i="41"/>
  <c r="AQ28" i="41" s="1"/>
  <c r="H28" i="41"/>
  <c r="H27" i="41"/>
  <c r="H26" i="41"/>
  <c r="H25" i="41"/>
  <c r="H24" i="41"/>
  <c r="H23" i="41"/>
  <c r="H22" i="41"/>
  <c r="H21" i="41"/>
  <c r="H20" i="41"/>
  <c r="H19" i="41"/>
  <c r="H18" i="41"/>
  <c r="H17" i="41"/>
  <c r="H16" i="41"/>
  <c r="H15" i="41"/>
  <c r="H13" i="41"/>
  <c r="H12" i="41"/>
  <c r="H11" i="41"/>
  <c r="H10" i="41"/>
  <c r="H9" i="41"/>
  <c r="H8" i="41"/>
  <c r="H7" i="41"/>
  <c r="H6" i="41"/>
  <c r="H5" i="41"/>
  <c r="H4" i="41"/>
  <c r="H3" i="41"/>
  <c r="U1" i="28"/>
  <c r="B19" i="39"/>
  <c r="B20" i="39"/>
  <c r="AP29" i="41" l="1"/>
  <c r="AQ29" i="41" s="1"/>
  <c r="AQ17" i="41"/>
  <c r="AQ16" i="41"/>
  <c r="I131" i="54"/>
  <c r="J131" i="54" s="1"/>
  <c r="I294" i="54"/>
  <c r="J294" i="54" s="1"/>
  <c r="I214" i="54"/>
  <c r="J214" i="54" s="1"/>
  <c r="I223" i="54"/>
  <c r="J223" i="54" s="1"/>
  <c r="I296" i="54"/>
  <c r="J296" i="54" s="1"/>
  <c r="I278" i="54"/>
  <c r="J278" i="54" s="1"/>
  <c r="I193" i="54"/>
  <c r="J193" i="54" s="1"/>
  <c r="I203" i="54"/>
  <c r="J203" i="54" s="1"/>
  <c r="I44" i="54"/>
  <c r="J44" i="54" s="1"/>
  <c r="I239" i="54"/>
  <c r="J239" i="54" s="1"/>
  <c r="I216" i="54"/>
  <c r="J216" i="54" s="1"/>
  <c r="I169" i="54"/>
  <c r="J169" i="54" s="1"/>
  <c r="I123" i="54"/>
  <c r="J123" i="54" s="1"/>
  <c r="I55" i="54"/>
  <c r="J55" i="54" s="1"/>
  <c r="I18" i="54"/>
  <c r="J18" i="54" s="1"/>
  <c r="I133" i="54"/>
  <c r="J133" i="54" s="1"/>
  <c r="I248" i="54"/>
  <c r="J248" i="54" s="1"/>
  <c r="I271" i="54"/>
  <c r="J271" i="54" s="1"/>
  <c r="I181" i="54"/>
  <c r="J181" i="54" s="1"/>
  <c r="I152" i="54"/>
  <c r="J152" i="54" s="1"/>
  <c r="I115" i="54"/>
  <c r="J115" i="54" s="1"/>
  <c r="I109" i="54"/>
  <c r="J109" i="54" s="1"/>
  <c r="I11" i="54"/>
  <c r="J11" i="54" s="1"/>
  <c r="I43" i="54"/>
  <c r="J43" i="54" s="1"/>
  <c r="I119" i="54"/>
  <c r="J119" i="54" s="1"/>
  <c r="I275" i="54"/>
  <c r="J275" i="54" s="1"/>
  <c r="I204" i="54"/>
  <c r="J204" i="54" s="1"/>
  <c r="I74" i="54"/>
  <c r="J74" i="54" s="1"/>
  <c r="I31" i="54"/>
  <c r="J31" i="54" s="1"/>
  <c r="I105" i="54"/>
  <c r="J105" i="54" s="1"/>
  <c r="I111" i="54"/>
  <c r="J111" i="54" s="1"/>
  <c r="I226" i="54"/>
  <c r="J226" i="54" s="1"/>
  <c r="I104" i="54"/>
  <c r="J104" i="54" s="1"/>
  <c r="I17" i="54"/>
  <c r="J17" i="54" s="1"/>
  <c r="I178" i="54"/>
  <c r="J178" i="54" s="1"/>
  <c r="I79" i="54"/>
  <c r="J79" i="54" s="1"/>
  <c r="I165" i="54"/>
  <c r="J165" i="54" s="1"/>
  <c r="I250" i="54"/>
  <c r="J250" i="54" s="1"/>
  <c r="I266" i="54"/>
  <c r="J266" i="54" s="1"/>
  <c r="I244" i="54"/>
  <c r="J244" i="54" s="1"/>
  <c r="I8" i="54"/>
  <c r="J8" i="54" s="1"/>
  <c r="I160" i="54"/>
  <c r="J160" i="54" s="1"/>
  <c r="I279" i="54"/>
  <c r="J279" i="54" s="1"/>
  <c r="I51" i="54"/>
  <c r="J51" i="54" s="1"/>
  <c r="I10" i="54"/>
  <c r="J10" i="54" s="1"/>
  <c r="I192" i="54"/>
  <c r="J192" i="54" s="1"/>
  <c r="I117" i="54"/>
  <c r="J117" i="54" s="1"/>
  <c r="I237" i="54"/>
  <c r="J237" i="54" s="1"/>
  <c r="I91" i="54"/>
  <c r="J91" i="54" s="1"/>
  <c r="I253" i="54"/>
  <c r="J253" i="54" s="1"/>
  <c r="I200" i="54"/>
  <c r="J200" i="54" s="1"/>
  <c r="I67" i="54"/>
  <c r="J67" i="54" s="1"/>
  <c r="I287" i="54"/>
  <c r="J287" i="54" s="1"/>
  <c r="I53" i="54"/>
  <c r="J53" i="54" s="1"/>
  <c r="I7" i="54"/>
  <c r="J7" i="54" s="1"/>
  <c r="I64" i="54"/>
  <c r="J64" i="54" s="1"/>
  <c r="I122" i="54"/>
  <c r="J122" i="54" s="1"/>
  <c r="I57" i="54"/>
  <c r="J57" i="54" s="1"/>
  <c r="I5" i="54"/>
  <c r="J5" i="54" s="1"/>
  <c r="I81" i="54"/>
  <c r="J81" i="54" s="1"/>
  <c r="I37" i="54"/>
  <c r="J37" i="54" s="1"/>
  <c r="I118" i="54"/>
  <c r="J118" i="54" s="1"/>
  <c r="I114" i="54"/>
  <c r="J114" i="54" s="1"/>
  <c r="I242" i="54"/>
  <c r="J242" i="54" s="1"/>
  <c r="I120" i="54"/>
  <c r="J120" i="54" s="1"/>
  <c r="I24" i="54"/>
  <c r="J24" i="54" s="1"/>
  <c r="I202" i="54"/>
  <c r="J202" i="54" s="1"/>
  <c r="I86" i="54"/>
  <c r="J86" i="54" s="1"/>
  <c r="I208" i="54"/>
  <c r="J208" i="54" s="1"/>
  <c r="I261" i="54"/>
  <c r="J261" i="54" s="1"/>
  <c r="I274" i="54"/>
  <c r="J274" i="54" s="1"/>
  <c r="I291" i="54"/>
  <c r="J291" i="54" s="1"/>
  <c r="I97" i="54"/>
  <c r="J97" i="54" s="1"/>
  <c r="I174" i="54"/>
  <c r="J174" i="54" s="1"/>
  <c r="I286" i="54"/>
  <c r="J286" i="54" s="1"/>
  <c r="I254" i="54"/>
  <c r="J254" i="54" s="1"/>
  <c r="I240" i="54"/>
  <c r="J240" i="54" s="1"/>
  <c r="I222" i="54"/>
  <c r="J222" i="54" s="1"/>
  <c r="I107" i="54"/>
  <c r="J107" i="54" s="1"/>
  <c r="I46" i="54"/>
  <c r="J46" i="54" s="1"/>
  <c r="I173" i="54"/>
  <c r="J173" i="54" s="1"/>
  <c r="I101" i="54"/>
  <c r="J101" i="54" s="1"/>
  <c r="I191" i="54"/>
  <c r="J191" i="54" s="1"/>
  <c r="I288" i="54"/>
  <c r="J288" i="54" s="1"/>
  <c r="I199" i="54"/>
  <c r="J199" i="54" s="1"/>
  <c r="I65" i="54"/>
  <c r="J65" i="54" s="1"/>
  <c r="I82" i="54"/>
  <c r="J82" i="54" s="1"/>
  <c r="I132" i="54"/>
  <c r="J132" i="54" s="1"/>
  <c r="I68" i="54"/>
  <c r="J68" i="54" s="1"/>
  <c r="I13" i="54"/>
  <c r="J13" i="54" s="1"/>
  <c r="I88" i="54"/>
  <c r="J88" i="54" s="1"/>
  <c r="I42" i="54"/>
  <c r="J42" i="54" s="1"/>
  <c r="I121" i="54"/>
  <c r="J121" i="54" s="1"/>
  <c r="I124" i="54"/>
  <c r="J124" i="54" s="1"/>
  <c r="I260" i="54"/>
  <c r="J260" i="54" s="1"/>
  <c r="I267" i="54"/>
  <c r="J267" i="54" s="1"/>
  <c r="I40" i="54"/>
  <c r="J40" i="54" s="1"/>
  <c r="I29" i="54"/>
  <c r="J29" i="54" s="1"/>
  <c r="I110" i="54"/>
  <c r="J110" i="54" s="1"/>
  <c r="I268" i="54"/>
  <c r="J268" i="54" s="1"/>
  <c r="I269" i="54"/>
  <c r="J269" i="54" s="1"/>
  <c r="I282" i="54"/>
  <c r="J282" i="54" s="1"/>
  <c r="I299" i="54"/>
  <c r="J299" i="54" s="1"/>
  <c r="I38" i="54"/>
  <c r="J38" i="54" s="1"/>
  <c r="I159" i="54"/>
  <c r="J159" i="54" s="1"/>
  <c r="I273" i="54"/>
  <c r="J273" i="54" s="1"/>
  <c r="I163" i="54"/>
  <c r="J163" i="54" s="1"/>
  <c r="I231" i="54"/>
  <c r="J231" i="54" s="1"/>
  <c r="I168" i="54"/>
  <c r="J168" i="54" s="1"/>
  <c r="I205" i="54"/>
  <c r="J205" i="54" s="1"/>
  <c r="I167" i="54"/>
  <c r="J167" i="54" s="1"/>
  <c r="I77" i="54"/>
  <c r="J77" i="54" s="1"/>
  <c r="I265" i="54"/>
  <c r="J265" i="54" s="1"/>
  <c r="I143" i="54"/>
  <c r="J143" i="54" s="1"/>
  <c r="I264" i="54"/>
  <c r="J264" i="54" s="1"/>
  <c r="I189" i="54"/>
  <c r="J189" i="54" s="1"/>
  <c r="I28" i="54"/>
  <c r="J28" i="54" s="1"/>
  <c r="I12" i="54"/>
  <c r="J12" i="54" s="1"/>
  <c r="I89" i="54"/>
  <c r="J89" i="54" s="1"/>
  <c r="I146" i="54"/>
  <c r="J146" i="54" s="1"/>
  <c r="I96" i="54"/>
  <c r="J96" i="54" s="1"/>
  <c r="I21" i="54"/>
  <c r="J21" i="54" s="1"/>
  <c r="I92" i="54"/>
  <c r="J92" i="54" s="1"/>
  <c r="I47" i="54"/>
  <c r="J47" i="54" s="1"/>
  <c r="I144" i="54"/>
  <c r="J144" i="54" s="1"/>
  <c r="I127" i="54"/>
  <c r="J127" i="54" s="1"/>
  <c r="I52" i="54"/>
  <c r="J52" i="54" s="1"/>
  <c r="I284" i="54"/>
  <c r="J284" i="54" s="1"/>
  <c r="I58" i="54"/>
  <c r="J58" i="54" s="1"/>
  <c r="I34" i="54"/>
  <c r="J34" i="54" s="1"/>
  <c r="I113" i="54"/>
  <c r="J113" i="54" s="1"/>
  <c r="I292" i="54"/>
  <c r="J292" i="54" s="1"/>
  <c r="I277" i="54"/>
  <c r="J277" i="54" s="1"/>
  <c r="I290" i="54"/>
  <c r="J290" i="54" s="1"/>
  <c r="I156" i="54"/>
  <c r="J156" i="54" s="1"/>
  <c r="I36" i="54"/>
  <c r="J36" i="54" s="1"/>
  <c r="I197" i="54"/>
  <c r="J197" i="54" s="1"/>
  <c r="I87" i="54"/>
  <c r="J87" i="54" s="1"/>
  <c r="I69" i="54"/>
  <c r="J69" i="54" s="1"/>
  <c r="I219" i="54"/>
  <c r="J219" i="54" s="1"/>
  <c r="I59" i="54"/>
  <c r="J59" i="54" s="1"/>
  <c r="I195" i="54"/>
  <c r="J195" i="54" s="1"/>
  <c r="I157" i="54"/>
  <c r="J157" i="54" s="1"/>
  <c r="I176" i="54"/>
  <c r="J176" i="54" s="1"/>
  <c r="I137" i="54"/>
  <c r="J137" i="54" s="1"/>
  <c r="I99" i="54"/>
  <c r="J99" i="54" s="1"/>
  <c r="I251" i="54"/>
  <c r="J251" i="54" s="1"/>
  <c r="I155" i="54"/>
  <c r="J155" i="54" s="1"/>
  <c r="I26" i="54"/>
  <c r="J26" i="54" s="1"/>
  <c r="I100" i="54"/>
  <c r="J100" i="54" s="1"/>
  <c r="I170" i="54"/>
  <c r="J170" i="54" s="1"/>
  <c r="I78" i="54"/>
  <c r="J78" i="54" s="1"/>
  <c r="I32" i="54"/>
  <c r="J32" i="54" s="1"/>
  <c r="I134" i="54"/>
  <c r="J134" i="54" s="1"/>
  <c r="I63" i="54"/>
  <c r="J63" i="54" s="1"/>
  <c r="I162" i="54"/>
  <c r="J162" i="54" s="1"/>
  <c r="I130" i="54"/>
  <c r="J130" i="54" s="1"/>
  <c r="I73" i="54"/>
  <c r="J73" i="54" s="1"/>
  <c r="I66" i="54"/>
  <c r="J66" i="54" s="1"/>
  <c r="I76" i="54"/>
  <c r="J76" i="54" s="1"/>
  <c r="I39" i="54"/>
  <c r="J39" i="54" s="1"/>
  <c r="I126" i="54"/>
  <c r="J126" i="54" s="1"/>
  <c r="I164" i="54"/>
  <c r="J164" i="54" s="1"/>
  <c r="I285" i="54"/>
  <c r="J285" i="54" s="1"/>
  <c r="I298" i="54"/>
  <c r="J298" i="54" s="1"/>
  <c r="I188" i="54"/>
  <c r="J188" i="54" s="1"/>
  <c r="I22" i="54"/>
  <c r="J22" i="54" s="1"/>
  <c r="I142" i="54"/>
  <c r="J142" i="54" s="1"/>
  <c r="I233" i="54"/>
  <c r="J233" i="54" s="1"/>
  <c r="I297" i="54"/>
  <c r="J297" i="54" s="1"/>
  <c r="I151" i="54"/>
  <c r="J151" i="54" s="1"/>
  <c r="I257" i="54"/>
  <c r="J257" i="54" s="1"/>
  <c r="I211" i="54"/>
  <c r="J211" i="54" s="1"/>
  <c r="I83" i="54"/>
  <c r="J83" i="54" s="1"/>
  <c r="I255" i="54"/>
  <c r="J255" i="54" s="1"/>
  <c r="I158" i="54"/>
  <c r="J158" i="54" s="1"/>
  <c r="I41" i="54"/>
  <c r="J41" i="54" s="1"/>
  <c r="I235" i="54"/>
  <c r="J235" i="54" s="1"/>
  <c r="I171" i="54"/>
  <c r="J171" i="54" s="1"/>
  <c r="I23" i="54"/>
  <c r="J23" i="54" s="1"/>
  <c r="AQ10" i="54"/>
  <c r="I4" i="54"/>
  <c r="J4" i="54" s="1"/>
  <c r="I103" i="54"/>
  <c r="J103" i="54" s="1"/>
  <c r="I179" i="54"/>
  <c r="J179" i="54" s="1"/>
  <c r="I112" i="54"/>
  <c r="J112" i="54" s="1"/>
  <c r="I48" i="54"/>
  <c r="J48" i="54" s="1"/>
  <c r="I147" i="54"/>
  <c r="J147" i="54" s="1"/>
  <c r="I70" i="54"/>
  <c r="J70" i="54" s="1"/>
  <c r="I172" i="54"/>
  <c r="J172" i="54" s="1"/>
  <c r="I136" i="54"/>
  <c r="J136" i="54" s="1"/>
  <c r="I98" i="54"/>
  <c r="J98" i="54" s="1"/>
  <c r="I80" i="54"/>
  <c r="J80" i="54" s="1"/>
  <c r="I90" i="54"/>
  <c r="J90" i="54" s="1"/>
  <c r="I45" i="54"/>
  <c r="J45" i="54" s="1"/>
  <c r="I129" i="54"/>
  <c r="J129" i="54" s="1"/>
  <c r="I196" i="54"/>
  <c r="J196" i="54" s="1"/>
  <c r="I293" i="54"/>
  <c r="J293" i="54" s="1"/>
  <c r="I148" i="54"/>
  <c r="J148" i="54" s="1"/>
  <c r="I220" i="54"/>
  <c r="J220" i="54" s="1"/>
  <c r="I33" i="54"/>
  <c r="J33" i="54" s="1"/>
  <c r="I93" i="54"/>
  <c r="J93" i="54" s="1"/>
  <c r="I221" i="54"/>
  <c r="J221" i="54" s="1"/>
  <c r="I183" i="54"/>
  <c r="J183" i="54" s="1"/>
  <c r="I35" i="54"/>
  <c r="J35" i="54" s="1"/>
  <c r="I232" i="54"/>
  <c r="J232" i="54" s="1"/>
  <c r="I215" i="54"/>
  <c r="J215" i="54" s="1"/>
  <c r="I289" i="54"/>
  <c r="J289" i="54" s="1"/>
  <c r="I190" i="54"/>
  <c r="J190" i="54" s="1"/>
  <c r="I139" i="54"/>
  <c r="J139" i="54" s="1"/>
  <c r="I85" i="54"/>
  <c r="J85" i="54" s="1"/>
  <c r="I224" i="54"/>
  <c r="J224" i="54" s="1"/>
  <c r="I16" i="54"/>
  <c r="J16" i="54" s="1"/>
  <c r="I49" i="54"/>
  <c r="J49" i="54" s="1"/>
  <c r="I106" i="54"/>
  <c r="J106" i="54" s="1"/>
  <c r="I229" i="54"/>
  <c r="J229" i="54" s="1"/>
  <c r="I128" i="54"/>
  <c r="J128" i="54" s="1"/>
  <c r="I56" i="54"/>
  <c r="J56" i="54" s="1"/>
  <c r="I259" i="54"/>
  <c r="J259" i="54" s="1"/>
  <c r="I95" i="54"/>
  <c r="J95" i="54" s="1"/>
  <c r="I283" i="54"/>
  <c r="J283" i="54" s="1"/>
  <c r="I186" i="54"/>
  <c r="J186" i="54" s="1"/>
  <c r="I62" i="54"/>
  <c r="J62" i="54" s="1"/>
  <c r="I108" i="54"/>
  <c r="J108" i="54" s="1"/>
  <c r="I138" i="54"/>
  <c r="J138" i="54" s="1"/>
  <c r="I50" i="54"/>
  <c r="J50" i="54" s="1"/>
  <c r="I135" i="54"/>
  <c r="J135" i="54" s="1"/>
  <c r="I228" i="54"/>
  <c r="J228" i="54" s="1"/>
  <c r="I236" i="54"/>
  <c r="J236" i="54" s="1"/>
  <c r="I180" i="54"/>
  <c r="J180" i="54" s="1"/>
  <c r="I252" i="54"/>
  <c r="J252" i="54" s="1"/>
  <c r="I15" i="54"/>
  <c r="J15" i="54" s="1"/>
  <c r="I27" i="54"/>
  <c r="J27" i="54" s="1"/>
  <c r="I20" i="54"/>
  <c r="J20" i="54" s="1"/>
  <c r="I166" i="54"/>
  <c r="J166" i="54" s="1"/>
  <c r="I295" i="54"/>
  <c r="J295" i="54" s="1"/>
  <c r="I150" i="54"/>
  <c r="J150" i="54" s="1"/>
  <c r="I25" i="54"/>
  <c r="J25" i="54" s="1"/>
  <c r="I30" i="54"/>
  <c r="J30" i="54" s="1"/>
  <c r="I149" i="54"/>
  <c r="J149" i="54" s="1"/>
  <c r="I272" i="54"/>
  <c r="J272" i="54" s="1"/>
  <c r="I201" i="54"/>
  <c r="J201" i="54" s="1"/>
  <c r="I71" i="54"/>
  <c r="J71" i="54" s="1"/>
  <c r="I213" i="54"/>
  <c r="J213" i="54" s="1"/>
  <c r="I125" i="54"/>
  <c r="J125" i="54" s="1"/>
  <c r="I14" i="54"/>
  <c r="J14" i="54" s="1"/>
  <c r="I72" i="54"/>
  <c r="J72" i="54" s="1"/>
  <c r="I19" i="54"/>
  <c r="J19" i="54" s="1"/>
  <c r="I116" i="54"/>
  <c r="J116" i="54" s="1"/>
  <c r="I234" i="54"/>
  <c r="J234" i="54" s="1"/>
  <c r="I194" i="54"/>
  <c r="J194" i="54" s="1"/>
  <c r="I60" i="54"/>
  <c r="J60" i="54" s="1"/>
  <c r="I276" i="54"/>
  <c r="J276" i="54" s="1"/>
  <c r="I102" i="54"/>
  <c r="J102" i="54" s="1"/>
  <c r="I84" i="54"/>
  <c r="J84" i="54" s="1"/>
  <c r="I210" i="54"/>
  <c r="J210" i="54" s="1"/>
  <c r="I94" i="54"/>
  <c r="J94" i="54" s="1"/>
  <c r="I9" i="54"/>
  <c r="J9" i="54" s="1"/>
  <c r="I154" i="54"/>
  <c r="J154" i="54" s="1"/>
  <c r="I54" i="54"/>
  <c r="J54" i="54" s="1"/>
  <c r="I140" i="54"/>
  <c r="J140" i="54" s="1"/>
  <c r="I218" i="54"/>
  <c r="J218" i="54" s="1"/>
  <c r="I258" i="54"/>
  <c r="J258" i="54" s="1"/>
  <c r="I212" i="54"/>
  <c r="J212" i="54" s="1"/>
  <c r="I300" i="54"/>
  <c r="J300" i="54" s="1"/>
  <c r="I6" i="54"/>
  <c r="J6" i="54" s="1"/>
  <c r="I236" i="52"/>
  <c r="J236" i="52" s="1"/>
  <c r="I156" i="52"/>
  <c r="J156" i="52" s="1"/>
  <c r="I175" i="52"/>
  <c r="J175" i="52" s="1"/>
  <c r="I270" i="52"/>
  <c r="J270" i="52" s="1"/>
  <c r="I158" i="52"/>
  <c r="J158" i="52" s="1"/>
  <c r="I251" i="52"/>
  <c r="J251" i="52" s="1"/>
  <c r="I292" i="52"/>
  <c r="J292" i="52" s="1"/>
  <c r="I107" i="52"/>
  <c r="J107" i="52" s="1"/>
  <c r="I75" i="52"/>
  <c r="J75" i="52" s="1"/>
  <c r="I264" i="52"/>
  <c r="J264" i="52" s="1"/>
  <c r="I149" i="52"/>
  <c r="J149" i="52" s="1"/>
  <c r="I143" i="52"/>
  <c r="J143" i="52" s="1"/>
  <c r="I58" i="52"/>
  <c r="J58" i="52" s="1"/>
  <c r="I82" i="52"/>
  <c r="J82" i="52" s="1"/>
  <c r="I180" i="52"/>
  <c r="J180" i="52" s="1"/>
  <c r="I130" i="52"/>
  <c r="J130" i="52" s="1"/>
  <c r="I84" i="52"/>
  <c r="J84" i="52" s="1"/>
  <c r="I43" i="52"/>
  <c r="J43" i="52" s="1"/>
  <c r="I128" i="52"/>
  <c r="J128" i="52" s="1"/>
  <c r="I72" i="52"/>
  <c r="J72" i="52" s="1"/>
  <c r="I37" i="52"/>
  <c r="J37" i="52" s="1"/>
  <c r="I118" i="52"/>
  <c r="J118" i="52" s="1"/>
  <c r="I13" i="52"/>
  <c r="J13" i="52" s="1"/>
  <c r="I142" i="52"/>
  <c r="J142" i="52" s="1"/>
  <c r="I93" i="52"/>
  <c r="J93" i="52" s="1"/>
  <c r="I33" i="52"/>
  <c r="J33" i="52" s="1"/>
  <c r="I147" i="52"/>
  <c r="J147" i="52" s="1"/>
  <c r="I78" i="52"/>
  <c r="J78" i="52" s="1"/>
  <c r="I34" i="52"/>
  <c r="J34" i="52" s="1"/>
  <c r="I195" i="52"/>
  <c r="J195" i="52" s="1"/>
  <c r="I68" i="52"/>
  <c r="J68" i="52" s="1"/>
  <c r="I230" i="52"/>
  <c r="J230" i="52" s="1"/>
  <c r="I119" i="52"/>
  <c r="J119" i="52" s="1"/>
  <c r="I246" i="52"/>
  <c r="J246" i="52" s="1"/>
  <c r="I201" i="52"/>
  <c r="J201" i="52" s="1"/>
  <c r="I298" i="52"/>
  <c r="J298" i="52" s="1"/>
  <c r="I274" i="52"/>
  <c r="J274" i="52" s="1"/>
  <c r="I47" i="52"/>
  <c r="J47" i="52" s="1"/>
  <c r="I10" i="52"/>
  <c r="J10" i="52" s="1"/>
  <c r="I23" i="52"/>
  <c r="J23" i="52" s="1"/>
  <c r="I296" i="52"/>
  <c r="J296" i="52" s="1"/>
  <c r="I247" i="52"/>
  <c r="J247" i="52" s="1"/>
  <c r="I140" i="52"/>
  <c r="J140" i="52" s="1"/>
  <c r="I241" i="52"/>
  <c r="J241" i="52" s="1"/>
  <c r="I161" i="52"/>
  <c r="J161" i="52" s="1"/>
  <c r="I254" i="52"/>
  <c r="J254" i="52" s="1"/>
  <c r="I267" i="52"/>
  <c r="J267" i="52" s="1"/>
  <c r="I257" i="52"/>
  <c r="J257" i="52" s="1"/>
  <c r="I193" i="52"/>
  <c r="J193" i="52" s="1"/>
  <c r="I139" i="52"/>
  <c r="J139" i="52" s="1"/>
  <c r="I54" i="52"/>
  <c r="J54" i="52" s="1"/>
  <c r="I124" i="52"/>
  <c r="J124" i="52" s="1"/>
  <c r="I27" i="52"/>
  <c r="J27" i="52" s="1"/>
  <c r="I213" i="52"/>
  <c r="J213" i="52" s="1"/>
  <c r="I120" i="52"/>
  <c r="J120" i="52" s="1"/>
  <c r="I259" i="52"/>
  <c r="J259" i="52" s="1"/>
  <c r="I137" i="52"/>
  <c r="J137" i="52" s="1"/>
  <c r="I21" i="52"/>
  <c r="J21" i="52" s="1"/>
  <c r="I211" i="52"/>
  <c r="J211" i="52" s="1"/>
  <c r="I113" i="52"/>
  <c r="J113" i="52" s="1"/>
  <c r="I244" i="52"/>
  <c r="J244" i="52" s="1"/>
  <c r="I88" i="52"/>
  <c r="J88" i="52" s="1"/>
  <c r="I25" i="52"/>
  <c r="J25" i="52" s="1"/>
  <c r="I126" i="52"/>
  <c r="J126" i="52" s="1"/>
  <c r="I65" i="52"/>
  <c r="J65" i="52" s="1"/>
  <c r="I30" i="52"/>
  <c r="J30" i="52" s="1"/>
  <c r="I109" i="52"/>
  <c r="J109" i="52" s="1"/>
  <c r="I234" i="52"/>
  <c r="J234" i="52" s="1"/>
  <c r="I122" i="52"/>
  <c r="J122" i="52" s="1"/>
  <c r="I250" i="52"/>
  <c r="J250" i="52" s="1"/>
  <c r="I224" i="52"/>
  <c r="J224" i="52" s="1"/>
  <c r="I138" i="52"/>
  <c r="J138" i="52" s="1"/>
  <c r="I290" i="52"/>
  <c r="J290" i="52" s="1"/>
  <c r="I105" i="52"/>
  <c r="J105" i="52" s="1"/>
  <c r="I18" i="52"/>
  <c r="J18" i="52" s="1"/>
  <c r="I127" i="52"/>
  <c r="J127" i="52" s="1"/>
  <c r="I271" i="52"/>
  <c r="J271" i="52" s="1"/>
  <c r="I172" i="52"/>
  <c r="J172" i="52" s="1"/>
  <c r="I238" i="52"/>
  <c r="J238" i="52" s="1"/>
  <c r="I229" i="52"/>
  <c r="J229" i="52" s="1"/>
  <c r="I269" i="52"/>
  <c r="J269" i="52" s="1"/>
  <c r="I99" i="52"/>
  <c r="J99" i="52" s="1"/>
  <c r="I67" i="52"/>
  <c r="J67" i="52" s="1"/>
  <c r="I263" i="52"/>
  <c r="J263" i="52" s="1"/>
  <c r="I276" i="52"/>
  <c r="J276" i="52" s="1"/>
  <c r="I102" i="52"/>
  <c r="J102" i="52" s="1"/>
  <c r="I32" i="52"/>
  <c r="J32" i="52" s="1"/>
  <c r="I173" i="52"/>
  <c r="J173" i="52" s="1"/>
  <c r="I76" i="52"/>
  <c r="J76" i="52" s="1"/>
  <c r="I11" i="52"/>
  <c r="J11" i="52" s="1"/>
  <c r="I199" i="52"/>
  <c r="J199" i="52" s="1"/>
  <c r="I110" i="52"/>
  <c r="J110" i="52" s="1"/>
  <c r="I171" i="52"/>
  <c r="J171" i="52" s="1"/>
  <c r="I103" i="52"/>
  <c r="J103" i="52" s="1"/>
  <c r="I123" i="52"/>
  <c r="J123" i="52" s="1"/>
  <c r="I17" i="52"/>
  <c r="J17" i="52" s="1"/>
  <c r="I121" i="52"/>
  <c r="J121" i="52" s="1"/>
  <c r="I55" i="52"/>
  <c r="J55" i="52" s="1"/>
  <c r="I26" i="52"/>
  <c r="J26" i="52" s="1"/>
  <c r="I168" i="52"/>
  <c r="J168" i="52" s="1"/>
  <c r="I104" i="52"/>
  <c r="J104" i="52" s="1"/>
  <c r="I60" i="52"/>
  <c r="J60" i="52" s="1"/>
  <c r="I262" i="52"/>
  <c r="J262" i="52" s="1"/>
  <c r="I125" i="52"/>
  <c r="J125" i="52" s="1"/>
  <c r="I278" i="52"/>
  <c r="J278" i="52" s="1"/>
  <c r="I233" i="52"/>
  <c r="J233" i="52" s="1"/>
  <c r="I178" i="52"/>
  <c r="J178" i="52" s="1"/>
  <c r="I74" i="52"/>
  <c r="J74" i="52" s="1"/>
  <c r="I77" i="52"/>
  <c r="J77" i="52" s="1"/>
  <c r="I81" i="52"/>
  <c r="J81" i="52" s="1"/>
  <c r="I287" i="52"/>
  <c r="J287" i="52" s="1"/>
  <c r="I293" i="52"/>
  <c r="J293" i="52" s="1"/>
  <c r="I255" i="52"/>
  <c r="J255" i="52" s="1"/>
  <c r="I297" i="52"/>
  <c r="J297" i="52" s="1"/>
  <c r="I252" i="52"/>
  <c r="J252" i="52" s="1"/>
  <c r="I219" i="52"/>
  <c r="J219" i="52" s="1"/>
  <c r="I260" i="52"/>
  <c r="J260" i="52" s="1"/>
  <c r="I232" i="52"/>
  <c r="J232" i="52" s="1"/>
  <c r="I145" i="52"/>
  <c r="J145" i="52" s="1"/>
  <c r="I222" i="52"/>
  <c r="J222" i="52" s="1"/>
  <c r="I277" i="52"/>
  <c r="J277" i="52" s="1"/>
  <c r="I248" i="52"/>
  <c r="J248" i="52" s="1"/>
  <c r="I184" i="52"/>
  <c r="J184" i="52" s="1"/>
  <c r="I150" i="52"/>
  <c r="J150" i="52" s="1"/>
  <c r="I117" i="52"/>
  <c r="J117" i="52" s="1"/>
  <c r="I79" i="52"/>
  <c r="J79" i="52" s="1"/>
  <c r="I97" i="52"/>
  <c r="J97" i="52" s="1"/>
  <c r="I212" i="52"/>
  <c r="J212" i="52" s="1"/>
  <c r="I100" i="52"/>
  <c r="J100" i="52" s="1"/>
  <c r="I64" i="52"/>
  <c r="J64" i="52" s="1"/>
  <c r="I164" i="52"/>
  <c r="J164" i="52" s="1"/>
  <c r="I98" i="52"/>
  <c r="J98" i="52" s="1"/>
  <c r="I237" i="52"/>
  <c r="J237" i="52" s="1"/>
  <c r="I116" i="52"/>
  <c r="J116" i="52" s="1"/>
  <c r="I9" i="52"/>
  <c r="J9" i="52" s="1"/>
  <c r="I114" i="52"/>
  <c r="J114" i="52" s="1"/>
  <c r="I22" i="52"/>
  <c r="J22" i="52" s="1"/>
  <c r="I162" i="52"/>
  <c r="J162" i="52" s="1"/>
  <c r="I266" i="52"/>
  <c r="J266" i="52" s="1"/>
  <c r="I135" i="52"/>
  <c r="J135" i="52" s="1"/>
  <c r="I282" i="52"/>
  <c r="J282" i="52" s="1"/>
  <c r="I256" i="52"/>
  <c r="J256" i="52" s="1"/>
  <c r="I194" i="52"/>
  <c r="J194" i="52" s="1"/>
  <c r="I40" i="52"/>
  <c r="J40" i="52" s="1"/>
  <c r="I15" i="52"/>
  <c r="J15" i="52" s="1"/>
  <c r="I220" i="52"/>
  <c r="J220" i="52" s="1"/>
  <c r="I299" i="52"/>
  <c r="J299" i="52" s="1"/>
  <c r="I239" i="52"/>
  <c r="J239" i="52" s="1"/>
  <c r="I204" i="52"/>
  <c r="J204" i="52" s="1"/>
  <c r="I206" i="52"/>
  <c r="J206" i="52" s="1"/>
  <c r="I288" i="52"/>
  <c r="J288" i="52" s="1"/>
  <c r="I215" i="52"/>
  <c r="J215" i="52" s="1"/>
  <c r="I131" i="52"/>
  <c r="J131" i="52" s="1"/>
  <c r="I91" i="52"/>
  <c r="J91" i="52" s="1"/>
  <c r="I59" i="52"/>
  <c r="J59" i="52" s="1"/>
  <c r="I209" i="52"/>
  <c r="J209" i="52" s="1"/>
  <c r="I295" i="52"/>
  <c r="J295" i="52" s="1"/>
  <c r="I221" i="52"/>
  <c r="J221" i="52" s="1"/>
  <c r="I275" i="52"/>
  <c r="J275" i="52" s="1"/>
  <c r="I141" i="52"/>
  <c r="J141" i="52" s="1"/>
  <c r="I44" i="52"/>
  <c r="J44" i="52" s="1"/>
  <c r="I179" i="52"/>
  <c r="J179" i="52" s="1"/>
  <c r="I87" i="52"/>
  <c r="J87" i="52" s="1"/>
  <c r="I272" i="52"/>
  <c r="J272" i="52" s="1"/>
  <c r="I90" i="52"/>
  <c r="J90" i="52" s="1"/>
  <c r="I217" i="52"/>
  <c r="J217" i="52" s="1"/>
  <c r="I80" i="52"/>
  <c r="J80" i="52" s="1"/>
  <c r="I111" i="52"/>
  <c r="J111" i="52" s="1"/>
  <c r="I49" i="52"/>
  <c r="J49" i="52" s="1"/>
  <c r="I157" i="52"/>
  <c r="J157" i="52" s="1"/>
  <c r="I133" i="52"/>
  <c r="J133" i="52" s="1"/>
  <c r="I285" i="52"/>
  <c r="J285" i="52" s="1"/>
  <c r="I182" i="52"/>
  <c r="J182" i="52" s="1"/>
  <c r="I153" i="52"/>
  <c r="J153" i="52" s="1"/>
  <c r="I265" i="52"/>
  <c r="J265" i="52" s="1"/>
  <c r="I210" i="52"/>
  <c r="J210" i="52" s="1"/>
  <c r="I24" i="52"/>
  <c r="J24" i="52" s="1"/>
  <c r="I16" i="52"/>
  <c r="J16" i="52" s="1"/>
  <c r="I94" i="52"/>
  <c r="J94" i="52" s="1"/>
  <c r="I197" i="52"/>
  <c r="J197" i="52" s="1"/>
  <c r="I228" i="52"/>
  <c r="J228" i="52" s="1"/>
  <c r="I190" i="52"/>
  <c r="J190" i="52" s="1"/>
  <c r="I289" i="52"/>
  <c r="J289" i="52" s="1"/>
  <c r="I225" i="52"/>
  <c r="J225" i="52" s="1"/>
  <c r="I167" i="52"/>
  <c r="J167" i="52" s="1"/>
  <c r="I71" i="52"/>
  <c r="J71" i="52" s="1"/>
  <c r="I240" i="52"/>
  <c r="J240" i="52" s="1"/>
  <c r="I134" i="52"/>
  <c r="J134" i="52" s="1"/>
  <c r="I112" i="52"/>
  <c r="J112" i="52" s="1"/>
  <c r="I61" i="52"/>
  <c r="J61" i="52" s="1"/>
  <c r="I28" i="52"/>
  <c r="J28" i="52" s="1"/>
  <c r="I160" i="52"/>
  <c r="J160" i="52" s="1"/>
  <c r="I69" i="52"/>
  <c r="J69" i="52" s="1"/>
  <c r="I205" i="52"/>
  <c r="J205" i="52" s="1"/>
  <c r="I92" i="52"/>
  <c r="J92" i="52" s="1"/>
  <c r="I51" i="52"/>
  <c r="J51" i="52" s="1"/>
  <c r="I95" i="52"/>
  <c r="J95" i="52" s="1"/>
  <c r="I148" i="52"/>
  <c r="J148" i="52" s="1"/>
  <c r="I70" i="52"/>
  <c r="J70" i="52" s="1"/>
  <c r="I203" i="52"/>
  <c r="J203" i="52" s="1"/>
  <c r="I108" i="52"/>
  <c r="J108" i="52" s="1"/>
  <c r="I243" i="52"/>
  <c r="J243" i="52" s="1"/>
  <c r="I106" i="52"/>
  <c r="J106" i="52" s="1"/>
  <c r="I46" i="52"/>
  <c r="J46" i="52" s="1"/>
  <c r="I249" i="52"/>
  <c r="J249" i="52" s="1"/>
  <c r="I146" i="52"/>
  <c r="J146" i="52" s="1"/>
  <c r="I96" i="52"/>
  <c r="J96" i="52" s="1"/>
  <c r="I163" i="52"/>
  <c r="J163" i="52" s="1"/>
  <c r="I281" i="52"/>
  <c r="J281" i="52" s="1"/>
  <c r="I186" i="52"/>
  <c r="J186" i="52" s="1"/>
  <c r="I169" i="52"/>
  <c r="J169" i="52" s="1"/>
  <c r="I154" i="52"/>
  <c r="J154" i="52" s="1"/>
  <c r="I226" i="52"/>
  <c r="J226" i="52" s="1"/>
  <c r="I53" i="52"/>
  <c r="J53" i="52" s="1"/>
  <c r="I174" i="52"/>
  <c r="J174" i="52" s="1"/>
  <c r="I279" i="52"/>
  <c r="J279" i="52" s="1"/>
  <c r="I187" i="52"/>
  <c r="J187" i="52" s="1"/>
  <c r="I115" i="52"/>
  <c r="J115" i="52" s="1"/>
  <c r="I83" i="52"/>
  <c r="J83" i="52" s="1"/>
  <c r="I273" i="52"/>
  <c r="J273" i="52" s="1"/>
  <c r="I200" i="52"/>
  <c r="J200" i="52" s="1"/>
  <c r="I291" i="52"/>
  <c r="J291" i="52" s="1"/>
  <c r="I159" i="52"/>
  <c r="J159" i="52" s="1"/>
  <c r="I181" i="52"/>
  <c r="J181" i="52" s="1"/>
  <c r="I66" i="52"/>
  <c r="J66" i="52" s="1"/>
  <c r="I35" i="52"/>
  <c r="J35" i="52" s="1"/>
  <c r="I227" i="52"/>
  <c r="J227" i="52" s="1"/>
  <c r="I132" i="52"/>
  <c r="J132" i="52" s="1"/>
  <c r="I56" i="52"/>
  <c r="J56" i="52" s="1"/>
  <c r="I12" i="52"/>
  <c r="J12" i="52" s="1"/>
  <c r="I155" i="52"/>
  <c r="J155" i="52" s="1"/>
  <c r="I36" i="52"/>
  <c r="J36" i="52" s="1"/>
  <c r="I185" i="52"/>
  <c r="J185" i="52" s="1"/>
  <c r="I85" i="52"/>
  <c r="J85" i="52" s="1"/>
  <c r="I245" i="52"/>
  <c r="J245" i="52" s="1"/>
  <c r="I45" i="52"/>
  <c r="J45" i="52" s="1"/>
  <c r="I176" i="52"/>
  <c r="J176" i="52" s="1"/>
  <c r="I52" i="52"/>
  <c r="J52" i="52" s="1"/>
  <c r="I189" i="52"/>
  <c r="J189" i="52" s="1"/>
  <c r="I101" i="52"/>
  <c r="J101" i="52" s="1"/>
  <c r="I42" i="52"/>
  <c r="J42" i="52" s="1"/>
  <c r="I235" i="52"/>
  <c r="J235" i="52" s="1"/>
  <c r="I136" i="52"/>
  <c r="J136" i="52" s="1"/>
  <c r="I198" i="52"/>
  <c r="J198" i="52" s="1"/>
  <c r="I129" i="52"/>
  <c r="J129" i="52" s="1"/>
  <c r="I214" i="52"/>
  <c r="J214" i="52" s="1"/>
  <c r="I166" i="52"/>
  <c r="J166" i="52" s="1"/>
  <c r="I170" i="52"/>
  <c r="J170" i="52" s="1"/>
  <c r="I242" i="52"/>
  <c r="J242" i="52" s="1"/>
  <c r="I39" i="52"/>
  <c r="J39" i="52" s="1"/>
  <c r="I57" i="52"/>
  <c r="J57" i="52" s="1"/>
  <c r="I300" i="52"/>
  <c r="J300" i="52" s="1"/>
  <c r="I191" i="52"/>
  <c r="J191" i="52" s="1"/>
  <c r="I188" i="52"/>
  <c r="J188" i="52" s="1"/>
  <c r="I261" i="52"/>
  <c r="J261" i="52" s="1"/>
  <c r="I183" i="52"/>
  <c r="J183" i="52" s="1"/>
  <c r="I196" i="52"/>
  <c r="J196" i="52" s="1"/>
  <c r="I177" i="52"/>
  <c r="J177" i="52" s="1"/>
  <c r="I286" i="52"/>
  <c r="J286" i="52" s="1"/>
  <c r="I165" i="52"/>
  <c r="J165" i="52" s="1"/>
  <c r="I280" i="52"/>
  <c r="J280" i="52" s="1"/>
  <c r="I216" i="52"/>
  <c r="J216" i="52" s="1"/>
  <c r="I151" i="52"/>
  <c r="J151" i="52" s="1"/>
  <c r="I63" i="52"/>
  <c r="J63" i="52" s="1"/>
  <c r="I19" i="52"/>
  <c r="J19" i="52" s="1"/>
  <c r="I89" i="52"/>
  <c r="J89" i="52" s="1"/>
  <c r="I253" i="52"/>
  <c r="J253" i="52" s="1"/>
  <c r="I144" i="52"/>
  <c r="J144" i="52" s="1"/>
  <c r="I20" i="52"/>
  <c r="J20" i="52" s="1"/>
  <c r="I48" i="52"/>
  <c r="J48" i="52" s="1"/>
  <c r="I62" i="52"/>
  <c r="J62" i="52" s="1"/>
  <c r="I231" i="52"/>
  <c r="J231" i="52" s="1"/>
  <c r="I29" i="52"/>
  <c r="J29" i="52" s="1"/>
  <c r="I152" i="52"/>
  <c r="J152" i="52" s="1"/>
  <c r="I41" i="52"/>
  <c r="J41" i="52" s="1"/>
  <c r="I86" i="52"/>
  <c r="J86" i="52" s="1"/>
  <c r="I38" i="52"/>
  <c r="J38" i="52" s="1"/>
  <c r="I208" i="52"/>
  <c r="J208" i="52" s="1"/>
  <c r="I73" i="52"/>
  <c r="J73" i="52" s="1"/>
  <c r="I202" i="52"/>
  <c r="J202" i="52" s="1"/>
  <c r="I50" i="52"/>
  <c r="J50" i="52" s="1"/>
  <c r="I218" i="52"/>
  <c r="J218" i="52" s="1"/>
  <c r="I192" i="52"/>
  <c r="J192" i="52" s="1"/>
  <c r="I294" i="52"/>
  <c r="J294" i="52" s="1"/>
  <c r="I258" i="52"/>
  <c r="J258" i="52" s="1"/>
  <c r="I14" i="52"/>
  <c r="J14" i="52" s="1"/>
  <c r="I31" i="52"/>
  <c r="J31" i="52" s="1"/>
  <c r="I284" i="51"/>
  <c r="J284" i="51" s="1"/>
  <c r="I220" i="51"/>
  <c r="J220" i="51" s="1"/>
  <c r="I279" i="51"/>
  <c r="J279" i="51" s="1"/>
  <c r="I297" i="51"/>
  <c r="J297" i="51" s="1"/>
  <c r="I273" i="51"/>
  <c r="J273" i="51" s="1"/>
  <c r="I207" i="51"/>
  <c r="J207" i="51" s="1"/>
  <c r="I217" i="51"/>
  <c r="J217" i="51" s="1"/>
  <c r="I212" i="51"/>
  <c r="J212" i="51" s="1"/>
  <c r="I268" i="51"/>
  <c r="J268" i="51" s="1"/>
  <c r="I175" i="51"/>
  <c r="J175" i="51" s="1"/>
  <c r="I156" i="51"/>
  <c r="J156" i="51" s="1"/>
  <c r="I260" i="51"/>
  <c r="J260" i="51" s="1"/>
  <c r="I196" i="51"/>
  <c r="J196" i="51" s="1"/>
  <c r="I257" i="51"/>
  <c r="J257" i="51" s="1"/>
  <c r="I164" i="51"/>
  <c r="J164" i="51" s="1"/>
  <c r="I122" i="51"/>
  <c r="J122" i="51" s="1"/>
  <c r="I84" i="51"/>
  <c r="J84" i="51" s="1"/>
  <c r="I51" i="51"/>
  <c r="J51" i="51" s="1"/>
  <c r="I272" i="51"/>
  <c r="J272" i="51" s="1"/>
  <c r="I152" i="51"/>
  <c r="J152" i="51" s="1"/>
  <c r="I79" i="51"/>
  <c r="J79" i="51" s="1"/>
  <c r="I293" i="51"/>
  <c r="J293" i="51" s="1"/>
  <c r="I298" i="51"/>
  <c r="J298" i="51" s="1"/>
  <c r="I282" i="51"/>
  <c r="J282" i="51" s="1"/>
  <c r="I219" i="51"/>
  <c r="J219" i="51" s="1"/>
  <c r="I140" i="51"/>
  <c r="J140" i="51" s="1"/>
  <c r="I144" i="51"/>
  <c r="J144" i="51" s="1"/>
  <c r="I97" i="51"/>
  <c r="J97" i="51" s="1"/>
  <c r="I80" i="51"/>
  <c r="J80" i="51" s="1"/>
  <c r="I253" i="51"/>
  <c r="J253" i="51" s="1"/>
  <c r="I199" i="51"/>
  <c r="J199" i="51" s="1"/>
  <c r="I138" i="51"/>
  <c r="J138" i="51" s="1"/>
  <c r="I100" i="51"/>
  <c r="J100" i="51" s="1"/>
  <c r="I143" i="51"/>
  <c r="J143" i="51" s="1"/>
  <c r="I45" i="51"/>
  <c r="J45" i="51" s="1"/>
  <c r="I27" i="51"/>
  <c r="J27" i="51" s="1"/>
  <c r="I157" i="51"/>
  <c r="J157" i="51" s="1"/>
  <c r="I37" i="51"/>
  <c r="J37" i="51" s="1"/>
  <c r="I286" i="51"/>
  <c r="J286" i="51" s="1"/>
  <c r="I110" i="51"/>
  <c r="J110" i="51" s="1"/>
  <c r="I8" i="51"/>
  <c r="J8" i="51" s="1"/>
  <c r="I12" i="51"/>
  <c r="J12" i="51" s="1"/>
  <c r="I289" i="51"/>
  <c r="J289" i="51" s="1"/>
  <c r="I188" i="51"/>
  <c r="J188" i="51" s="1"/>
  <c r="I281" i="51"/>
  <c r="J281" i="51" s="1"/>
  <c r="I223" i="51"/>
  <c r="J223" i="51" s="1"/>
  <c r="I240" i="51"/>
  <c r="J240" i="51" s="1"/>
  <c r="I186" i="51"/>
  <c r="J186" i="51" s="1"/>
  <c r="I116" i="51"/>
  <c r="J116" i="51" s="1"/>
  <c r="I43" i="51"/>
  <c r="J43" i="51" s="1"/>
  <c r="I205" i="51"/>
  <c r="J205" i="51" s="1"/>
  <c r="I137" i="51"/>
  <c r="J137" i="51" s="1"/>
  <c r="I73" i="51"/>
  <c r="J73" i="51" s="1"/>
  <c r="I162" i="51"/>
  <c r="J162" i="51" s="1"/>
  <c r="I178" i="51"/>
  <c r="J178" i="51" s="1"/>
  <c r="I215" i="51"/>
  <c r="J215" i="51" s="1"/>
  <c r="I61" i="51"/>
  <c r="J61" i="51" s="1"/>
  <c r="I254" i="51"/>
  <c r="J254" i="51" s="1"/>
  <c r="I135" i="51"/>
  <c r="J135" i="51" s="1"/>
  <c r="I94" i="51"/>
  <c r="J94" i="51" s="1"/>
  <c r="I48" i="51"/>
  <c r="J48" i="51" s="1"/>
  <c r="I68" i="51"/>
  <c r="J68" i="51" s="1"/>
  <c r="I248" i="51"/>
  <c r="J248" i="51" s="1"/>
  <c r="I132" i="51"/>
  <c r="J132" i="51" s="1"/>
  <c r="I275" i="51"/>
  <c r="J275" i="51" s="1"/>
  <c r="I213" i="51"/>
  <c r="J213" i="51" s="1"/>
  <c r="I141" i="51"/>
  <c r="J141" i="51" s="1"/>
  <c r="I89" i="51"/>
  <c r="J89" i="51" s="1"/>
  <c r="I41" i="51"/>
  <c r="J41" i="51" s="1"/>
  <c r="I202" i="51"/>
  <c r="J202" i="51" s="1"/>
  <c r="I153" i="51"/>
  <c r="J153" i="51" s="1"/>
  <c r="I221" i="51"/>
  <c r="J221" i="51" s="1"/>
  <c r="I168" i="51"/>
  <c r="J168" i="51" s="1"/>
  <c r="I101" i="51"/>
  <c r="J101" i="51" s="1"/>
  <c r="I7" i="51"/>
  <c r="J7" i="51" s="1"/>
  <c r="I276" i="51"/>
  <c r="J276" i="51" s="1"/>
  <c r="I252" i="51"/>
  <c r="J252" i="51" s="1"/>
  <c r="I239" i="51"/>
  <c r="J239" i="51" s="1"/>
  <c r="I295" i="51"/>
  <c r="J295" i="51" s="1"/>
  <c r="I169" i="51"/>
  <c r="J169" i="51" s="1"/>
  <c r="I244" i="51"/>
  <c r="J244" i="51" s="1"/>
  <c r="I180" i="51"/>
  <c r="J180" i="51" s="1"/>
  <c r="I299" i="51"/>
  <c r="J299" i="51" s="1"/>
  <c r="I176" i="51"/>
  <c r="J176" i="51" s="1"/>
  <c r="I266" i="51"/>
  <c r="J266" i="51" s="1"/>
  <c r="I190" i="51"/>
  <c r="J190" i="51" s="1"/>
  <c r="I134" i="51"/>
  <c r="J134" i="51" s="1"/>
  <c r="I70" i="51"/>
  <c r="J70" i="51" s="1"/>
  <c r="I194" i="51"/>
  <c r="J194" i="51" s="1"/>
  <c r="I210" i="51"/>
  <c r="J210" i="51" s="1"/>
  <c r="I283" i="51"/>
  <c r="J283" i="51" s="1"/>
  <c r="I189" i="51"/>
  <c r="J189" i="51" s="1"/>
  <c r="I85" i="51"/>
  <c r="J85" i="51" s="1"/>
  <c r="I44" i="51"/>
  <c r="J44" i="51" s="1"/>
  <c r="I243" i="51"/>
  <c r="J243" i="51" s="1"/>
  <c r="I184" i="51"/>
  <c r="J184" i="51" s="1"/>
  <c r="I269" i="51"/>
  <c r="J269" i="51" s="1"/>
  <c r="I198" i="51"/>
  <c r="J198" i="51" s="1"/>
  <c r="I127" i="51"/>
  <c r="J127" i="51" s="1"/>
  <c r="I86" i="51"/>
  <c r="J86" i="51" s="1"/>
  <c r="I31" i="51"/>
  <c r="J31" i="51" s="1"/>
  <c r="I192" i="51"/>
  <c r="J192" i="51" s="1"/>
  <c r="I146" i="51"/>
  <c r="J146" i="51" s="1"/>
  <c r="I26" i="51"/>
  <c r="J26" i="51" s="1"/>
  <c r="I267" i="51"/>
  <c r="J267" i="51" s="1"/>
  <c r="I206" i="51"/>
  <c r="J206" i="51" s="1"/>
  <c r="I160" i="51"/>
  <c r="J160" i="51" s="1"/>
  <c r="I87" i="51"/>
  <c r="J87" i="51" s="1"/>
  <c r="I16" i="51"/>
  <c r="J16" i="51" s="1"/>
  <c r="I96" i="51"/>
  <c r="J96" i="51" s="1"/>
  <c r="I300" i="51"/>
  <c r="J300" i="51" s="1"/>
  <c r="I236" i="51"/>
  <c r="J236" i="51" s="1"/>
  <c r="I172" i="51"/>
  <c r="J172" i="51" s="1"/>
  <c r="I148" i="51"/>
  <c r="J148" i="51" s="1"/>
  <c r="I249" i="51"/>
  <c r="J249" i="51" s="1"/>
  <c r="I287" i="51"/>
  <c r="J287" i="51" s="1"/>
  <c r="I265" i="51"/>
  <c r="J265" i="51" s="1"/>
  <c r="I235" i="51"/>
  <c r="J235" i="51" s="1"/>
  <c r="I21" i="51"/>
  <c r="J21" i="51" s="1"/>
  <c r="I261" i="51"/>
  <c r="J261" i="51" s="1"/>
  <c r="I125" i="51"/>
  <c r="J125" i="51" s="1"/>
  <c r="I58" i="51"/>
  <c r="J58" i="51" s="1"/>
  <c r="I226" i="51"/>
  <c r="J226" i="51" s="1"/>
  <c r="I242" i="51"/>
  <c r="J242" i="51" s="1"/>
  <c r="I200" i="51"/>
  <c r="J200" i="51" s="1"/>
  <c r="I91" i="51"/>
  <c r="J91" i="51" s="1"/>
  <c r="I34" i="51"/>
  <c r="J34" i="51" s="1"/>
  <c r="I238" i="51"/>
  <c r="J238" i="51" s="1"/>
  <c r="I174" i="51"/>
  <c r="J174" i="51" s="1"/>
  <c r="I129" i="51"/>
  <c r="J129" i="51" s="1"/>
  <c r="I71" i="51"/>
  <c r="J71" i="51" s="1"/>
  <c r="I40" i="51"/>
  <c r="J40" i="51" s="1"/>
  <c r="I179" i="51"/>
  <c r="J179" i="51" s="1"/>
  <c r="I193" i="51"/>
  <c r="J193" i="51" s="1"/>
  <c r="I77" i="51"/>
  <c r="J77" i="51" s="1"/>
  <c r="I72" i="51"/>
  <c r="J72" i="51" s="1"/>
  <c r="I263" i="51"/>
  <c r="J263" i="51" s="1"/>
  <c r="I107" i="51"/>
  <c r="J107" i="51" s="1"/>
  <c r="I75" i="51"/>
  <c r="J75" i="51" s="1"/>
  <c r="I18" i="51"/>
  <c r="J18" i="51" s="1"/>
  <c r="I262" i="51"/>
  <c r="J262" i="51" s="1"/>
  <c r="I142" i="51"/>
  <c r="J142" i="51" s="1"/>
  <c r="I81" i="51"/>
  <c r="J81" i="51" s="1"/>
  <c r="I50" i="51"/>
  <c r="J50" i="51" s="1"/>
  <c r="I38" i="51"/>
  <c r="J38" i="51" s="1"/>
  <c r="I149" i="51"/>
  <c r="J149" i="51" s="1"/>
  <c r="I231" i="51"/>
  <c r="J231" i="51" s="1"/>
  <c r="I13" i="51"/>
  <c r="J13" i="51" s="1"/>
  <c r="I245" i="51"/>
  <c r="J245" i="51" s="1"/>
  <c r="I181" i="51"/>
  <c r="J181" i="51" s="1"/>
  <c r="I111" i="51"/>
  <c r="J111" i="51" s="1"/>
  <c r="I55" i="51"/>
  <c r="J55" i="51" s="1"/>
  <c r="I258" i="51"/>
  <c r="J258" i="51" s="1"/>
  <c r="I274" i="51"/>
  <c r="J274" i="51" s="1"/>
  <c r="I195" i="51"/>
  <c r="J195" i="51" s="1"/>
  <c r="I123" i="51"/>
  <c r="J123" i="51" s="1"/>
  <c r="I88" i="51"/>
  <c r="J88" i="51" s="1"/>
  <c r="I29" i="51"/>
  <c r="J29" i="51" s="1"/>
  <c r="I170" i="51"/>
  <c r="J170" i="51" s="1"/>
  <c r="I126" i="51"/>
  <c r="J126" i="51" s="1"/>
  <c r="I35" i="51"/>
  <c r="J35" i="51" s="1"/>
  <c r="I56" i="51"/>
  <c r="J56" i="51" s="1"/>
  <c r="I218" i="51"/>
  <c r="J218" i="51" s="1"/>
  <c r="I83" i="51"/>
  <c r="J83" i="51" s="1"/>
  <c r="I121" i="51"/>
  <c r="J121" i="51" s="1"/>
  <c r="I63" i="51"/>
  <c r="J63" i="51" s="1"/>
  <c r="I66" i="51"/>
  <c r="J66" i="51" s="1"/>
  <c r="I247" i="51"/>
  <c r="J247" i="51" s="1"/>
  <c r="I187" i="51"/>
  <c r="J187" i="51" s="1"/>
  <c r="I139" i="51"/>
  <c r="J139" i="51" s="1"/>
  <c r="I104" i="51"/>
  <c r="J104" i="51" s="1"/>
  <c r="I53" i="51"/>
  <c r="J53" i="51" s="1"/>
  <c r="I10" i="51"/>
  <c r="J10" i="51" s="1"/>
  <c r="I251" i="51"/>
  <c r="J251" i="51" s="1"/>
  <c r="I197" i="51"/>
  <c r="J197" i="51" s="1"/>
  <c r="I133" i="51"/>
  <c r="J133" i="51" s="1"/>
  <c r="I69" i="51"/>
  <c r="J69" i="51" s="1"/>
  <c r="I46" i="51"/>
  <c r="J46" i="51" s="1"/>
  <c r="I64" i="51"/>
  <c r="J64" i="51" s="1"/>
  <c r="I17" i="51"/>
  <c r="J17" i="51" s="1"/>
  <c r="I28" i="51"/>
  <c r="J28" i="51" s="1"/>
  <c r="I67" i="51"/>
  <c r="J67" i="51" s="1"/>
  <c r="I22" i="51"/>
  <c r="J22" i="51" s="1"/>
  <c r="I230" i="51"/>
  <c r="J230" i="51" s="1"/>
  <c r="I171" i="51"/>
  <c r="J171" i="51" s="1"/>
  <c r="I105" i="51"/>
  <c r="J105" i="51" s="1"/>
  <c r="I47" i="51"/>
  <c r="J47" i="51" s="1"/>
  <c r="I290" i="51"/>
  <c r="J290" i="51" s="1"/>
  <c r="I250" i="51"/>
  <c r="J250" i="51" s="1"/>
  <c r="I234" i="51"/>
  <c r="J234" i="51" s="1"/>
  <c r="I120" i="51"/>
  <c r="J120" i="51" s="1"/>
  <c r="I82" i="51"/>
  <c r="J82" i="51" s="1"/>
  <c r="I229" i="51"/>
  <c r="J229" i="51" s="1"/>
  <c r="I166" i="51"/>
  <c r="J166" i="51" s="1"/>
  <c r="I117" i="51"/>
  <c r="J117" i="51" s="1"/>
  <c r="I65" i="51"/>
  <c r="J65" i="51" s="1"/>
  <c r="I23" i="51"/>
  <c r="J23" i="51" s="1"/>
  <c r="I30" i="51"/>
  <c r="J30" i="51" s="1"/>
  <c r="I208" i="51"/>
  <c r="J208" i="51" s="1"/>
  <c r="I161" i="51"/>
  <c r="J161" i="51" s="1"/>
  <c r="I115" i="51"/>
  <c r="J115" i="51" s="1"/>
  <c r="I74" i="51"/>
  <c r="J74" i="51" s="1"/>
  <c r="I118" i="51"/>
  <c r="J118" i="51" s="1"/>
  <c r="I59" i="51"/>
  <c r="J59" i="51" s="1"/>
  <c r="I60" i="51"/>
  <c r="J60" i="51" s="1"/>
  <c r="I183" i="51"/>
  <c r="J183" i="51" s="1"/>
  <c r="I136" i="51"/>
  <c r="J136" i="51" s="1"/>
  <c r="I98" i="51"/>
  <c r="J98" i="51" s="1"/>
  <c r="I78" i="51"/>
  <c r="J78" i="51" s="1"/>
  <c r="I246" i="51"/>
  <c r="J246" i="51" s="1"/>
  <c r="I182" i="51"/>
  <c r="J182" i="51" s="1"/>
  <c r="I119" i="51"/>
  <c r="J119" i="51" s="1"/>
  <c r="I32" i="51"/>
  <c r="J32" i="51" s="1"/>
  <c r="I25" i="51"/>
  <c r="J25" i="51" s="1"/>
  <c r="I277" i="51"/>
  <c r="J277" i="51" s="1"/>
  <c r="I9" i="51"/>
  <c r="J9" i="51" s="1"/>
  <c r="I42" i="51"/>
  <c r="J42" i="51" s="1"/>
  <c r="I233" i="51"/>
  <c r="J233" i="51" s="1"/>
  <c r="I271" i="51"/>
  <c r="J271" i="51" s="1"/>
  <c r="I216" i="51"/>
  <c r="J216" i="51" s="1"/>
  <c r="I99" i="51"/>
  <c r="J99" i="51" s="1"/>
  <c r="I291" i="51"/>
  <c r="J291" i="51" s="1"/>
  <c r="I225" i="51"/>
  <c r="J225" i="51" s="1"/>
  <c r="I163" i="51"/>
  <c r="J163" i="51" s="1"/>
  <c r="I102" i="51"/>
  <c r="J102" i="51" s="1"/>
  <c r="I39" i="51"/>
  <c r="J39" i="51" s="1"/>
  <c r="I280" i="51"/>
  <c r="J280" i="51" s="1"/>
  <c r="I264" i="51"/>
  <c r="J264" i="51" s="1"/>
  <c r="I224" i="51"/>
  <c r="J224" i="51" s="1"/>
  <c r="I167" i="51"/>
  <c r="J167" i="51" s="1"/>
  <c r="I114" i="51"/>
  <c r="J114" i="51" s="1"/>
  <c r="I76" i="51"/>
  <c r="J76" i="51" s="1"/>
  <c r="I214" i="51"/>
  <c r="J214" i="51" s="1"/>
  <c r="I158" i="51"/>
  <c r="J158" i="51" s="1"/>
  <c r="I103" i="51"/>
  <c r="J103" i="51" s="1"/>
  <c r="I62" i="51"/>
  <c r="J62" i="51" s="1"/>
  <c r="I15" i="51"/>
  <c r="J15" i="51" s="1"/>
  <c r="I296" i="51"/>
  <c r="J296" i="51" s="1"/>
  <c r="I154" i="51"/>
  <c r="J154" i="51" s="1"/>
  <c r="I112" i="51"/>
  <c r="J112" i="51" s="1"/>
  <c r="I36" i="51"/>
  <c r="J36" i="51" s="1"/>
  <c r="I237" i="51"/>
  <c r="J237" i="51" s="1"/>
  <c r="I165" i="51"/>
  <c r="J165" i="51" s="1"/>
  <c r="I109" i="51"/>
  <c r="J109" i="51" s="1"/>
  <c r="I232" i="51"/>
  <c r="J232" i="51" s="1"/>
  <c r="I173" i="51"/>
  <c r="J173" i="51" s="1"/>
  <c r="I130" i="51"/>
  <c r="J130" i="51" s="1"/>
  <c r="I92" i="51"/>
  <c r="J92" i="51" s="1"/>
  <c r="I54" i="51"/>
  <c r="J54" i="51" s="1"/>
  <c r="I241" i="51"/>
  <c r="J241" i="51" s="1"/>
  <c r="I177" i="51"/>
  <c r="J177" i="51" s="1"/>
  <c r="I11" i="51"/>
  <c r="J11" i="51" s="1"/>
  <c r="I20" i="51"/>
  <c r="J20" i="51" s="1"/>
  <c r="I128" i="51"/>
  <c r="J128" i="51" s="1"/>
  <c r="I145" i="51"/>
  <c r="J145" i="51" s="1"/>
  <c r="I255" i="51"/>
  <c r="J255" i="51" s="1"/>
  <c r="I204" i="51"/>
  <c r="J204" i="51" s="1"/>
  <c r="I185" i="51"/>
  <c r="J185" i="51" s="1"/>
  <c r="I201" i="51"/>
  <c r="J201" i="51" s="1"/>
  <c r="I256" i="51"/>
  <c r="J256" i="51" s="1"/>
  <c r="I211" i="51"/>
  <c r="J211" i="51" s="1"/>
  <c r="I131" i="51"/>
  <c r="J131" i="51" s="1"/>
  <c r="I90" i="51"/>
  <c r="J90" i="51" s="1"/>
  <c r="I33" i="51"/>
  <c r="J33" i="51" s="1"/>
  <c r="I159" i="51"/>
  <c r="J159" i="51" s="1"/>
  <c r="I93" i="51"/>
  <c r="J93" i="51" s="1"/>
  <c r="I14" i="51"/>
  <c r="J14" i="51" s="1"/>
  <c r="I294" i="51"/>
  <c r="J294" i="51" s="1"/>
  <c r="I278" i="51"/>
  <c r="J278" i="51" s="1"/>
  <c r="I155" i="51"/>
  <c r="J155" i="51" s="1"/>
  <c r="I108" i="51"/>
  <c r="J108" i="51" s="1"/>
  <c r="I270" i="51"/>
  <c r="J270" i="51" s="1"/>
  <c r="I209" i="51"/>
  <c r="J209" i="51" s="1"/>
  <c r="I151" i="51"/>
  <c r="J151" i="51" s="1"/>
  <c r="I52" i="51"/>
  <c r="J52" i="51" s="1"/>
  <c r="I259" i="51"/>
  <c r="J259" i="51" s="1"/>
  <c r="I203" i="51"/>
  <c r="J203" i="51" s="1"/>
  <c r="I147" i="51"/>
  <c r="J147" i="51" s="1"/>
  <c r="I106" i="51"/>
  <c r="J106" i="51" s="1"/>
  <c r="I288" i="51"/>
  <c r="J288" i="51" s="1"/>
  <c r="I222" i="51"/>
  <c r="J222" i="51" s="1"/>
  <c r="I150" i="51"/>
  <c r="J150" i="51" s="1"/>
  <c r="I95" i="51"/>
  <c r="J95" i="51" s="1"/>
  <c r="I49" i="51"/>
  <c r="J49" i="51" s="1"/>
  <c r="I57" i="51"/>
  <c r="J57" i="51" s="1"/>
  <c r="I227" i="51"/>
  <c r="J227" i="51" s="1"/>
  <c r="I124" i="51"/>
  <c r="J124" i="51" s="1"/>
  <c r="I19" i="51"/>
  <c r="J19" i="51" s="1"/>
  <c r="I113" i="51"/>
  <c r="J113" i="51" s="1"/>
  <c r="I24" i="51"/>
  <c r="J24" i="51" s="1"/>
  <c r="I296" i="50"/>
  <c r="J296" i="50" s="1"/>
  <c r="I91" i="50"/>
  <c r="J91" i="50" s="1"/>
  <c r="I291" i="50"/>
  <c r="J291" i="50" s="1"/>
  <c r="I280" i="50"/>
  <c r="J280" i="50" s="1"/>
  <c r="I287" i="50"/>
  <c r="J287" i="50" s="1"/>
  <c r="I273" i="50"/>
  <c r="J273" i="50" s="1"/>
  <c r="I279" i="50"/>
  <c r="J279" i="50" s="1"/>
  <c r="I232" i="50"/>
  <c r="J232" i="50" s="1"/>
  <c r="I231" i="50"/>
  <c r="J231" i="50" s="1"/>
  <c r="I99" i="50"/>
  <c r="J99" i="50" s="1"/>
  <c r="I285" i="50"/>
  <c r="J285" i="50" s="1"/>
  <c r="I297" i="50"/>
  <c r="J297" i="50" s="1"/>
  <c r="I228" i="50"/>
  <c r="J228" i="50" s="1"/>
  <c r="I168" i="50"/>
  <c r="J168" i="50" s="1"/>
  <c r="I249" i="50"/>
  <c r="J249" i="50" s="1"/>
  <c r="I245" i="50"/>
  <c r="J245" i="50" s="1"/>
  <c r="I230" i="50"/>
  <c r="J230" i="50" s="1"/>
  <c r="I251" i="50"/>
  <c r="J251" i="50" s="1"/>
  <c r="I243" i="50"/>
  <c r="J243" i="50" s="1"/>
  <c r="I47" i="50"/>
  <c r="J47" i="50" s="1"/>
  <c r="I175" i="50"/>
  <c r="J175" i="50" s="1"/>
  <c r="I27" i="50"/>
  <c r="J27" i="50" s="1"/>
  <c r="I190" i="50"/>
  <c r="J190" i="50" s="1"/>
  <c r="I139" i="50"/>
  <c r="J139" i="50" s="1"/>
  <c r="I92" i="50"/>
  <c r="J92" i="50" s="1"/>
  <c r="I142" i="50"/>
  <c r="J142" i="50" s="1"/>
  <c r="I224" i="50"/>
  <c r="J224" i="50" s="1"/>
  <c r="I204" i="50"/>
  <c r="J204" i="50" s="1"/>
  <c r="I9" i="50"/>
  <c r="J9" i="50" s="1"/>
  <c r="I135" i="50"/>
  <c r="J135" i="50" s="1"/>
  <c r="I253" i="50"/>
  <c r="J253" i="50" s="1"/>
  <c r="I88" i="50"/>
  <c r="J88" i="50" s="1"/>
  <c r="I66" i="50"/>
  <c r="J66" i="50" s="1"/>
  <c r="I76" i="50"/>
  <c r="J76" i="50" s="1"/>
  <c r="I62" i="50"/>
  <c r="J62" i="50" s="1"/>
  <c r="I178" i="50"/>
  <c r="J178" i="50" s="1"/>
  <c r="I189" i="50"/>
  <c r="J189" i="50" s="1"/>
  <c r="I86" i="50"/>
  <c r="J86" i="50" s="1"/>
  <c r="I169" i="50"/>
  <c r="J169" i="50" s="1"/>
  <c r="I226" i="50"/>
  <c r="J226" i="50" s="1"/>
  <c r="I117" i="50"/>
  <c r="J117" i="50" s="1"/>
  <c r="I272" i="50"/>
  <c r="J272" i="50" s="1"/>
  <c r="I258" i="50"/>
  <c r="J258" i="50" s="1"/>
  <c r="I241" i="50"/>
  <c r="J241" i="50" s="1"/>
  <c r="I188" i="50"/>
  <c r="J188" i="50" s="1"/>
  <c r="I149" i="50"/>
  <c r="J149" i="50" s="1"/>
  <c r="I223" i="50"/>
  <c r="J223" i="50" s="1"/>
  <c r="I240" i="50"/>
  <c r="J240" i="50" s="1"/>
  <c r="I151" i="50"/>
  <c r="J151" i="50" s="1"/>
  <c r="I293" i="50"/>
  <c r="J293" i="50" s="1"/>
  <c r="I214" i="50"/>
  <c r="J214" i="50" s="1"/>
  <c r="I42" i="50"/>
  <c r="J42" i="50" s="1"/>
  <c r="I159" i="50"/>
  <c r="J159" i="50" s="1"/>
  <c r="I20" i="50"/>
  <c r="J20" i="50" s="1"/>
  <c r="I126" i="50"/>
  <c r="J126" i="50" s="1"/>
  <c r="I89" i="50"/>
  <c r="J89" i="50" s="1"/>
  <c r="I21" i="50"/>
  <c r="J21" i="50" s="1"/>
  <c r="I44" i="50"/>
  <c r="J44" i="50" s="1"/>
  <c r="I211" i="50"/>
  <c r="J211" i="50" s="1"/>
  <c r="I171" i="50"/>
  <c r="J171" i="50" s="1"/>
  <c r="I127" i="50"/>
  <c r="J127" i="50" s="1"/>
  <c r="I69" i="50"/>
  <c r="J69" i="50" s="1"/>
  <c r="I120" i="50"/>
  <c r="J120" i="50" s="1"/>
  <c r="I8" i="50"/>
  <c r="J8" i="50" s="1"/>
  <c r="I51" i="50"/>
  <c r="J51" i="50" s="1"/>
  <c r="I102" i="50"/>
  <c r="J102" i="50" s="1"/>
  <c r="I82" i="50"/>
  <c r="J82" i="50" s="1"/>
  <c r="I90" i="50"/>
  <c r="J90" i="50" s="1"/>
  <c r="I65" i="50"/>
  <c r="J65" i="50" s="1"/>
  <c r="I68" i="50"/>
  <c r="J68" i="50" s="1"/>
  <c r="I194" i="50"/>
  <c r="J194" i="50" s="1"/>
  <c r="I97" i="50"/>
  <c r="J97" i="50" s="1"/>
  <c r="I201" i="50"/>
  <c r="J201" i="50" s="1"/>
  <c r="I233" i="50"/>
  <c r="J233" i="50" s="1"/>
  <c r="I210" i="50"/>
  <c r="J210" i="50" s="1"/>
  <c r="I286" i="50"/>
  <c r="J286" i="50" s="1"/>
  <c r="I56" i="50"/>
  <c r="J56" i="50" s="1"/>
  <c r="I300" i="50"/>
  <c r="J300" i="50" s="1"/>
  <c r="I271" i="50"/>
  <c r="J271" i="50" s="1"/>
  <c r="I275" i="50"/>
  <c r="J275" i="50" s="1"/>
  <c r="I235" i="50"/>
  <c r="J235" i="50" s="1"/>
  <c r="I206" i="50"/>
  <c r="J206" i="50" s="1"/>
  <c r="I216" i="50"/>
  <c r="J216" i="50" s="1"/>
  <c r="I152" i="50"/>
  <c r="J152" i="50" s="1"/>
  <c r="I219" i="50"/>
  <c r="J219" i="50" s="1"/>
  <c r="I140" i="50"/>
  <c r="J140" i="50" s="1"/>
  <c r="I208" i="50"/>
  <c r="J208" i="50" s="1"/>
  <c r="I73" i="50"/>
  <c r="J73" i="50" s="1"/>
  <c r="I26" i="50"/>
  <c r="J26" i="50" s="1"/>
  <c r="I148" i="50"/>
  <c r="J148" i="50" s="1"/>
  <c r="I12" i="50"/>
  <c r="J12" i="50" s="1"/>
  <c r="I134" i="50"/>
  <c r="J134" i="50" s="1"/>
  <c r="I39" i="50"/>
  <c r="J39" i="50" s="1"/>
  <c r="I172" i="50"/>
  <c r="J172" i="50" s="1"/>
  <c r="I166" i="50"/>
  <c r="J166" i="50" s="1"/>
  <c r="I63" i="50"/>
  <c r="J63" i="50" s="1"/>
  <c r="I197" i="50"/>
  <c r="J197" i="50" s="1"/>
  <c r="I110" i="50"/>
  <c r="J110" i="50" s="1"/>
  <c r="I11" i="50"/>
  <c r="J11" i="50" s="1"/>
  <c r="I136" i="50"/>
  <c r="J136" i="50" s="1"/>
  <c r="I105" i="50"/>
  <c r="J105" i="50" s="1"/>
  <c r="I125" i="50"/>
  <c r="J125" i="50" s="1"/>
  <c r="I122" i="50"/>
  <c r="J122" i="50" s="1"/>
  <c r="I78" i="50"/>
  <c r="J78" i="50" s="1"/>
  <c r="I84" i="50"/>
  <c r="J84" i="50" s="1"/>
  <c r="I205" i="50"/>
  <c r="J205" i="50" s="1"/>
  <c r="I100" i="50"/>
  <c r="J100" i="50" s="1"/>
  <c r="I218" i="50"/>
  <c r="J218" i="50" s="1"/>
  <c r="I237" i="50"/>
  <c r="J237" i="50" s="1"/>
  <c r="I217" i="50"/>
  <c r="J217" i="50" s="1"/>
  <c r="I290" i="50"/>
  <c r="J290" i="50" s="1"/>
  <c r="I19" i="50"/>
  <c r="J19" i="50" s="1"/>
  <c r="I256" i="50"/>
  <c r="J256" i="50" s="1"/>
  <c r="I199" i="50"/>
  <c r="J199" i="50" s="1"/>
  <c r="I131" i="50"/>
  <c r="J131" i="50" s="1"/>
  <c r="I83" i="50"/>
  <c r="J83" i="50" s="1"/>
  <c r="I220" i="50"/>
  <c r="J220" i="50" s="1"/>
  <c r="I263" i="50"/>
  <c r="J263" i="50" s="1"/>
  <c r="I212" i="50"/>
  <c r="J212" i="50" s="1"/>
  <c r="I288" i="50"/>
  <c r="J288" i="50" s="1"/>
  <c r="I192" i="50"/>
  <c r="J192" i="50" s="1"/>
  <c r="I70" i="50"/>
  <c r="J70" i="50" s="1"/>
  <c r="I55" i="50"/>
  <c r="J55" i="50" s="1"/>
  <c r="I163" i="50"/>
  <c r="J163" i="50" s="1"/>
  <c r="I111" i="50"/>
  <c r="J111" i="50" s="1"/>
  <c r="I80" i="50"/>
  <c r="J80" i="50" s="1"/>
  <c r="I13" i="50"/>
  <c r="J13" i="50" s="1"/>
  <c r="I28" i="50"/>
  <c r="J28" i="50" s="1"/>
  <c r="I119" i="50"/>
  <c r="J119" i="50" s="1"/>
  <c r="I75" i="50"/>
  <c r="J75" i="50" s="1"/>
  <c r="I198" i="50"/>
  <c r="J198" i="50" s="1"/>
  <c r="I107" i="50"/>
  <c r="J107" i="50" s="1"/>
  <c r="I182" i="50"/>
  <c r="J182" i="50" s="1"/>
  <c r="I94" i="50"/>
  <c r="J94" i="50" s="1"/>
  <c r="I52" i="50"/>
  <c r="J52" i="50" s="1"/>
  <c r="I154" i="50"/>
  <c r="J154" i="50" s="1"/>
  <c r="I130" i="50"/>
  <c r="J130" i="50" s="1"/>
  <c r="I161" i="50"/>
  <c r="J161" i="50" s="1"/>
  <c r="I81" i="50"/>
  <c r="J81" i="50" s="1"/>
  <c r="I114" i="50"/>
  <c r="J114" i="50" s="1"/>
  <c r="I74" i="50"/>
  <c r="J74" i="50" s="1"/>
  <c r="I153" i="50"/>
  <c r="J153" i="50" s="1"/>
  <c r="I225" i="50"/>
  <c r="J225" i="50" s="1"/>
  <c r="I267" i="50"/>
  <c r="J267" i="50" s="1"/>
  <c r="I221" i="50"/>
  <c r="J221" i="50" s="1"/>
  <c r="I294" i="50"/>
  <c r="J294" i="50" s="1"/>
  <c r="I14" i="50"/>
  <c r="J14" i="50" s="1"/>
  <c r="I284" i="50"/>
  <c r="J284" i="50" s="1"/>
  <c r="I200" i="50"/>
  <c r="J200" i="50" s="1"/>
  <c r="I265" i="50"/>
  <c r="J265" i="50" s="1"/>
  <c r="I203" i="50"/>
  <c r="J203" i="50" s="1"/>
  <c r="I124" i="50"/>
  <c r="J124" i="50" s="1"/>
  <c r="I259" i="50"/>
  <c r="J259" i="50" s="1"/>
  <c r="I181" i="50"/>
  <c r="J181" i="50" s="1"/>
  <c r="I248" i="50"/>
  <c r="J248" i="50" s="1"/>
  <c r="I270" i="50"/>
  <c r="J270" i="50" s="1"/>
  <c r="I222" i="50"/>
  <c r="J222" i="50" s="1"/>
  <c r="I176" i="50"/>
  <c r="J176" i="50" s="1"/>
  <c r="I67" i="50"/>
  <c r="J67" i="50" s="1"/>
  <c r="I144" i="50"/>
  <c r="J144" i="50" s="1"/>
  <c r="I158" i="50"/>
  <c r="J158" i="50" s="1"/>
  <c r="I103" i="50"/>
  <c r="J103" i="50" s="1"/>
  <c r="I77" i="50"/>
  <c r="J77" i="50" s="1"/>
  <c r="I48" i="50"/>
  <c r="J48" i="50" s="1"/>
  <c r="I132" i="50"/>
  <c r="J132" i="50" s="1"/>
  <c r="I22" i="50"/>
  <c r="J22" i="50" s="1"/>
  <c r="I35" i="50"/>
  <c r="J35" i="50" s="1"/>
  <c r="I53" i="50"/>
  <c r="J53" i="50" s="1"/>
  <c r="I96" i="50"/>
  <c r="J96" i="50" s="1"/>
  <c r="I37" i="50"/>
  <c r="J37" i="50" s="1"/>
  <c r="I24" i="50"/>
  <c r="J24" i="50" s="1"/>
  <c r="I186" i="50"/>
  <c r="J186" i="50" s="1"/>
  <c r="I138" i="50"/>
  <c r="J138" i="50" s="1"/>
  <c r="I193" i="50"/>
  <c r="J193" i="50" s="1"/>
  <c r="I98" i="50"/>
  <c r="J98" i="50" s="1"/>
  <c r="I137" i="50"/>
  <c r="J137" i="50" s="1"/>
  <c r="I106" i="50"/>
  <c r="J106" i="50" s="1"/>
  <c r="I185" i="50"/>
  <c r="J185" i="50" s="1"/>
  <c r="I250" i="50"/>
  <c r="J250" i="50" s="1"/>
  <c r="I283" i="50"/>
  <c r="J283" i="50" s="1"/>
  <c r="I242" i="50"/>
  <c r="J242" i="50" s="1"/>
  <c r="I298" i="50"/>
  <c r="J298" i="50" s="1"/>
  <c r="I207" i="50"/>
  <c r="J207" i="50" s="1"/>
  <c r="I289" i="50"/>
  <c r="J289" i="50" s="1"/>
  <c r="I276" i="50"/>
  <c r="J276" i="50" s="1"/>
  <c r="I295" i="50"/>
  <c r="J295" i="50" s="1"/>
  <c r="I196" i="50"/>
  <c r="J196" i="50" s="1"/>
  <c r="I123" i="50"/>
  <c r="J123" i="50" s="1"/>
  <c r="I252" i="50"/>
  <c r="J252" i="50" s="1"/>
  <c r="I177" i="50"/>
  <c r="J177" i="50" s="1"/>
  <c r="I244" i="50"/>
  <c r="J244" i="50" s="1"/>
  <c r="I277" i="50"/>
  <c r="J277" i="50" s="1"/>
  <c r="I262" i="50"/>
  <c r="J262" i="50" s="1"/>
  <c r="I215" i="50"/>
  <c r="J215" i="50" s="1"/>
  <c r="I115" i="50"/>
  <c r="J115" i="50" s="1"/>
  <c r="I236" i="50"/>
  <c r="J236" i="50" s="1"/>
  <c r="I160" i="50"/>
  <c r="J160" i="50" s="1"/>
  <c r="I128" i="50"/>
  <c r="J128" i="50" s="1"/>
  <c r="I43" i="50"/>
  <c r="J43" i="50" s="1"/>
  <c r="I71" i="50"/>
  <c r="J71" i="50" s="1"/>
  <c r="I101" i="50"/>
  <c r="J101" i="50" s="1"/>
  <c r="I155" i="50"/>
  <c r="J155" i="50" s="1"/>
  <c r="I50" i="50"/>
  <c r="J50" i="50" s="1"/>
  <c r="I165" i="50"/>
  <c r="J165" i="50" s="1"/>
  <c r="I40" i="50"/>
  <c r="J40" i="50" s="1"/>
  <c r="I10" i="50"/>
  <c r="J10" i="50" s="1"/>
  <c r="I29" i="50"/>
  <c r="J29" i="50" s="1"/>
  <c r="I104" i="50"/>
  <c r="J104" i="50" s="1"/>
  <c r="I157" i="50"/>
  <c r="J157" i="50" s="1"/>
  <c r="I121" i="50"/>
  <c r="J121" i="50" s="1"/>
  <c r="I15" i="50"/>
  <c r="J15" i="50" s="1"/>
  <c r="I257" i="50"/>
  <c r="J257" i="50" s="1"/>
  <c r="I170" i="50"/>
  <c r="J170" i="50" s="1"/>
  <c r="I109" i="50"/>
  <c r="J109" i="50" s="1"/>
  <c r="I274" i="50"/>
  <c r="J274" i="50" s="1"/>
  <c r="I268" i="50"/>
  <c r="J268" i="50" s="1"/>
  <c r="I299" i="50"/>
  <c r="J299" i="50" s="1"/>
  <c r="I116" i="50"/>
  <c r="J116" i="50" s="1"/>
  <c r="I260" i="50"/>
  <c r="J260" i="50" s="1"/>
  <c r="I238" i="50"/>
  <c r="J238" i="50" s="1"/>
  <c r="I174" i="50"/>
  <c r="J174" i="50" s="1"/>
  <c r="I213" i="50"/>
  <c r="J213" i="50" s="1"/>
  <c r="I184" i="50"/>
  <c r="J184" i="50" s="1"/>
  <c r="I254" i="50"/>
  <c r="J254" i="50" s="1"/>
  <c r="I108" i="50"/>
  <c r="J108" i="50" s="1"/>
  <c r="I57" i="50"/>
  <c r="J57" i="50" s="1"/>
  <c r="I227" i="50"/>
  <c r="J227" i="50" s="1"/>
  <c r="I38" i="50"/>
  <c r="J38" i="50" s="1"/>
  <c r="I34" i="50"/>
  <c r="J34" i="50" s="1"/>
  <c r="I64" i="50"/>
  <c r="J64" i="50" s="1"/>
  <c r="I179" i="50"/>
  <c r="J179" i="50" s="1"/>
  <c r="I95" i="50"/>
  <c r="J95" i="50" s="1"/>
  <c r="I112" i="50"/>
  <c r="J112" i="50" s="1"/>
  <c r="I25" i="50"/>
  <c r="J25" i="50" s="1"/>
  <c r="I187" i="50"/>
  <c r="J187" i="50" s="1"/>
  <c r="I85" i="50"/>
  <c r="J85" i="50" s="1"/>
  <c r="I46" i="50"/>
  <c r="J46" i="50" s="1"/>
  <c r="I150" i="50"/>
  <c r="J150" i="50" s="1"/>
  <c r="I72" i="50"/>
  <c r="J72" i="50" s="1"/>
  <c r="I30" i="50"/>
  <c r="J30" i="50" s="1"/>
  <c r="I18" i="50"/>
  <c r="J18" i="50" s="1"/>
  <c r="I36" i="50"/>
  <c r="J36" i="50" s="1"/>
  <c r="I45" i="50"/>
  <c r="J45" i="50" s="1"/>
  <c r="I129" i="50"/>
  <c r="J129" i="50" s="1"/>
  <c r="I162" i="50"/>
  <c r="J162" i="50" s="1"/>
  <c r="I23" i="50"/>
  <c r="J23" i="50" s="1"/>
  <c r="I58" i="50"/>
  <c r="J58" i="50" s="1"/>
  <c r="I266" i="50"/>
  <c r="J266" i="50" s="1"/>
  <c r="I202" i="50"/>
  <c r="J202" i="50" s="1"/>
  <c r="I141" i="50"/>
  <c r="J141" i="50" s="1"/>
  <c r="I278" i="50"/>
  <c r="J278" i="50" s="1"/>
  <c r="I167" i="50"/>
  <c r="J167" i="50" s="1"/>
  <c r="I209" i="50"/>
  <c r="J209" i="50" s="1"/>
  <c r="I156" i="50"/>
  <c r="J156" i="50" s="1"/>
  <c r="I180" i="50"/>
  <c r="J180" i="50" s="1"/>
  <c r="I255" i="50"/>
  <c r="J255" i="50" s="1"/>
  <c r="I247" i="50"/>
  <c r="J247" i="50" s="1"/>
  <c r="I183" i="50"/>
  <c r="J183" i="50" s="1"/>
  <c r="I229" i="50"/>
  <c r="J229" i="50" s="1"/>
  <c r="I118" i="50"/>
  <c r="J118" i="50" s="1"/>
  <c r="I54" i="50"/>
  <c r="J54" i="50" s="1"/>
  <c r="I191" i="50"/>
  <c r="J191" i="50" s="1"/>
  <c r="I32" i="50"/>
  <c r="J32" i="50" s="1"/>
  <c r="I195" i="50"/>
  <c r="J195" i="50" s="1"/>
  <c r="I143" i="50"/>
  <c r="J143" i="50" s="1"/>
  <c r="I61" i="50"/>
  <c r="J61" i="50" s="1"/>
  <c r="I147" i="50"/>
  <c r="J147" i="50" s="1"/>
  <c r="I87" i="50"/>
  <c r="J87" i="50" s="1"/>
  <c r="I59" i="50"/>
  <c r="J59" i="50" s="1"/>
  <c r="I93" i="50"/>
  <c r="J93" i="50" s="1"/>
  <c r="I17" i="50"/>
  <c r="J17" i="50" s="1"/>
  <c r="I145" i="50"/>
  <c r="J145" i="50" s="1"/>
  <c r="I79" i="50"/>
  <c r="J79" i="50" s="1"/>
  <c r="I269" i="50"/>
  <c r="J269" i="50" s="1"/>
  <c r="I60" i="50"/>
  <c r="J60" i="50" s="1"/>
  <c r="I41" i="50"/>
  <c r="J41" i="50" s="1"/>
  <c r="I31" i="50"/>
  <c r="J31" i="50" s="1"/>
  <c r="I49" i="50"/>
  <c r="J49" i="50" s="1"/>
  <c r="I146" i="50"/>
  <c r="J146" i="50" s="1"/>
  <c r="I173" i="50"/>
  <c r="J173" i="50" s="1"/>
  <c r="I33" i="50"/>
  <c r="J33" i="50" s="1"/>
  <c r="I113" i="50"/>
  <c r="J113" i="50" s="1"/>
  <c r="I133" i="50"/>
  <c r="J133" i="50" s="1"/>
  <c r="I234" i="50"/>
  <c r="J234" i="50" s="1"/>
  <c r="I246" i="50"/>
  <c r="J246" i="50" s="1"/>
  <c r="I282" i="50"/>
  <c r="J282" i="50" s="1"/>
  <c r="I16" i="50"/>
  <c r="J16" i="50" s="1"/>
  <c r="I60" i="49"/>
  <c r="J60" i="49" s="1"/>
  <c r="I239" i="49"/>
  <c r="J239" i="49" s="1"/>
  <c r="I265" i="49"/>
  <c r="J265" i="49" s="1"/>
  <c r="I255" i="49"/>
  <c r="J255" i="49" s="1"/>
  <c r="I183" i="49"/>
  <c r="J183" i="49" s="1"/>
  <c r="I270" i="49"/>
  <c r="J270" i="49" s="1"/>
  <c r="I123" i="49"/>
  <c r="J123" i="49" s="1"/>
  <c r="I243" i="49"/>
  <c r="J243" i="49" s="1"/>
  <c r="I279" i="49"/>
  <c r="J279" i="49" s="1"/>
  <c r="I225" i="49"/>
  <c r="J225" i="49" s="1"/>
  <c r="I67" i="49"/>
  <c r="J67" i="49" s="1"/>
  <c r="I215" i="49"/>
  <c r="J215" i="49" s="1"/>
  <c r="I89" i="49"/>
  <c r="J89" i="49" s="1"/>
  <c r="I36" i="49"/>
  <c r="J36" i="49" s="1"/>
  <c r="I145" i="49"/>
  <c r="J145" i="49" s="1"/>
  <c r="I141" i="49"/>
  <c r="J141" i="49" s="1"/>
  <c r="I231" i="49"/>
  <c r="J231" i="49" s="1"/>
  <c r="I59" i="49"/>
  <c r="J59" i="49" s="1"/>
  <c r="I19" i="49"/>
  <c r="J19" i="49" s="1"/>
  <c r="I147" i="49"/>
  <c r="J147" i="49" s="1"/>
  <c r="I35" i="49"/>
  <c r="J35" i="49" s="1"/>
  <c r="I33" i="49"/>
  <c r="J33" i="49" s="1"/>
  <c r="I32" i="49"/>
  <c r="J32" i="49" s="1"/>
  <c r="I26" i="49"/>
  <c r="J26" i="49" s="1"/>
  <c r="I23" i="49"/>
  <c r="J23" i="49" s="1"/>
  <c r="I42" i="49"/>
  <c r="J42" i="49" s="1"/>
  <c r="I46" i="49"/>
  <c r="J46" i="49" s="1"/>
  <c r="I138" i="49"/>
  <c r="J138" i="49" s="1"/>
  <c r="I210" i="49"/>
  <c r="J210" i="49" s="1"/>
  <c r="I232" i="49"/>
  <c r="J232" i="49" s="1"/>
  <c r="I119" i="49"/>
  <c r="J119" i="49" s="1"/>
  <c r="I113" i="49"/>
  <c r="J113" i="49" s="1"/>
  <c r="I126" i="49"/>
  <c r="J126" i="49" s="1"/>
  <c r="I186" i="49"/>
  <c r="J186" i="49" s="1"/>
  <c r="I293" i="49"/>
  <c r="J293" i="49" s="1"/>
  <c r="I106" i="49"/>
  <c r="J106" i="49" s="1"/>
  <c r="I262" i="49"/>
  <c r="J262" i="49" s="1"/>
  <c r="I221" i="49"/>
  <c r="J221" i="49" s="1"/>
  <c r="I269" i="49"/>
  <c r="J269" i="49" s="1"/>
  <c r="I129" i="49"/>
  <c r="J129" i="49" s="1"/>
  <c r="I283" i="49"/>
  <c r="J283" i="49" s="1"/>
  <c r="I211" i="49"/>
  <c r="J211" i="49" s="1"/>
  <c r="I153" i="49"/>
  <c r="J153" i="49" s="1"/>
  <c r="I27" i="49"/>
  <c r="J27" i="49" s="1"/>
  <c r="I296" i="49"/>
  <c r="J296" i="49" s="1"/>
  <c r="I189" i="49"/>
  <c r="J189" i="49" s="1"/>
  <c r="I267" i="49"/>
  <c r="J267" i="49" s="1"/>
  <c r="I117" i="49"/>
  <c r="J117" i="49" s="1"/>
  <c r="I63" i="49"/>
  <c r="J63" i="49" s="1"/>
  <c r="I155" i="49"/>
  <c r="J155" i="49" s="1"/>
  <c r="I45" i="49"/>
  <c r="J45" i="49" s="1"/>
  <c r="I13" i="49"/>
  <c r="J13" i="49" s="1"/>
  <c r="I111" i="49"/>
  <c r="J111" i="49" s="1"/>
  <c r="I22" i="49"/>
  <c r="J22" i="49" s="1"/>
  <c r="I17" i="49"/>
  <c r="J17" i="49" s="1"/>
  <c r="I9" i="49"/>
  <c r="J9" i="49" s="1"/>
  <c r="I34" i="49"/>
  <c r="J34" i="49" s="1"/>
  <c r="I50" i="49"/>
  <c r="J50" i="49" s="1"/>
  <c r="I69" i="49"/>
  <c r="J69" i="49" s="1"/>
  <c r="I144" i="49"/>
  <c r="J144" i="49" s="1"/>
  <c r="I218" i="49"/>
  <c r="J218" i="49" s="1"/>
  <c r="I254" i="49"/>
  <c r="J254" i="49" s="1"/>
  <c r="I127" i="49"/>
  <c r="J127" i="49" s="1"/>
  <c r="I146" i="49"/>
  <c r="J146" i="49" s="1"/>
  <c r="I142" i="49"/>
  <c r="J142" i="49" s="1"/>
  <c r="I190" i="49"/>
  <c r="J190" i="49" s="1"/>
  <c r="I290" i="49"/>
  <c r="J290" i="49" s="1"/>
  <c r="I114" i="49"/>
  <c r="J114" i="49" s="1"/>
  <c r="I266" i="49"/>
  <c r="J266" i="49" s="1"/>
  <c r="I204" i="49"/>
  <c r="J204" i="49" s="1"/>
  <c r="I140" i="49"/>
  <c r="J140" i="49" s="1"/>
  <c r="I299" i="49"/>
  <c r="J299" i="49" s="1"/>
  <c r="I143" i="49"/>
  <c r="J143" i="49" s="1"/>
  <c r="I159" i="49"/>
  <c r="J159" i="49" s="1"/>
  <c r="I167" i="49"/>
  <c r="J167" i="49" s="1"/>
  <c r="I115" i="49"/>
  <c r="J115" i="49" s="1"/>
  <c r="I71" i="49"/>
  <c r="J71" i="49" s="1"/>
  <c r="I11" i="49"/>
  <c r="J11" i="49" s="1"/>
  <c r="I237" i="49"/>
  <c r="J237" i="49" s="1"/>
  <c r="I177" i="49"/>
  <c r="J177" i="49" s="1"/>
  <c r="I263" i="49"/>
  <c r="J263" i="49" s="1"/>
  <c r="I217" i="49"/>
  <c r="J217" i="49" s="1"/>
  <c r="I275" i="49"/>
  <c r="J275" i="49" s="1"/>
  <c r="I79" i="49"/>
  <c r="J79" i="49" s="1"/>
  <c r="I31" i="49"/>
  <c r="J31" i="49" s="1"/>
  <c r="I20" i="49"/>
  <c r="J20" i="49" s="1"/>
  <c r="I47" i="49"/>
  <c r="J47" i="49" s="1"/>
  <c r="I53" i="49"/>
  <c r="J53" i="49" s="1"/>
  <c r="I120" i="49"/>
  <c r="J120" i="49" s="1"/>
  <c r="I57" i="49"/>
  <c r="J57" i="49" s="1"/>
  <c r="I72" i="49"/>
  <c r="J72" i="49" s="1"/>
  <c r="I152" i="49"/>
  <c r="J152" i="49" s="1"/>
  <c r="I245" i="49"/>
  <c r="J245" i="49" s="1"/>
  <c r="I259" i="49"/>
  <c r="J259" i="49" s="1"/>
  <c r="I135" i="49"/>
  <c r="J135" i="49" s="1"/>
  <c r="I162" i="49"/>
  <c r="J162" i="49" s="1"/>
  <c r="I154" i="49"/>
  <c r="J154" i="49" s="1"/>
  <c r="I291" i="49"/>
  <c r="J291" i="49" s="1"/>
  <c r="I58" i="49"/>
  <c r="J58" i="49" s="1"/>
  <c r="I198" i="49"/>
  <c r="J198" i="49" s="1"/>
  <c r="I280" i="49"/>
  <c r="J280" i="49" s="1"/>
  <c r="I260" i="49"/>
  <c r="J260" i="49" s="1"/>
  <c r="I196" i="49"/>
  <c r="J196" i="49" s="1"/>
  <c r="I132" i="49"/>
  <c r="J132" i="49" s="1"/>
  <c r="I84" i="49"/>
  <c r="J84" i="49" s="1"/>
  <c r="I209" i="49"/>
  <c r="J209" i="49" s="1"/>
  <c r="I257" i="49"/>
  <c r="J257" i="49" s="1"/>
  <c r="I151" i="49"/>
  <c r="J151" i="49" s="1"/>
  <c r="I109" i="49"/>
  <c r="J109" i="49" s="1"/>
  <c r="I203" i="49"/>
  <c r="J203" i="49" s="1"/>
  <c r="I121" i="49"/>
  <c r="J121" i="49" s="1"/>
  <c r="I185" i="49"/>
  <c r="J185" i="49" s="1"/>
  <c r="I83" i="49"/>
  <c r="J83" i="49" s="1"/>
  <c r="I86" i="49"/>
  <c r="J86" i="49" s="1"/>
  <c r="I133" i="49"/>
  <c r="J133" i="49" s="1"/>
  <c r="I39" i="49"/>
  <c r="J39" i="49" s="1"/>
  <c r="I8" i="49"/>
  <c r="J8" i="49" s="1"/>
  <c r="I62" i="49"/>
  <c r="J62" i="49" s="1"/>
  <c r="I16" i="49"/>
  <c r="J16" i="49" s="1"/>
  <c r="I128" i="49"/>
  <c r="J128" i="49" s="1"/>
  <c r="I14" i="49"/>
  <c r="J14" i="49" s="1"/>
  <c r="I103" i="49"/>
  <c r="J103" i="49" s="1"/>
  <c r="I200" i="49"/>
  <c r="J200" i="49" s="1"/>
  <c r="I160" i="49"/>
  <c r="J160" i="49" s="1"/>
  <c r="I56" i="49"/>
  <c r="J56" i="49" s="1"/>
  <c r="I272" i="49"/>
  <c r="J272" i="49" s="1"/>
  <c r="I242" i="49"/>
  <c r="J242" i="49" s="1"/>
  <c r="I178" i="49"/>
  <c r="J178" i="49" s="1"/>
  <c r="I158" i="49"/>
  <c r="J158" i="49" s="1"/>
  <c r="I85" i="49"/>
  <c r="J85" i="49" s="1"/>
  <c r="I66" i="49"/>
  <c r="J66" i="49" s="1"/>
  <c r="I202" i="49"/>
  <c r="J202" i="49" s="1"/>
  <c r="I294" i="49"/>
  <c r="J294" i="49" s="1"/>
  <c r="I281" i="49"/>
  <c r="J281" i="49" s="1"/>
  <c r="I223" i="49"/>
  <c r="J223" i="49" s="1"/>
  <c r="I139" i="49"/>
  <c r="J139" i="49" s="1"/>
  <c r="I256" i="49"/>
  <c r="J256" i="49" s="1"/>
  <c r="I199" i="49"/>
  <c r="J199" i="49" s="1"/>
  <c r="I238" i="49"/>
  <c r="J238" i="49" s="1"/>
  <c r="I110" i="49"/>
  <c r="J110" i="49" s="1"/>
  <c r="I52" i="49"/>
  <c r="J52" i="49" s="1"/>
  <c r="I173" i="49"/>
  <c r="J173" i="49" s="1"/>
  <c r="I249" i="49"/>
  <c r="J249" i="49" s="1"/>
  <c r="I240" i="49"/>
  <c r="J240" i="49" s="1"/>
  <c r="I102" i="49"/>
  <c r="J102" i="49" s="1"/>
  <c r="I54" i="49"/>
  <c r="J54" i="49" s="1"/>
  <c r="I65" i="49"/>
  <c r="J65" i="49" s="1"/>
  <c r="I97" i="49"/>
  <c r="J97" i="49" s="1"/>
  <c r="I25" i="49"/>
  <c r="J25" i="49" s="1"/>
  <c r="I55" i="49"/>
  <c r="J55" i="49" s="1"/>
  <c r="I29" i="49"/>
  <c r="J29" i="49" s="1"/>
  <c r="I30" i="49"/>
  <c r="J30" i="49" s="1"/>
  <c r="I18" i="49"/>
  <c r="J18" i="49" s="1"/>
  <c r="I87" i="49"/>
  <c r="J87" i="49" s="1"/>
  <c r="I112" i="49"/>
  <c r="J112" i="49" s="1"/>
  <c r="I227" i="49"/>
  <c r="J227" i="49" s="1"/>
  <c r="I168" i="49"/>
  <c r="J168" i="49" s="1"/>
  <c r="I181" i="49"/>
  <c r="J181" i="49" s="1"/>
  <c r="I277" i="49"/>
  <c r="J277" i="49" s="1"/>
  <c r="I250" i="49"/>
  <c r="J250" i="49" s="1"/>
  <c r="I194" i="49"/>
  <c r="J194" i="49" s="1"/>
  <c r="I166" i="49"/>
  <c r="J166" i="49" s="1"/>
  <c r="I134" i="49"/>
  <c r="J134" i="49" s="1"/>
  <c r="I74" i="49"/>
  <c r="J74" i="49" s="1"/>
  <c r="I216" i="49"/>
  <c r="J216" i="49" s="1"/>
  <c r="I298" i="49"/>
  <c r="J298" i="49" s="1"/>
  <c r="I251" i="49"/>
  <c r="J251" i="49" s="1"/>
  <c r="I91" i="49"/>
  <c r="J91" i="49" s="1"/>
  <c r="I233" i="49"/>
  <c r="J233" i="49" s="1"/>
  <c r="I224" i="49"/>
  <c r="J224" i="49" s="1"/>
  <c r="I107" i="49"/>
  <c r="J107" i="49" s="1"/>
  <c r="I48" i="49"/>
  <c r="J48" i="49" s="1"/>
  <c r="I201" i="49"/>
  <c r="J201" i="49" s="1"/>
  <c r="I161" i="49"/>
  <c r="J161" i="49" s="1"/>
  <c r="I288" i="49"/>
  <c r="J288" i="49" s="1"/>
  <c r="I99" i="49"/>
  <c r="J99" i="49" s="1"/>
  <c r="I253" i="49"/>
  <c r="J253" i="49" s="1"/>
  <c r="I187" i="49"/>
  <c r="J187" i="49" s="1"/>
  <c r="I78" i="49"/>
  <c r="J78" i="49" s="1"/>
  <c r="I24" i="49"/>
  <c r="J24" i="49" s="1"/>
  <c r="I195" i="49"/>
  <c r="J195" i="49" s="1"/>
  <c r="I37" i="49"/>
  <c r="J37" i="49" s="1"/>
  <c r="I12" i="49"/>
  <c r="J12" i="49" s="1"/>
  <c r="I4" i="49"/>
  <c r="J4" i="49" s="1"/>
  <c r="I49" i="49"/>
  <c r="J49" i="49" s="1"/>
  <c r="I10" i="49"/>
  <c r="J10" i="49" s="1"/>
  <c r="I64" i="49"/>
  <c r="J64" i="49" s="1"/>
  <c r="I5" i="49"/>
  <c r="J5" i="49" s="1"/>
  <c r="I213" i="49"/>
  <c r="J213" i="49" s="1"/>
  <c r="I258" i="49"/>
  <c r="J258" i="49" s="1"/>
  <c r="I176" i="49"/>
  <c r="J176" i="49" s="1"/>
  <c r="I197" i="49"/>
  <c r="J197" i="49" s="1"/>
  <c r="I149" i="49"/>
  <c r="J149" i="49" s="1"/>
  <c r="I61" i="49"/>
  <c r="J61" i="49" s="1"/>
  <c r="I246" i="49"/>
  <c r="J246" i="49" s="1"/>
  <c r="I170" i="49"/>
  <c r="J170" i="49" s="1"/>
  <c r="I150" i="49"/>
  <c r="J150" i="49" s="1"/>
  <c r="I82" i="49"/>
  <c r="J82" i="49" s="1"/>
  <c r="I230" i="49"/>
  <c r="J230" i="49" s="1"/>
  <c r="I274" i="49"/>
  <c r="J274" i="49" s="1"/>
  <c r="I295" i="49"/>
  <c r="J295" i="49" s="1"/>
  <c r="I287" i="49"/>
  <c r="J287" i="49" s="1"/>
  <c r="I131" i="49"/>
  <c r="J131" i="49" s="1"/>
  <c r="I219" i="49"/>
  <c r="J219" i="49" s="1"/>
  <c r="I169" i="49"/>
  <c r="J169" i="49" s="1"/>
  <c r="I101" i="49"/>
  <c r="J101" i="49" s="1"/>
  <c r="I44" i="49"/>
  <c r="J44" i="49" s="1"/>
  <c r="I222" i="49"/>
  <c r="J222" i="49" s="1"/>
  <c r="I125" i="49"/>
  <c r="J125" i="49" s="1"/>
  <c r="I93" i="49"/>
  <c r="J93" i="49" s="1"/>
  <c r="I75" i="49"/>
  <c r="J75" i="49" s="1"/>
  <c r="I179" i="49"/>
  <c r="J179" i="49" s="1"/>
  <c r="I41" i="49"/>
  <c r="J41" i="49" s="1"/>
  <c r="I28" i="49"/>
  <c r="J28" i="49" s="1"/>
  <c r="I81" i="49"/>
  <c r="J81" i="49" s="1"/>
  <c r="I6" i="49"/>
  <c r="J6" i="49" s="1"/>
  <c r="I51" i="49"/>
  <c r="J51" i="49" s="1"/>
  <c r="I261" i="49"/>
  <c r="J261" i="49" s="1"/>
  <c r="I21" i="49"/>
  <c r="J21" i="49" s="1"/>
  <c r="I7" i="49"/>
  <c r="J7" i="49" s="1"/>
  <c r="I73" i="49"/>
  <c r="J73" i="49" s="1"/>
  <c r="I286" i="49"/>
  <c r="J286" i="49" s="1"/>
  <c r="I130" i="49"/>
  <c r="J130" i="49" s="1"/>
  <c r="I184" i="49"/>
  <c r="J184" i="49" s="1"/>
  <c r="I206" i="49"/>
  <c r="J206" i="49" s="1"/>
  <c r="I165" i="49"/>
  <c r="J165" i="49" s="1"/>
  <c r="I95" i="49"/>
  <c r="J95" i="49" s="1"/>
  <c r="I264" i="49"/>
  <c r="J264" i="49" s="1"/>
  <c r="I174" i="49"/>
  <c r="J174" i="49" s="1"/>
  <c r="I88" i="49"/>
  <c r="J88" i="49" s="1"/>
  <c r="I90" i="49"/>
  <c r="J90" i="49" s="1"/>
  <c r="I234" i="49"/>
  <c r="J234" i="49" s="1"/>
  <c r="I278" i="49"/>
  <c r="J278" i="49" s="1"/>
  <c r="I100" i="49"/>
  <c r="J100" i="49" s="1"/>
  <c r="I68" i="49"/>
  <c r="J68" i="49" s="1"/>
  <c r="I273" i="49"/>
  <c r="J273" i="49" s="1"/>
  <c r="I191" i="49"/>
  <c r="J191" i="49" s="1"/>
  <c r="I208" i="49"/>
  <c r="J208" i="49" s="1"/>
  <c r="I247" i="49"/>
  <c r="J247" i="49" s="1"/>
  <c r="I229" i="49"/>
  <c r="J229" i="49" s="1"/>
  <c r="I137" i="49"/>
  <c r="J137" i="49" s="1"/>
  <c r="I70" i="49"/>
  <c r="J70" i="49" s="1"/>
  <c r="I40" i="49"/>
  <c r="J40" i="49" s="1"/>
  <c r="I193" i="49"/>
  <c r="J193" i="49" s="1"/>
  <c r="I157" i="49"/>
  <c r="J157" i="49" s="1"/>
  <c r="I205" i="49"/>
  <c r="J205" i="49" s="1"/>
  <c r="I235" i="49"/>
  <c r="J235" i="49" s="1"/>
  <c r="I171" i="49"/>
  <c r="J171" i="49" s="1"/>
  <c r="I163" i="49"/>
  <c r="J163" i="49" s="1"/>
  <c r="I77" i="49"/>
  <c r="J77" i="49" s="1"/>
  <c r="I15" i="49"/>
  <c r="J15" i="49" s="1"/>
  <c r="I43" i="49"/>
  <c r="J43" i="49" s="1"/>
  <c r="I96" i="49"/>
  <c r="J96" i="49" s="1"/>
  <c r="I122" i="49"/>
  <c r="J122" i="49" s="1"/>
  <c r="I105" i="49"/>
  <c r="J105" i="49" s="1"/>
  <c r="I38" i="49"/>
  <c r="J38" i="49" s="1"/>
  <c r="I136" i="49"/>
  <c r="J136" i="49" s="1"/>
  <c r="I192" i="49"/>
  <c r="J192" i="49" s="1"/>
  <c r="I214" i="49"/>
  <c r="J214" i="49" s="1"/>
  <c r="I80" i="49"/>
  <c r="J80" i="49" s="1"/>
  <c r="I104" i="49"/>
  <c r="J104" i="49" s="1"/>
  <c r="I118" i="49"/>
  <c r="J118" i="49" s="1"/>
  <c r="I182" i="49"/>
  <c r="J182" i="49" s="1"/>
  <c r="I226" i="49"/>
  <c r="J226" i="49" s="1"/>
  <c r="I98" i="49"/>
  <c r="J98" i="49" s="1"/>
  <c r="I248" i="49"/>
  <c r="J248" i="49" s="1"/>
  <c r="I282" i="49"/>
  <c r="J282" i="49" s="1"/>
  <c r="I273" i="48"/>
  <c r="J273" i="48" s="1"/>
  <c r="I174" i="48"/>
  <c r="J174" i="48" s="1"/>
  <c r="I296" i="48"/>
  <c r="J296" i="48" s="1"/>
  <c r="I143" i="48"/>
  <c r="J143" i="48" s="1"/>
  <c r="I169" i="48"/>
  <c r="J169" i="48" s="1"/>
  <c r="I191" i="48"/>
  <c r="J191" i="48" s="1"/>
  <c r="I240" i="48"/>
  <c r="J240" i="48" s="1"/>
  <c r="I179" i="48"/>
  <c r="J179" i="48" s="1"/>
  <c r="I131" i="48"/>
  <c r="J131" i="48" s="1"/>
  <c r="I265" i="48"/>
  <c r="J265" i="48" s="1"/>
  <c r="I175" i="48"/>
  <c r="J175" i="48" s="1"/>
  <c r="I107" i="48"/>
  <c r="J107" i="48" s="1"/>
  <c r="I127" i="48"/>
  <c r="J127" i="48" s="1"/>
  <c r="I46" i="48"/>
  <c r="J46" i="48" s="1"/>
  <c r="I88" i="48"/>
  <c r="J88" i="48" s="1"/>
  <c r="I110" i="48"/>
  <c r="J110" i="48" s="1"/>
  <c r="I76" i="48"/>
  <c r="J76" i="48" s="1"/>
  <c r="I6" i="48"/>
  <c r="J6" i="48" s="1"/>
  <c r="I41" i="48"/>
  <c r="J41" i="48" s="1"/>
  <c r="I48" i="48"/>
  <c r="J48" i="48" s="1"/>
  <c r="I12" i="48"/>
  <c r="J12" i="48" s="1"/>
  <c r="I80" i="48"/>
  <c r="J80" i="48" s="1"/>
  <c r="I8" i="48"/>
  <c r="J8" i="48" s="1"/>
  <c r="I20" i="48"/>
  <c r="J20" i="48" s="1"/>
  <c r="I109" i="48"/>
  <c r="J109" i="48" s="1"/>
  <c r="I23" i="48"/>
  <c r="J23" i="48" s="1"/>
  <c r="I117" i="48"/>
  <c r="J117" i="48" s="1"/>
  <c r="I79" i="48"/>
  <c r="J79" i="48" s="1"/>
  <c r="I66" i="48"/>
  <c r="J66" i="48" s="1"/>
  <c r="I85" i="48"/>
  <c r="J85" i="48" s="1"/>
  <c r="I148" i="48"/>
  <c r="J148" i="48" s="1"/>
  <c r="I164" i="48"/>
  <c r="J164" i="48" s="1"/>
  <c r="I157" i="48"/>
  <c r="J157" i="48" s="1"/>
  <c r="I165" i="48"/>
  <c r="J165" i="48" s="1"/>
  <c r="I250" i="48"/>
  <c r="J250" i="48" s="1"/>
  <c r="I274" i="48"/>
  <c r="J274" i="48" s="1"/>
  <c r="I118" i="48"/>
  <c r="J118" i="48" s="1"/>
  <c r="I268" i="48"/>
  <c r="J268" i="48" s="1"/>
  <c r="I298" i="48"/>
  <c r="J298" i="48" s="1"/>
  <c r="I71" i="48"/>
  <c r="J71" i="48" s="1"/>
  <c r="I299" i="48"/>
  <c r="J299" i="48" s="1"/>
  <c r="I295" i="48"/>
  <c r="J295" i="48" s="1"/>
  <c r="I125" i="48"/>
  <c r="J125" i="48" s="1"/>
  <c r="I251" i="48"/>
  <c r="J251" i="48" s="1"/>
  <c r="I215" i="48"/>
  <c r="J215" i="48" s="1"/>
  <c r="I55" i="48"/>
  <c r="J55" i="48" s="1"/>
  <c r="I207" i="48"/>
  <c r="J207" i="48" s="1"/>
  <c r="I136" i="48"/>
  <c r="J136" i="48" s="1"/>
  <c r="I249" i="48"/>
  <c r="J249" i="48" s="1"/>
  <c r="I199" i="48"/>
  <c r="J199" i="48" s="1"/>
  <c r="I187" i="48"/>
  <c r="J187" i="48" s="1"/>
  <c r="I235" i="48"/>
  <c r="J235" i="48" s="1"/>
  <c r="I293" i="48"/>
  <c r="J293" i="48" s="1"/>
  <c r="I171" i="48"/>
  <c r="J171" i="48" s="1"/>
  <c r="I105" i="48"/>
  <c r="J105" i="48" s="1"/>
  <c r="I83" i="48"/>
  <c r="J83" i="48" s="1"/>
  <c r="I56" i="48"/>
  <c r="J56" i="48" s="1"/>
  <c r="I108" i="48"/>
  <c r="J108" i="48" s="1"/>
  <c r="I135" i="48"/>
  <c r="J135" i="48" s="1"/>
  <c r="I28" i="48"/>
  <c r="J28" i="48" s="1"/>
  <c r="I5" i="48"/>
  <c r="J5" i="48" s="1"/>
  <c r="I31" i="48"/>
  <c r="J31" i="48" s="1"/>
  <c r="I61" i="48"/>
  <c r="J61" i="48" s="1"/>
  <c r="I95" i="48"/>
  <c r="J95" i="48" s="1"/>
  <c r="I13" i="48"/>
  <c r="J13" i="48" s="1"/>
  <c r="I186" i="48"/>
  <c r="J186" i="48" s="1"/>
  <c r="I156" i="48"/>
  <c r="J156" i="48" s="1"/>
  <c r="I202" i="48"/>
  <c r="J202" i="48" s="1"/>
  <c r="I172" i="48"/>
  <c r="J172" i="48" s="1"/>
  <c r="I180" i="48"/>
  <c r="J180" i="48" s="1"/>
  <c r="I126" i="48"/>
  <c r="J126" i="48" s="1"/>
  <c r="I82" i="48"/>
  <c r="J82" i="48" s="1"/>
  <c r="I122" i="48"/>
  <c r="J122" i="48" s="1"/>
  <c r="I284" i="48"/>
  <c r="J284" i="48" s="1"/>
  <c r="I292" i="48"/>
  <c r="J292" i="48" s="1"/>
  <c r="I279" i="48"/>
  <c r="J279" i="48" s="1"/>
  <c r="I238" i="48"/>
  <c r="J238" i="48" s="1"/>
  <c r="I211" i="48"/>
  <c r="J211" i="48" s="1"/>
  <c r="I283" i="48"/>
  <c r="J283" i="48" s="1"/>
  <c r="I123" i="48"/>
  <c r="J123" i="48" s="1"/>
  <c r="I195" i="48"/>
  <c r="J195" i="48" s="1"/>
  <c r="I142" i="48"/>
  <c r="J142" i="48" s="1"/>
  <c r="I176" i="48"/>
  <c r="J176" i="48" s="1"/>
  <c r="I222" i="48"/>
  <c r="J222" i="48" s="1"/>
  <c r="I286" i="48"/>
  <c r="J286" i="48" s="1"/>
  <c r="I160" i="48"/>
  <c r="J160" i="48" s="1"/>
  <c r="I73" i="48"/>
  <c r="J73" i="48" s="1"/>
  <c r="I116" i="48"/>
  <c r="J116" i="48" s="1"/>
  <c r="I40" i="48"/>
  <c r="J40" i="48" s="1"/>
  <c r="I53" i="48"/>
  <c r="J53" i="48" s="1"/>
  <c r="I64" i="48"/>
  <c r="J64" i="48" s="1"/>
  <c r="I72" i="48"/>
  <c r="J72" i="48" s="1"/>
  <c r="I120" i="48"/>
  <c r="J120" i="48" s="1"/>
  <c r="I65" i="48"/>
  <c r="J65" i="48" s="1"/>
  <c r="I75" i="48"/>
  <c r="J75" i="48" s="1"/>
  <c r="I45" i="48"/>
  <c r="J45" i="48" s="1"/>
  <c r="I62" i="48"/>
  <c r="J62" i="48" s="1"/>
  <c r="I35" i="48"/>
  <c r="J35" i="48" s="1"/>
  <c r="I74" i="48"/>
  <c r="J74" i="48" s="1"/>
  <c r="I101" i="48"/>
  <c r="J101" i="48" s="1"/>
  <c r="I21" i="48"/>
  <c r="J21" i="48" s="1"/>
  <c r="I197" i="48"/>
  <c r="J197" i="48" s="1"/>
  <c r="I194" i="48"/>
  <c r="J194" i="48" s="1"/>
  <c r="I213" i="48"/>
  <c r="J213" i="48" s="1"/>
  <c r="I210" i="48"/>
  <c r="J210" i="48" s="1"/>
  <c r="I277" i="48"/>
  <c r="J277" i="48" s="1"/>
  <c r="I129" i="48"/>
  <c r="J129" i="48" s="1"/>
  <c r="I86" i="48"/>
  <c r="J86" i="48" s="1"/>
  <c r="I178" i="48"/>
  <c r="J178" i="48" s="1"/>
  <c r="I124" i="48"/>
  <c r="J124" i="48" s="1"/>
  <c r="I138" i="48"/>
  <c r="J138" i="48" s="1"/>
  <c r="I167" i="48"/>
  <c r="J167" i="48" s="1"/>
  <c r="I193" i="48"/>
  <c r="J193" i="48" s="1"/>
  <c r="I158" i="48"/>
  <c r="J158" i="48" s="1"/>
  <c r="I203" i="48"/>
  <c r="J203" i="48" s="1"/>
  <c r="I294" i="48"/>
  <c r="J294" i="48" s="1"/>
  <c r="I239" i="48"/>
  <c r="J239" i="48" s="1"/>
  <c r="I163" i="48"/>
  <c r="J163" i="48" s="1"/>
  <c r="I166" i="48"/>
  <c r="J166" i="48" s="1"/>
  <c r="I255" i="48"/>
  <c r="J255" i="48" s="1"/>
  <c r="I192" i="48"/>
  <c r="J192" i="48" s="1"/>
  <c r="I115" i="48"/>
  <c r="J115" i="48" s="1"/>
  <c r="I288" i="48"/>
  <c r="J288" i="48" s="1"/>
  <c r="I168" i="48"/>
  <c r="J168" i="48" s="1"/>
  <c r="I247" i="48"/>
  <c r="J247" i="48" s="1"/>
  <c r="I145" i="48"/>
  <c r="J145" i="48" s="1"/>
  <c r="I60" i="48"/>
  <c r="J60" i="48" s="1"/>
  <c r="I81" i="48"/>
  <c r="J81" i="48" s="1"/>
  <c r="I50" i="48"/>
  <c r="J50" i="48" s="1"/>
  <c r="I104" i="48"/>
  <c r="J104" i="48" s="1"/>
  <c r="I113" i="48"/>
  <c r="J113" i="48" s="1"/>
  <c r="I77" i="48"/>
  <c r="J77" i="48" s="1"/>
  <c r="I38" i="48"/>
  <c r="J38" i="48" s="1"/>
  <c r="I15" i="48"/>
  <c r="J15" i="48" s="1"/>
  <c r="I7" i="48"/>
  <c r="J7" i="48" s="1"/>
  <c r="I25" i="48"/>
  <c r="J25" i="48" s="1"/>
  <c r="I212" i="48"/>
  <c r="J212" i="48" s="1"/>
  <c r="I205" i="48"/>
  <c r="J205" i="48" s="1"/>
  <c r="I253" i="48"/>
  <c r="J253" i="48" s="1"/>
  <c r="I218" i="48"/>
  <c r="J218" i="48" s="1"/>
  <c r="I162" i="48"/>
  <c r="J162" i="48" s="1"/>
  <c r="I170" i="48"/>
  <c r="J170" i="48" s="1"/>
  <c r="I90" i="48"/>
  <c r="J90" i="48" s="1"/>
  <c r="I189" i="48"/>
  <c r="J189" i="48" s="1"/>
  <c r="I132" i="48"/>
  <c r="J132" i="48" s="1"/>
  <c r="I290" i="48"/>
  <c r="J290" i="48" s="1"/>
  <c r="I241" i="48"/>
  <c r="J241" i="48" s="1"/>
  <c r="I278" i="48"/>
  <c r="J278" i="48" s="1"/>
  <c r="I263" i="48"/>
  <c r="J263" i="48" s="1"/>
  <c r="I151" i="48"/>
  <c r="J151" i="48" s="1"/>
  <c r="I119" i="48"/>
  <c r="J119" i="48" s="1"/>
  <c r="I232" i="48"/>
  <c r="J232" i="48" s="1"/>
  <c r="I231" i="48"/>
  <c r="J231" i="48" s="1"/>
  <c r="I139" i="48"/>
  <c r="J139" i="48" s="1"/>
  <c r="I272" i="48"/>
  <c r="J272" i="48" s="1"/>
  <c r="I161" i="48"/>
  <c r="J161" i="48" s="1"/>
  <c r="I280" i="48"/>
  <c r="J280" i="48" s="1"/>
  <c r="I243" i="48"/>
  <c r="J243" i="48" s="1"/>
  <c r="I128" i="48"/>
  <c r="J128" i="48" s="1"/>
  <c r="I112" i="48"/>
  <c r="J112" i="48" s="1"/>
  <c r="I78" i="48"/>
  <c r="J78" i="48" s="1"/>
  <c r="I37" i="48"/>
  <c r="J37" i="48" s="1"/>
  <c r="I99" i="48"/>
  <c r="J99" i="48" s="1"/>
  <c r="I32" i="48"/>
  <c r="J32" i="48" s="1"/>
  <c r="I52" i="48"/>
  <c r="J52" i="48" s="1"/>
  <c r="I17" i="48"/>
  <c r="J17" i="48" s="1"/>
  <c r="I9" i="48"/>
  <c r="J9" i="48" s="1"/>
  <c r="I51" i="48"/>
  <c r="J51" i="48" s="1"/>
  <c r="I27" i="48"/>
  <c r="J27" i="48" s="1"/>
  <c r="I19" i="48"/>
  <c r="J19" i="48" s="1"/>
  <c r="I29" i="48"/>
  <c r="J29" i="48" s="1"/>
  <c r="I221" i="48"/>
  <c r="J221" i="48" s="1"/>
  <c r="I226" i="48"/>
  <c r="J226" i="48" s="1"/>
  <c r="I261" i="48"/>
  <c r="J261" i="48" s="1"/>
  <c r="I244" i="48"/>
  <c r="J244" i="48" s="1"/>
  <c r="I173" i="48"/>
  <c r="J173" i="48" s="1"/>
  <c r="I181" i="48"/>
  <c r="J181" i="48" s="1"/>
  <c r="I98" i="48"/>
  <c r="J98" i="48" s="1"/>
  <c r="I204" i="48"/>
  <c r="J204" i="48" s="1"/>
  <c r="I140" i="48"/>
  <c r="J140" i="48" s="1"/>
  <c r="I300" i="48"/>
  <c r="J300" i="48" s="1"/>
  <c r="I262" i="48"/>
  <c r="J262" i="48" s="1"/>
  <c r="I233" i="48"/>
  <c r="J233" i="48" s="1"/>
  <c r="I159" i="48"/>
  <c r="J159" i="48" s="1"/>
  <c r="I259" i="48"/>
  <c r="J259" i="48" s="1"/>
  <c r="I200" i="48"/>
  <c r="J200" i="48" s="1"/>
  <c r="I147" i="48"/>
  <c r="J147" i="48" s="1"/>
  <c r="I224" i="48"/>
  <c r="J224" i="48" s="1"/>
  <c r="I177" i="48"/>
  <c r="J177" i="48" s="1"/>
  <c r="I267" i="48"/>
  <c r="J267" i="48" s="1"/>
  <c r="I227" i="48"/>
  <c r="J227" i="48" s="1"/>
  <c r="I184" i="48"/>
  <c r="J184" i="48" s="1"/>
  <c r="I133" i="48"/>
  <c r="J133" i="48" s="1"/>
  <c r="I223" i="48"/>
  <c r="J223" i="48" s="1"/>
  <c r="I190" i="48"/>
  <c r="J190" i="48" s="1"/>
  <c r="I275" i="48"/>
  <c r="J275" i="48" s="1"/>
  <c r="I217" i="48"/>
  <c r="J217" i="48" s="1"/>
  <c r="I94" i="48"/>
  <c r="J94" i="48" s="1"/>
  <c r="I68" i="48"/>
  <c r="J68" i="48" s="1"/>
  <c r="I10" i="48"/>
  <c r="J10" i="48" s="1"/>
  <c r="I30" i="48"/>
  <c r="J30" i="48" s="1"/>
  <c r="I67" i="48"/>
  <c r="J67" i="48" s="1"/>
  <c r="I100" i="48"/>
  <c r="J100" i="48" s="1"/>
  <c r="I49" i="48"/>
  <c r="J49" i="48" s="1"/>
  <c r="I39" i="48"/>
  <c r="J39" i="48" s="1"/>
  <c r="I54" i="48"/>
  <c r="J54" i="48" s="1"/>
  <c r="I18" i="48"/>
  <c r="J18" i="48" s="1"/>
  <c r="I33" i="48"/>
  <c r="J33" i="48" s="1"/>
  <c r="I229" i="48"/>
  <c r="J229" i="48" s="1"/>
  <c r="I134" i="48"/>
  <c r="J134" i="48" s="1"/>
  <c r="I266" i="48"/>
  <c r="J266" i="48" s="1"/>
  <c r="I258" i="48"/>
  <c r="J258" i="48" s="1"/>
  <c r="I188" i="48"/>
  <c r="J188" i="48" s="1"/>
  <c r="I196" i="48"/>
  <c r="J196" i="48" s="1"/>
  <c r="I102" i="48"/>
  <c r="J102" i="48" s="1"/>
  <c r="I220" i="48"/>
  <c r="J220" i="48" s="1"/>
  <c r="I269" i="48"/>
  <c r="J269" i="48" s="1"/>
  <c r="I289" i="48"/>
  <c r="J289" i="48" s="1"/>
  <c r="I246" i="48"/>
  <c r="J246" i="48" s="1"/>
  <c r="I152" i="48"/>
  <c r="J152" i="48" s="1"/>
  <c r="I291" i="48"/>
  <c r="J291" i="48" s="1"/>
  <c r="I155" i="48"/>
  <c r="J155" i="48" s="1"/>
  <c r="I103" i="48"/>
  <c r="J103" i="48" s="1"/>
  <c r="I219" i="48"/>
  <c r="J219" i="48" s="1"/>
  <c r="I150" i="48"/>
  <c r="J150" i="48" s="1"/>
  <c r="I254" i="48"/>
  <c r="J254" i="48" s="1"/>
  <c r="I198" i="48"/>
  <c r="J198" i="48" s="1"/>
  <c r="I153" i="48"/>
  <c r="J153" i="48" s="1"/>
  <c r="I271" i="48"/>
  <c r="J271" i="48" s="1"/>
  <c r="I182" i="48"/>
  <c r="J182" i="48" s="1"/>
  <c r="I92" i="48"/>
  <c r="J92" i="48" s="1"/>
  <c r="I97" i="48"/>
  <c r="J97" i="48" s="1"/>
  <c r="I22" i="48"/>
  <c r="J22" i="48" s="1"/>
  <c r="I59" i="48"/>
  <c r="J59" i="48" s="1"/>
  <c r="I57" i="48"/>
  <c r="J57" i="48" s="1"/>
  <c r="I24" i="48"/>
  <c r="J24" i="48" s="1"/>
  <c r="I91" i="48"/>
  <c r="J91" i="48" s="1"/>
  <c r="I42" i="48"/>
  <c r="J42" i="48" s="1"/>
  <c r="I63" i="48"/>
  <c r="J63" i="48" s="1"/>
  <c r="I93" i="48"/>
  <c r="J93" i="48" s="1"/>
  <c r="I69" i="48"/>
  <c r="J69" i="48" s="1"/>
  <c r="I26" i="48"/>
  <c r="J26" i="48" s="1"/>
  <c r="I34" i="48"/>
  <c r="J34" i="48" s="1"/>
  <c r="I43" i="48"/>
  <c r="J43" i="48" s="1"/>
  <c r="I234" i="48"/>
  <c r="J234" i="48" s="1"/>
  <c r="I137" i="48"/>
  <c r="J137" i="48" s="1"/>
  <c r="I276" i="48"/>
  <c r="J276" i="48" s="1"/>
  <c r="I130" i="48"/>
  <c r="J130" i="48" s="1"/>
  <c r="I237" i="48"/>
  <c r="J237" i="48" s="1"/>
  <c r="I228" i="48"/>
  <c r="J228" i="48" s="1"/>
  <c r="I106" i="48"/>
  <c r="J106" i="48" s="1"/>
  <c r="I236" i="48"/>
  <c r="J236" i="48" s="1"/>
  <c r="I282" i="48"/>
  <c r="J282" i="48" s="1"/>
  <c r="I297" i="48"/>
  <c r="J297" i="48" s="1"/>
  <c r="I225" i="48"/>
  <c r="J225" i="48" s="1"/>
  <c r="I201" i="48"/>
  <c r="J201" i="48" s="1"/>
  <c r="I281" i="48"/>
  <c r="J281" i="48" s="1"/>
  <c r="I230" i="48"/>
  <c r="J230" i="48" s="1"/>
  <c r="I270" i="48"/>
  <c r="J270" i="48" s="1"/>
  <c r="I264" i="48"/>
  <c r="J264" i="48" s="1"/>
  <c r="I216" i="48"/>
  <c r="J216" i="48" s="1"/>
  <c r="I144" i="48"/>
  <c r="J144" i="48" s="1"/>
  <c r="I141" i="48"/>
  <c r="J141" i="48" s="1"/>
  <c r="I87" i="48"/>
  <c r="J87" i="48" s="1"/>
  <c r="I214" i="48"/>
  <c r="J214" i="48" s="1"/>
  <c r="I206" i="48"/>
  <c r="J206" i="48" s="1"/>
  <c r="I248" i="48"/>
  <c r="J248" i="48" s="1"/>
  <c r="I183" i="48"/>
  <c r="J183" i="48" s="1"/>
  <c r="I121" i="48"/>
  <c r="J121" i="48" s="1"/>
  <c r="I14" i="48"/>
  <c r="J14" i="48" s="1"/>
  <c r="I84" i="48"/>
  <c r="J84" i="48" s="1"/>
  <c r="I89" i="48"/>
  <c r="J89" i="48" s="1"/>
  <c r="I16" i="48"/>
  <c r="J16" i="48" s="1"/>
  <c r="I96" i="48"/>
  <c r="J96" i="48" s="1"/>
  <c r="I36" i="48"/>
  <c r="J36" i="48" s="1"/>
  <c r="I70" i="48"/>
  <c r="J70" i="48" s="1"/>
  <c r="I11" i="48"/>
  <c r="J11" i="48" s="1"/>
  <c r="I111" i="48"/>
  <c r="J111" i="48" s="1"/>
  <c r="I47" i="48"/>
  <c r="J47" i="48" s="1"/>
  <c r="I44" i="48"/>
  <c r="J44" i="48" s="1"/>
  <c r="I58" i="48"/>
  <c r="J58" i="48" s="1"/>
  <c r="I260" i="48"/>
  <c r="J260" i="48" s="1"/>
  <c r="I149" i="48"/>
  <c r="J149" i="48" s="1"/>
  <c r="I146" i="48"/>
  <c r="J146" i="48" s="1"/>
  <c r="I154" i="48"/>
  <c r="J154" i="48" s="1"/>
  <c r="I245" i="48"/>
  <c r="J245" i="48" s="1"/>
  <c r="I242" i="48"/>
  <c r="J242" i="48" s="1"/>
  <c r="I114" i="48"/>
  <c r="J114" i="48" s="1"/>
  <c r="I252" i="48"/>
  <c r="J252" i="48" s="1"/>
  <c r="I285" i="48"/>
  <c r="J285" i="48" s="1"/>
  <c r="I55" i="47"/>
  <c r="J55" i="47" s="1"/>
  <c r="I141" i="47"/>
  <c r="J141" i="47" s="1"/>
  <c r="I275" i="47"/>
  <c r="J275" i="47" s="1"/>
  <c r="I97" i="47"/>
  <c r="J97" i="47" s="1"/>
  <c r="I240" i="47"/>
  <c r="J240" i="47" s="1"/>
  <c r="I134" i="47"/>
  <c r="J134" i="47" s="1"/>
  <c r="I77" i="47"/>
  <c r="J77" i="47" s="1"/>
  <c r="I41" i="47"/>
  <c r="J41" i="47" s="1"/>
  <c r="I115" i="47"/>
  <c r="J115" i="47" s="1"/>
  <c r="I43" i="47"/>
  <c r="J43" i="47" s="1"/>
  <c r="I198" i="47"/>
  <c r="J198" i="47" s="1"/>
  <c r="I27" i="47"/>
  <c r="J27" i="47" s="1"/>
  <c r="I189" i="47"/>
  <c r="J189" i="47" s="1"/>
  <c r="I20" i="47"/>
  <c r="J20" i="47" s="1"/>
  <c r="I120" i="47"/>
  <c r="J120" i="47" s="1"/>
  <c r="I26" i="47"/>
  <c r="J26" i="47" s="1"/>
  <c r="I54" i="47"/>
  <c r="J54" i="47" s="1"/>
  <c r="I138" i="47"/>
  <c r="J138" i="47" s="1"/>
  <c r="I176" i="47"/>
  <c r="J176" i="47" s="1"/>
  <c r="I62" i="47"/>
  <c r="J62" i="47" s="1"/>
  <c r="I95" i="47"/>
  <c r="J95" i="47" s="1"/>
  <c r="I208" i="47"/>
  <c r="J208" i="47" s="1"/>
  <c r="I160" i="47"/>
  <c r="J160" i="47" s="1"/>
  <c r="I174" i="47"/>
  <c r="J174" i="47" s="1"/>
  <c r="I80" i="47"/>
  <c r="J80" i="47" s="1"/>
  <c r="I269" i="47"/>
  <c r="J269" i="47" s="1"/>
  <c r="I106" i="47"/>
  <c r="J106" i="47" s="1"/>
  <c r="I272" i="47"/>
  <c r="J272" i="47" s="1"/>
  <c r="I298" i="47"/>
  <c r="J298" i="47" s="1"/>
  <c r="I246" i="47"/>
  <c r="J246" i="47" s="1"/>
  <c r="I119" i="47"/>
  <c r="J119" i="47" s="1"/>
  <c r="I112" i="47"/>
  <c r="J112" i="47" s="1"/>
  <c r="I230" i="47"/>
  <c r="J230" i="47" s="1"/>
  <c r="I166" i="47"/>
  <c r="J166" i="47" s="1"/>
  <c r="I123" i="47"/>
  <c r="J123" i="47" s="1"/>
  <c r="I235" i="47"/>
  <c r="J235" i="47" s="1"/>
  <c r="I161" i="47"/>
  <c r="J161" i="47" s="1"/>
  <c r="I223" i="47"/>
  <c r="J223" i="47" s="1"/>
  <c r="I128" i="47"/>
  <c r="J128" i="47" s="1"/>
  <c r="I71" i="47"/>
  <c r="J71" i="47" s="1"/>
  <c r="I36" i="47"/>
  <c r="J36" i="47" s="1"/>
  <c r="I280" i="47"/>
  <c r="J280" i="47" s="1"/>
  <c r="I108" i="47"/>
  <c r="J108" i="47" s="1"/>
  <c r="I32" i="47"/>
  <c r="J32" i="47" s="1"/>
  <c r="I16" i="47"/>
  <c r="J16" i="47" s="1"/>
  <c r="I184" i="47"/>
  <c r="J184" i="47" s="1"/>
  <c r="I14" i="47"/>
  <c r="J14" i="47" s="1"/>
  <c r="I111" i="47"/>
  <c r="J111" i="47" s="1"/>
  <c r="I11" i="47"/>
  <c r="J11" i="47" s="1"/>
  <c r="I82" i="47"/>
  <c r="J82" i="47" s="1"/>
  <c r="I10" i="47"/>
  <c r="J10" i="47" s="1"/>
  <c r="I194" i="47"/>
  <c r="J194" i="47" s="1"/>
  <c r="I122" i="47"/>
  <c r="J122" i="47" s="1"/>
  <c r="I118" i="47"/>
  <c r="J118" i="47" s="1"/>
  <c r="I222" i="47"/>
  <c r="J222" i="47" s="1"/>
  <c r="I13" i="47"/>
  <c r="J13" i="47" s="1"/>
  <c r="I178" i="47"/>
  <c r="J178" i="47" s="1"/>
  <c r="I87" i="47"/>
  <c r="J87" i="47" s="1"/>
  <c r="I283" i="47"/>
  <c r="J283" i="47" s="1"/>
  <c r="I162" i="47"/>
  <c r="J162" i="47" s="1"/>
  <c r="I286" i="47"/>
  <c r="J286" i="47" s="1"/>
  <c r="I238" i="47"/>
  <c r="J238" i="47" s="1"/>
  <c r="I250" i="47"/>
  <c r="J250" i="47" s="1"/>
  <c r="I177" i="47"/>
  <c r="J177" i="47" s="1"/>
  <c r="I265" i="47"/>
  <c r="J265" i="47" s="1"/>
  <c r="I116" i="47"/>
  <c r="J116" i="47" s="1"/>
  <c r="I261" i="47"/>
  <c r="J261" i="47" s="1"/>
  <c r="I213" i="47"/>
  <c r="J213" i="47" s="1"/>
  <c r="I124" i="47"/>
  <c r="J124" i="47" s="1"/>
  <c r="I67" i="47"/>
  <c r="J67" i="47" s="1"/>
  <c r="I30" i="47"/>
  <c r="J30" i="47" s="1"/>
  <c r="I181" i="47"/>
  <c r="J181" i="47" s="1"/>
  <c r="I9" i="47"/>
  <c r="J9" i="47" s="1"/>
  <c r="I185" i="47"/>
  <c r="J185" i="47" s="1"/>
  <c r="I72" i="47"/>
  <c r="J72" i="47" s="1"/>
  <c r="I293" i="47"/>
  <c r="J293" i="47" s="1"/>
  <c r="I99" i="47"/>
  <c r="J99" i="47" s="1"/>
  <c r="I104" i="47"/>
  <c r="J104" i="47" s="1"/>
  <c r="I89" i="47"/>
  <c r="J89" i="47" s="1"/>
  <c r="I28" i="47"/>
  <c r="J28" i="47" s="1"/>
  <c r="I211" i="47"/>
  <c r="J211" i="47" s="1"/>
  <c r="I154" i="47"/>
  <c r="J154" i="47" s="1"/>
  <c r="I142" i="47"/>
  <c r="J142" i="47" s="1"/>
  <c r="I47" i="47"/>
  <c r="J47" i="47" s="1"/>
  <c r="I19" i="47"/>
  <c r="J19" i="47" s="1"/>
  <c r="I182" i="47"/>
  <c r="J182" i="47" s="1"/>
  <c r="I110" i="47"/>
  <c r="J110" i="47" s="1"/>
  <c r="I29" i="47"/>
  <c r="J29" i="47" s="1"/>
  <c r="I206" i="47"/>
  <c r="J206" i="47" s="1"/>
  <c r="I290" i="47"/>
  <c r="J290" i="47" s="1"/>
  <c r="I242" i="47"/>
  <c r="J242" i="47" s="1"/>
  <c r="I264" i="47"/>
  <c r="J264" i="47" s="1"/>
  <c r="I57" i="47"/>
  <c r="J57" i="47" s="1"/>
  <c r="I63" i="47"/>
  <c r="J63" i="47" s="1"/>
  <c r="I231" i="47"/>
  <c r="J231" i="47" s="1"/>
  <c r="I268" i="47"/>
  <c r="J268" i="47" s="1"/>
  <c r="I204" i="47"/>
  <c r="J204" i="47" s="1"/>
  <c r="I140" i="47"/>
  <c r="J140" i="47" s="1"/>
  <c r="I289" i="47"/>
  <c r="J289" i="47" s="1"/>
  <c r="I285" i="47"/>
  <c r="J285" i="47" s="1"/>
  <c r="I143" i="47"/>
  <c r="J143" i="47" s="1"/>
  <c r="I291" i="47"/>
  <c r="J291" i="47" s="1"/>
  <c r="I139" i="47"/>
  <c r="J139" i="47" s="1"/>
  <c r="I219" i="47"/>
  <c r="J219" i="47" s="1"/>
  <c r="I64" i="47"/>
  <c r="J64" i="47" s="1"/>
  <c r="I195" i="47"/>
  <c r="J195" i="47" s="1"/>
  <c r="I105" i="47"/>
  <c r="J105" i="47" s="1"/>
  <c r="I68" i="47"/>
  <c r="J68" i="47" s="1"/>
  <c r="I92" i="47"/>
  <c r="J92" i="47" s="1"/>
  <c r="I7" i="47"/>
  <c r="J7" i="47" s="1"/>
  <c r="I65" i="47"/>
  <c r="J65" i="47" s="1"/>
  <c r="I96" i="47"/>
  <c r="J96" i="47" s="1"/>
  <c r="I44" i="47"/>
  <c r="J44" i="47" s="1"/>
  <c r="I237" i="47"/>
  <c r="J237" i="47" s="1"/>
  <c r="I98" i="47"/>
  <c r="J98" i="47" s="1"/>
  <c r="I150" i="47"/>
  <c r="J150" i="47" s="1"/>
  <c r="I81" i="47"/>
  <c r="J81" i="47" s="1"/>
  <c r="I35" i="47"/>
  <c r="J35" i="47" s="1"/>
  <c r="I200" i="47"/>
  <c r="J200" i="47" s="1"/>
  <c r="I130" i="47"/>
  <c r="J130" i="47" s="1"/>
  <c r="I45" i="47"/>
  <c r="J45" i="47" s="1"/>
  <c r="I210" i="47"/>
  <c r="J210" i="47" s="1"/>
  <c r="I170" i="47"/>
  <c r="J170" i="47" s="1"/>
  <c r="I256" i="47"/>
  <c r="J256" i="47" s="1"/>
  <c r="I278" i="47"/>
  <c r="J278" i="47" s="1"/>
  <c r="I42" i="47"/>
  <c r="J42" i="47" s="1"/>
  <c r="I233" i="47"/>
  <c r="J233" i="47" s="1"/>
  <c r="I201" i="47"/>
  <c r="J201" i="47" s="1"/>
  <c r="I153" i="47"/>
  <c r="J153" i="47" s="1"/>
  <c r="I113" i="47"/>
  <c r="J113" i="47" s="1"/>
  <c r="I262" i="47"/>
  <c r="J262" i="47" s="1"/>
  <c r="I183" i="47"/>
  <c r="J183" i="47" s="1"/>
  <c r="I205" i="47"/>
  <c r="J205" i="47" s="1"/>
  <c r="I117" i="47"/>
  <c r="J117" i="47" s="1"/>
  <c r="I59" i="47"/>
  <c r="J59" i="47" s="1"/>
  <c r="I191" i="47"/>
  <c r="J191" i="47" s="1"/>
  <c r="I121" i="47"/>
  <c r="J121" i="47" s="1"/>
  <c r="I91" i="47"/>
  <c r="J91" i="47" s="1"/>
  <c r="I227" i="47"/>
  <c r="J227" i="47" s="1"/>
  <c r="I159" i="47"/>
  <c r="J159" i="47" s="1"/>
  <c r="I127" i="47"/>
  <c r="J127" i="47" s="1"/>
  <c r="I86" i="47"/>
  <c r="J86" i="47" s="1"/>
  <c r="I103" i="47"/>
  <c r="J103" i="47" s="1"/>
  <c r="I58" i="47"/>
  <c r="J58" i="47" s="1"/>
  <c r="I243" i="47"/>
  <c r="J243" i="47" s="1"/>
  <c r="I251" i="47"/>
  <c r="J251" i="47" s="1"/>
  <c r="I168" i="47"/>
  <c r="J168" i="47" s="1"/>
  <c r="I101" i="47"/>
  <c r="J101" i="47" s="1"/>
  <c r="I51" i="47"/>
  <c r="J51" i="47" s="1"/>
  <c r="I5" i="47"/>
  <c r="J5" i="47" s="1"/>
  <c r="I187" i="47"/>
  <c r="J187" i="47" s="1"/>
  <c r="I73" i="47"/>
  <c r="J73" i="47" s="1"/>
  <c r="I214" i="47"/>
  <c r="J214" i="47" s="1"/>
  <c r="I202" i="47"/>
  <c r="J202" i="47" s="1"/>
  <c r="I270" i="47"/>
  <c r="J270" i="47" s="1"/>
  <c r="I282" i="47"/>
  <c r="J282" i="47" s="1"/>
  <c r="I25" i="47"/>
  <c r="J25" i="47" s="1"/>
  <c r="I207" i="47"/>
  <c r="J207" i="47" s="1"/>
  <c r="I288" i="47"/>
  <c r="J288" i="47" s="1"/>
  <c r="I277" i="47"/>
  <c r="J277" i="47" s="1"/>
  <c r="I199" i="47"/>
  <c r="J199" i="47" s="1"/>
  <c r="I83" i="47"/>
  <c r="J83" i="47" s="1"/>
  <c r="I157" i="47"/>
  <c r="J157" i="47" s="1"/>
  <c r="I18" i="47"/>
  <c r="J18" i="47" s="1"/>
  <c r="I107" i="47"/>
  <c r="J107" i="47" s="1"/>
  <c r="I40" i="47"/>
  <c r="J40" i="47" s="1"/>
  <c r="I155" i="47"/>
  <c r="J155" i="47" s="1"/>
  <c r="I56" i="47"/>
  <c r="J56" i="47" s="1"/>
  <c r="I84" i="47"/>
  <c r="J84" i="47" s="1"/>
  <c r="I259" i="47"/>
  <c r="J259" i="47" s="1"/>
  <c r="I85" i="47"/>
  <c r="J85" i="47" s="1"/>
  <c r="I221" i="47"/>
  <c r="J221" i="47" s="1"/>
  <c r="I61" i="47"/>
  <c r="J61" i="47" s="1"/>
  <c r="I149" i="47"/>
  <c r="J149" i="47" s="1"/>
  <c r="I15" i="47"/>
  <c r="J15" i="47" s="1"/>
  <c r="I109" i="47"/>
  <c r="J109" i="47" s="1"/>
  <c r="I102" i="47"/>
  <c r="J102" i="47" s="1"/>
  <c r="I17" i="47"/>
  <c r="J17" i="47" s="1"/>
  <c r="I31" i="47"/>
  <c r="J31" i="47" s="1"/>
  <c r="I173" i="47"/>
  <c r="J173" i="47" s="1"/>
  <c r="I135" i="47"/>
  <c r="J135" i="47" s="1"/>
  <c r="I70" i="47"/>
  <c r="J70" i="47" s="1"/>
  <c r="I34" i="47"/>
  <c r="J34" i="47" s="1"/>
  <c r="I192" i="47"/>
  <c r="J192" i="47" s="1"/>
  <c r="I93" i="47"/>
  <c r="J93" i="47" s="1"/>
  <c r="I226" i="47"/>
  <c r="J226" i="47" s="1"/>
  <c r="I234" i="47"/>
  <c r="J234" i="47" s="1"/>
  <c r="I274" i="47"/>
  <c r="J274" i="47" s="1"/>
  <c r="I37" i="47"/>
  <c r="J37" i="47" s="1"/>
  <c r="I76" i="47"/>
  <c r="J76" i="47" s="1"/>
  <c r="I255" i="47"/>
  <c r="J255" i="47" s="1"/>
  <c r="I152" i="47"/>
  <c r="J152" i="47" s="1"/>
  <c r="I100" i="47"/>
  <c r="J100" i="47" s="1"/>
  <c r="I24" i="47"/>
  <c r="J24" i="47" s="1"/>
  <c r="I151" i="47"/>
  <c r="J151" i="47" s="1"/>
  <c r="I52" i="47"/>
  <c r="J52" i="47" s="1"/>
  <c r="I245" i="47"/>
  <c r="J245" i="47" s="1"/>
  <c r="I216" i="47"/>
  <c r="J216" i="47" s="1"/>
  <c r="I79" i="47"/>
  <c r="J79" i="47" s="1"/>
  <c r="I163" i="47"/>
  <c r="J163" i="47" s="1"/>
  <c r="I53" i="47"/>
  <c r="J53" i="47" s="1"/>
  <c r="I215" i="47"/>
  <c r="J215" i="47" s="1"/>
  <c r="I78" i="47"/>
  <c r="J78" i="47" s="1"/>
  <c r="I179" i="47"/>
  <c r="J179" i="47" s="1"/>
  <c r="I22" i="47"/>
  <c r="J22" i="47" s="1"/>
  <c r="I126" i="47"/>
  <c r="J126" i="47" s="1"/>
  <c r="I129" i="47"/>
  <c r="J129" i="47" s="1"/>
  <c r="I33" i="47"/>
  <c r="J33" i="47" s="1"/>
  <c r="I74" i="47"/>
  <c r="J74" i="47" s="1"/>
  <c r="I186" i="47"/>
  <c r="J186" i="47" s="1"/>
  <c r="I146" i="47"/>
  <c r="J146" i="47" s="1"/>
  <c r="I90" i="47"/>
  <c r="J90" i="47" s="1"/>
  <c r="I50" i="47"/>
  <c r="J50" i="47" s="1"/>
  <c r="I224" i="47"/>
  <c r="J224" i="47" s="1"/>
  <c r="I23" i="47"/>
  <c r="J23" i="47" s="1"/>
  <c r="I254" i="47"/>
  <c r="J254" i="47" s="1"/>
  <c r="I266" i="47"/>
  <c r="J266" i="47" s="1"/>
  <c r="I218" i="47"/>
  <c r="J218" i="47" s="1"/>
  <c r="I144" i="47"/>
  <c r="J144" i="47" s="1"/>
  <c r="I21" i="47"/>
  <c r="J21" i="47" s="1"/>
  <c r="I197" i="47"/>
  <c r="J197" i="47" s="1"/>
  <c r="I172" i="47"/>
  <c r="J172" i="47" s="1"/>
  <c r="I225" i="47"/>
  <c r="J225" i="47" s="1"/>
  <c r="I263" i="47"/>
  <c r="J263" i="47" s="1"/>
  <c r="I287" i="47"/>
  <c r="J287" i="47" s="1"/>
  <c r="I248" i="47"/>
  <c r="J248" i="47" s="1"/>
  <c r="I169" i="47"/>
  <c r="J169" i="47" s="1"/>
  <c r="I137" i="47"/>
  <c r="J137" i="47" s="1"/>
  <c r="I94" i="47"/>
  <c r="J94" i="47" s="1"/>
  <c r="I46" i="47"/>
  <c r="J46" i="47" s="1"/>
  <c r="I60" i="47"/>
  <c r="J60" i="47" s="1"/>
  <c r="I217" i="47"/>
  <c r="J217" i="47" s="1"/>
  <c r="I125" i="47"/>
  <c r="J125" i="47" s="1"/>
  <c r="I75" i="47"/>
  <c r="J75" i="47" s="1"/>
  <c r="I203" i="47"/>
  <c r="J203" i="47" s="1"/>
  <c r="I132" i="47"/>
  <c r="J132" i="47" s="1"/>
  <c r="I48" i="47"/>
  <c r="J48" i="47" s="1"/>
  <c r="I147" i="47"/>
  <c r="J147" i="47" s="1"/>
  <c r="I38" i="47"/>
  <c r="J38" i="47" s="1"/>
  <c r="I136" i="47"/>
  <c r="J136" i="47" s="1"/>
  <c r="I158" i="47"/>
  <c r="J158" i="47" s="1"/>
  <c r="I49" i="47"/>
  <c r="J49" i="47" s="1"/>
  <c r="I88" i="47"/>
  <c r="J88" i="47" s="1"/>
  <c r="I190" i="47"/>
  <c r="J190" i="47" s="1"/>
  <c r="I114" i="47"/>
  <c r="J114" i="47" s="1"/>
  <c r="I165" i="47"/>
  <c r="J165" i="47" s="1"/>
  <c r="I66" i="47"/>
  <c r="J66" i="47" s="1"/>
  <c r="I229" i="47"/>
  <c r="J229" i="47" s="1"/>
  <c r="I39" i="47"/>
  <c r="J39" i="47" s="1"/>
  <c r="I258" i="47"/>
  <c r="J258" i="47" s="1"/>
  <c r="I294" i="47"/>
  <c r="J294" i="47" s="1"/>
  <c r="I232" i="47"/>
  <c r="J232" i="47" s="1"/>
  <c r="I8" i="47"/>
  <c r="J8" i="47" s="1"/>
  <c r="I6" i="47"/>
  <c r="J6" i="47" s="1"/>
  <c r="I271" i="46"/>
  <c r="J271" i="46" s="1"/>
  <c r="I293" i="46"/>
  <c r="J293" i="46" s="1"/>
  <c r="I73" i="46"/>
  <c r="J73" i="46" s="1"/>
  <c r="I279" i="46"/>
  <c r="J279" i="46" s="1"/>
  <c r="I167" i="46"/>
  <c r="J167" i="46" s="1"/>
  <c r="I291" i="46"/>
  <c r="J291" i="46" s="1"/>
  <c r="I208" i="46"/>
  <c r="J208" i="46" s="1"/>
  <c r="I116" i="46"/>
  <c r="J116" i="46" s="1"/>
  <c r="I248" i="46"/>
  <c r="J248" i="46" s="1"/>
  <c r="I203" i="46"/>
  <c r="J203" i="46" s="1"/>
  <c r="I191" i="46"/>
  <c r="J191" i="46" s="1"/>
  <c r="I41" i="46"/>
  <c r="J41" i="46" s="1"/>
  <c r="I79" i="46"/>
  <c r="J79" i="46" s="1"/>
  <c r="I10" i="46"/>
  <c r="J10" i="46" s="1"/>
  <c r="I192" i="46"/>
  <c r="J192" i="46" s="1"/>
  <c r="I112" i="46"/>
  <c r="J112" i="46" s="1"/>
  <c r="I29" i="46"/>
  <c r="J29" i="46" s="1"/>
  <c r="I96" i="46"/>
  <c r="J96" i="46" s="1"/>
  <c r="I48" i="46"/>
  <c r="J48" i="46" s="1"/>
  <c r="I119" i="46"/>
  <c r="J119" i="46" s="1"/>
  <c r="I38" i="46"/>
  <c r="J38" i="46" s="1"/>
  <c r="I111" i="46"/>
  <c r="J111" i="46" s="1"/>
  <c r="I150" i="46"/>
  <c r="J150" i="46" s="1"/>
  <c r="I195" i="46"/>
  <c r="J195" i="46" s="1"/>
  <c r="I40" i="46"/>
  <c r="J40" i="46" s="1"/>
  <c r="I230" i="46"/>
  <c r="J230" i="46" s="1"/>
  <c r="I106" i="46"/>
  <c r="J106" i="46" s="1"/>
  <c r="I129" i="46"/>
  <c r="J129" i="46" s="1"/>
  <c r="I142" i="46"/>
  <c r="J142" i="46" s="1"/>
  <c r="I102" i="46"/>
  <c r="J102" i="46" s="1"/>
  <c r="I259" i="46"/>
  <c r="J259" i="46" s="1"/>
  <c r="I114" i="46"/>
  <c r="J114" i="46" s="1"/>
  <c r="I177" i="46"/>
  <c r="J177" i="46" s="1"/>
  <c r="I78" i="46"/>
  <c r="J78" i="46" s="1"/>
  <c r="I178" i="46"/>
  <c r="J178" i="46" s="1"/>
  <c r="I201" i="46"/>
  <c r="J201" i="46" s="1"/>
  <c r="I254" i="46"/>
  <c r="J254" i="46" s="1"/>
  <c r="I268" i="46"/>
  <c r="J268" i="46" s="1"/>
  <c r="I287" i="46"/>
  <c r="J287" i="46" s="1"/>
  <c r="I183" i="46"/>
  <c r="J183" i="46" s="1"/>
  <c r="I115" i="46"/>
  <c r="J115" i="46" s="1"/>
  <c r="I224" i="46"/>
  <c r="J224" i="46" s="1"/>
  <c r="I245" i="46"/>
  <c r="J245" i="46" s="1"/>
  <c r="I152" i="46"/>
  <c r="J152" i="46" s="1"/>
  <c r="I295" i="46"/>
  <c r="J295" i="46" s="1"/>
  <c r="I181" i="46"/>
  <c r="J181" i="46" s="1"/>
  <c r="I123" i="46"/>
  <c r="J123" i="46" s="1"/>
  <c r="I187" i="46"/>
  <c r="J187" i="46" s="1"/>
  <c r="I221" i="46"/>
  <c r="J221" i="46" s="1"/>
  <c r="I277" i="46"/>
  <c r="J277" i="46" s="1"/>
  <c r="I149" i="46"/>
  <c r="J149" i="46" s="1"/>
  <c r="I26" i="46"/>
  <c r="J26" i="46" s="1"/>
  <c r="I32" i="46"/>
  <c r="J32" i="46" s="1"/>
  <c r="I109" i="46"/>
  <c r="J109" i="46" s="1"/>
  <c r="I22" i="46"/>
  <c r="J22" i="46" s="1"/>
  <c r="I175" i="46"/>
  <c r="J175" i="46" s="1"/>
  <c r="I7" i="46"/>
  <c r="J7" i="46" s="1"/>
  <c r="I61" i="46"/>
  <c r="J61" i="46" s="1"/>
  <c r="I214" i="46"/>
  <c r="J214" i="46" s="1"/>
  <c r="I15" i="46"/>
  <c r="J15" i="46" s="1"/>
  <c r="I76" i="46"/>
  <c r="J76" i="46" s="1"/>
  <c r="I281" i="46"/>
  <c r="J281" i="46" s="1"/>
  <c r="I138" i="46"/>
  <c r="J138" i="46" s="1"/>
  <c r="I160" i="46"/>
  <c r="J160" i="46" s="1"/>
  <c r="I186" i="46"/>
  <c r="J186" i="46" s="1"/>
  <c r="I118" i="46"/>
  <c r="J118" i="46" s="1"/>
  <c r="I272" i="46"/>
  <c r="J272" i="46" s="1"/>
  <c r="I154" i="46"/>
  <c r="J154" i="46" s="1"/>
  <c r="I211" i="46"/>
  <c r="J211" i="46" s="1"/>
  <c r="I94" i="46"/>
  <c r="J94" i="46" s="1"/>
  <c r="I182" i="46"/>
  <c r="J182" i="46" s="1"/>
  <c r="I194" i="46"/>
  <c r="J194" i="46" s="1"/>
  <c r="I297" i="46"/>
  <c r="J297" i="46" s="1"/>
  <c r="I105" i="46"/>
  <c r="J105" i="46" s="1"/>
  <c r="I288" i="46"/>
  <c r="J288" i="46" s="1"/>
  <c r="I148" i="46"/>
  <c r="J148" i="46" s="1"/>
  <c r="I197" i="46"/>
  <c r="J197" i="46" s="1"/>
  <c r="I100" i="46"/>
  <c r="J100" i="46" s="1"/>
  <c r="I151" i="46"/>
  <c r="J151" i="46" s="1"/>
  <c r="I235" i="46"/>
  <c r="J235" i="46" s="1"/>
  <c r="I165" i="46"/>
  <c r="J165" i="46" s="1"/>
  <c r="I135" i="46"/>
  <c r="J135" i="46" s="1"/>
  <c r="I95" i="46"/>
  <c r="J95" i="46" s="1"/>
  <c r="I57" i="46"/>
  <c r="J57" i="46" s="1"/>
  <c r="I36" i="46"/>
  <c r="J36" i="46" s="1"/>
  <c r="I20" i="46"/>
  <c r="J20" i="46" s="1"/>
  <c r="I190" i="46"/>
  <c r="J190" i="46" s="1"/>
  <c r="I69" i="46"/>
  <c r="J69" i="46" s="1"/>
  <c r="I251" i="46"/>
  <c r="J251" i="46" s="1"/>
  <c r="I80" i="46"/>
  <c r="J80" i="46" s="1"/>
  <c r="I12" i="46"/>
  <c r="J12" i="46" s="1"/>
  <c r="I157" i="46"/>
  <c r="J157" i="46" s="1"/>
  <c r="I70" i="46"/>
  <c r="J70" i="46" s="1"/>
  <c r="I16" i="46"/>
  <c r="J16" i="46" s="1"/>
  <c r="I234" i="46"/>
  <c r="J234" i="46" s="1"/>
  <c r="I27" i="46"/>
  <c r="J27" i="46" s="1"/>
  <c r="I88" i="46"/>
  <c r="J88" i="46" s="1"/>
  <c r="I24" i="46"/>
  <c r="J24" i="46" s="1"/>
  <c r="I21" i="46"/>
  <c r="J21" i="46" s="1"/>
  <c r="I225" i="46"/>
  <c r="J225" i="46" s="1"/>
  <c r="I206" i="46"/>
  <c r="J206" i="46" s="1"/>
  <c r="I121" i="46"/>
  <c r="J121" i="46" s="1"/>
  <c r="I285" i="46"/>
  <c r="J285" i="46" s="1"/>
  <c r="I169" i="46"/>
  <c r="J169" i="46" s="1"/>
  <c r="I222" i="46"/>
  <c r="J222" i="46" s="1"/>
  <c r="I110" i="46"/>
  <c r="J110" i="46" s="1"/>
  <c r="I193" i="46"/>
  <c r="J193" i="46" s="1"/>
  <c r="I198" i="46"/>
  <c r="J198" i="46" s="1"/>
  <c r="I298" i="46"/>
  <c r="J298" i="46" s="1"/>
  <c r="I168" i="46"/>
  <c r="J168" i="46" s="1"/>
  <c r="I300" i="46"/>
  <c r="J300" i="46" s="1"/>
  <c r="I172" i="46"/>
  <c r="J172" i="46" s="1"/>
  <c r="I255" i="46"/>
  <c r="J255" i="46" s="1"/>
  <c r="I164" i="46"/>
  <c r="J164" i="46" s="1"/>
  <c r="I275" i="46"/>
  <c r="J275" i="46" s="1"/>
  <c r="I213" i="46"/>
  <c r="J213" i="46" s="1"/>
  <c r="I232" i="46"/>
  <c r="J232" i="46" s="1"/>
  <c r="I253" i="46"/>
  <c r="J253" i="46" s="1"/>
  <c r="I296" i="46"/>
  <c r="J296" i="46" s="1"/>
  <c r="I276" i="46"/>
  <c r="J276" i="46" s="1"/>
  <c r="I52" i="46"/>
  <c r="J52" i="46" s="1"/>
  <c r="I33" i="46"/>
  <c r="J33" i="46" s="1"/>
  <c r="I247" i="46"/>
  <c r="J247" i="46" s="1"/>
  <c r="I101" i="46"/>
  <c r="J101" i="46" s="1"/>
  <c r="I75" i="46"/>
  <c r="J75" i="46" s="1"/>
  <c r="I179" i="46"/>
  <c r="J179" i="46" s="1"/>
  <c r="I171" i="46"/>
  <c r="J171" i="46" s="1"/>
  <c r="I65" i="46"/>
  <c r="J65" i="46" s="1"/>
  <c r="I18" i="46"/>
  <c r="J18" i="46" s="1"/>
  <c r="I144" i="46"/>
  <c r="J144" i="46" s="1"/>
  <c r="I55" i="46"/>
  <c r="J55" i="46" s="1"/>
  <c r="I5" i="46"/>
  <c r="J5" i="46" s="1"/>
  <c r="I35" i="46"/>
  <c r="J35" i="46" s="1"/>
  <c r="I90" i="46"/>
  <c r="J90" i="46" s="1"/>
  <c r="I11" i="46"/>
  <c r="J11" i="46" s="1"/>
  <c r="I71" i="46"/>
  <c r="J71" i="46" s="1"/>
  <c r="I238" i="46"/>
  <c r="J238" i="46" s="1"/>
  <c r="I53" i="46"/>
  <c r="J53" i="46" s="1"/>
  <c r="I130" i="46"/>
  <c r="J130" i="46" s="1"/>
  <c r="I294" i="46"/>
  <c r="J294" i="46" s="1"/>
  <c r="I218" i="46"/>
  <c r="J218" i="46" s="1"/>
  <c r="I265" i="46"/>
  <c r="J265" i="46" s="1"/>
  <c r="I170" i="46"/>
  <c r="J170" i="46" s="1"/>
  <c r="I249" i="46"/>
  <c r="J249" i="46" s="1"/>
  <c r="I209" i="46"/>
  <c r="J209" i="46" s="1"/>
  <c r="I226" i="46"/>
  <c r="J226" i="46" s="1"/>
  <c r="I239" i="46"/>
  <c r="J239" i="46" s="1"/>
  <c r="I267" i="46"/>
  <c r="J267" i="46" s="1"/>
  <c r="I99" i="46"/>
  <c r="J99" i="46" s="1"/>
  <c r="I140" i="46"/>
  <c r="J140" i="46" s="1"/>
  <c r="I244" i="46"/>
  <c r="J244" i="46" s="1"/>
  <c r="I189" i="46"/>
  <c r="J189" i="46" s="1"/>
  <c r="I84" i="46"/>
  <c r="J84" i="46" s="1"/>
  <c r="I231" i="46"/>
  <c r="J231" i="46" s="1"/>
  <c r="I260" i="46"/>
  <c r="J260" i="46" s="1"/>
  <c r="I143" i="46"/>
  <c r="J143" i="46" s="1"/>
  <c r="I180" i="46"/>
  <c r="J180" i="46" s="1"/>
  <c r="I97" i="46"/>
  <c r="J97" i="46" s="1"/>
  <c r="I64" i="46"/>
  <c r="J64" i="46" s="1"/>
  <c r="I14" i="46"/>
  <c r="J14" i="46" s="1"/>
  <c r="I67" i="46"/>
  <c r="J67" i="46" s="1"/>
  <c r="I243" i="46"/>
  <c r="J243" i="46" s="1"/>
  <c r="I176" i="46"/>
  <c r="J176" i="46" s="1"/>
  <c r="I8" i="46"/>
  <c r="J8" i="46" s="1"/>
  <c r="I6" i="46"/>
  <c r="J6" i="46" s="1"/>
  <c r="I93" i="46"/>
  <c r="J93" i="46" s="1"/>
  <c r="I43" i="46"/>
  <c r="J43" i="46" s="1"/>
  <c r="I134" i="46"/>
  <c r="J134" i="46" s="1"/>
  <c r="I56" i="46"/>
  <c r="J56" i="46" s="1"/>
  <c r="I108" i="46"/>
  <c r="J108" i="46" s="1"/>
  <c r="I17" i="46"/>
  <c r="J17" i="46" s="1"/>
  <c r="I13" i="46"/>
  <c r="J13" i="46" s="1"/>
  <c r="I133" i="46"/>
  <c r="J133" i="46" s="1"/>
  <c r="I289" i="46"/>
  <c r="J289" i="46" s="1"/>
  <c r="I147" i="46"/>
  <c r="J147" i="46" s="1"/>
  <c r="I273" i="46"/>
  <c r="J273" i="46" s="1"/>
  <c r="I185" i="46"/>
  <c r="J185" i="46" s="1"/>
  <c r="I257" i="46"/>
  <c r="J257" i="46" s="1"/>
  <c r="I233" i="46"/>
  <c r="J233" i="46" s="1"/>
  <c r="I242" i="46"/>
  <c r="J242" i="46" s="1"/>
  <c r="I124" i="46"/>
  <c r="J124" i="46" s="1"/>
  <c r="I89" i="46"/>
  <c r="J89" i="46" s="1"/>
  <c r="I205" i="46"/>
  <c r="J205" i="46" s="1"/>
  <c r="I216" i="46"/>
  <c r="J216" i="46" s="1"/>
  <c r="I286" i="46"/>
  <c r="J286" i="46" s="1"/>
  <c r="I215" i="46"/>
  <c r="J215" i="46" s="1"/>
  <c r="I132" i="46"/>
  <c r="J132" i="46" s="1"/>
  <c r="I139" i="46"/>
  <c r="J139" i="46" s="1"/>
  <c r="I256" i="46"/>
  <c r="J256" i="46" s="1"/>
  <c r="I91" i="46"/>
  <c r="J91" i="46" s="1"/>
  <c r="I49" i="46"/>
  <c r="J49" i="46" s="1"/>
  <c r="I28" i="46"/>
  <c r="J28" i="46" s="1"/>
  <c r="I39" i="46"/>
  <c r="J39" i="46" s="1"/>
  <c r="I269" i="46"/>
  <c r="J269" i="46" s="1"/>
  <c r="I85" i="46"/>
  <c r="J85" i="46" s="1"/>
  <c r="I45" i="46"/>
  <c r="J45" i="46" s="1"/>
  <c r="I37" i="46"/>
  <c r="J37" i="46" s="1"/>
  <c r="I184" i="46"/>
  <c r="J184" i="46" s="1"/>
  <c r="I63" i="46"/>
  <c r="J63" i="46" s="1"/>
  <c r="I59" i="46"/>
  <c r="J59" i="46" s="1"/>
  <c r="I19" i="46"/>
  <c r="J19" i="46" s="1"/>
  <c r="I9" i="46"/>
  <c r="J9" i="46" s="1"/>
  <c r="I51" i="46"/>
  <c r="J51" i="46" s="1"/>
  <c r="I136" i="46"/>
  <c r="J136" i="46" s="1"/>
  <c r="I58" i="46"/>
  <c r="J58" i="46" s="1"/>
  <c r="I120" i="46"/>
  <c r="J120" i="46" s="1"/>
  <c r="I31" i="46"/>
  <c r="J31" i="46" s="1"/>
  <c r="I137" i="46"/>
  <c r="J137" i="46" s="1"/>
  <c r="I153" i="46"/>
  <c r="J153" i="46" s="1"/>
  <c r="I66" i="46"/>
  <c r="J66" i="46" s="1"/>
  <c r="I158" i="46"/>
  <c r="J158" i="46" s="1"/>
  <c r="I278" i="46"/>
  <c r="J278" i="46" s="1"/>
  <c r="I125" i="46"/>
  <c r="J125" i="46" s="1"/>
  <c r="I262" i="46"/>
  <c r="J262" i="46" s="1"/>
  <c r="I241" i="46"/>
  <c r="J241" i="46" s="1"/>
  <c r="I258" i="46"/>
  <c r="J258" i="46" s="1"/>
  <c r="I284" i="46"/>
  <c r="J284" i="46" s="1"/>
  <c r="I299" i="46"/>
  <c r="J299" i="46" s="1"/>
  <c r="I263" i="46"/>
  <c r="J263" i="46" s="1"/>
  <c r="I283" i="46"/>
  <c r="J283" i="46" s="1"/>
  <c r="I212" i="46"/>
  <c r="J212" i="46" s="1"/>
  <c r="I227" i="46"/>
  <c r="J227" i="46" s="1"/>
  <c r="I159" i="46"/>
  <c r="J159" i="46" s="1"/>
  <c r="I68" i="46"/>
  <c r="J68" i="46" s="1"/>
  <c r="I261" i="46"/>
  <c r="J261" i="46" s="1"/>
  <c r="I200" i="46"/>
  <c r="J200" i="46" s="1"/>
  <c r="I117" i="46"/>
  <c r="J117" i="46" s="1"/>
  <c r="I87" i="46"/>
  <c r="J87" i="46" s="1"/>
  <c r="I25" i="46"/>
  <c r="J25" i="46" s="1"/>
  <c r="I173" i="46"/>
  <c r="J173" i="46" s="1"/>
  <c r="I23" i="46"/>
  <c r="J23" i="46" s="1"/>
  <c r="I81" i="46"/>
  <c r="J81" i="46" s="1"/>
  <c r="I54" i="46"/>
  <c r="J54" i="46" s="1"/>
  <c r="I145" i="46"/>
  <c r="J145" i="46" s="1"/>
  <c r="I264" i="46"/>
  <c r="J264" i="46" s="1"/>
  <c r="I46" i="46"/>
  <c r="J46" i="46" s="1"/>
  <c r="I50" i="46"/>
  <c r="J50" i="46" s="1"/>
  <c r="I103" i="46"/>
  <c r="J103" i="46" s="1"/>
  <c r="I128" i="46"/>
  <c r="J128" i="46" s="1"/>
  <c r="I72" i="46"/>
  <c r="J72" i="46" s="1"/>
  <c r="I146" i="46"/>
  <c r="J146" i="46" s="1"/>
  <c r="I92" i="46"/>
  <c r="J92" i="46" s="1"/>
  <c r="I122" i="46"/>
  <c r="J122" i="46" s="1"/>
  <c r="I47" i="46"/>
  <c r="J47" i="46" s="1"/>
  <c r="I161" i="46"/>
  <c r="J161" i="46" s="1"/>
  <c r="I202" i="46"/>
  <c r="J202" i="46" s="1"/>
  <c r="I82" i="46"/>
  <c r="J82" i="46" s="1"/>
  <c r="I162" i="46"/>
  <c r="J162" i="46" s="1"/>
  <c r="I282" i="46"/>
  <c r="J282" i="46" s="1"/>
  <c r="I163" i="46"/>
  <c r="J163" i="46" s="1"/>
  <c r="I266" i="46"/>
  <c r="J266" i="46" s="1"/>
  <c r="I246" i="46"/>
  <c r="J246" i="46" s="1"/>
  <c r="I274" i="46"/>
  <c r="J274" i="46" s="1"/>
  <c r="I156" i="46"/>
  <c r="J156" i="46" s="1"/>
  <c r="I292" i="46"/>
  <c r="J292" i="46" s="1"/>
  <c r="I237" i="46"/>
  <c r="J237" i="46" s="1"/>
  <c r="I236" i="46"/>
  <c r="J236" i="46" s="1"/>
  <c r="I229" i="46"/>
  <c r="J229" i="46" s="1"/>
  <c r="I83" i="46"/>
  <c r="J83" i="46" s="1"/>
  <c r="I228" i="46"/>
  <c r="J228" i="46" s="1"/>
  <c r="I131" i="46"/>
  <c r="J131" i="46" s="1"/>
  <c r="I219" i="46"/>
  <c r="J219" i="46" s="1"/>
  <c r="I155" i="46"/>
  <c r="J155" i="46" s="1"/>
  <c r="I196" i="46"/>
  <c r="J196" i="46" s="1"/>
  <c r="I207" i="46"/>
  <c r="J207" i="46" s="1"/>
  <c r="I240" i="46"/>
  <c r="J240" i="46" s="1"/>
  <c r="I113" i="46"/>
  <c r="J113" i="46" s="1"/>
  <c r="I77" i="46"/>
  <c r="J77" i="46" s="1"/>
  <c r="I44" i="46"/>
  <c r="J44" i="46" s="1"/>
  <c r="I199" i="46"/>
  <c r="J199" i="46" s="1"/>
  <c r="I34" i="46"/>
  <c r="J34" i="46" s="1"/>
  <c r="I42" i="46"/>
  <c r="J42" i="46" s="1"/>
  <c r="I107" i="46"/>
  <c r="J107" i="46" s="1"/>
  <c r="I30" i="46"/>
  <c r="J30" i="46" s="1"/>
  <c r="I126" i="46"/>
  <c r="J126" i="46" s="1"/>
  <c r="I141" i="46"/>
  <c r="J141" i="46" s="1"/>
  <c r="I74" i="46"/>
  <c r="J74" i="46" s="1"/>
  <c r="I210" i="46"/>
  <c r="J210" i="46" s="1"/>
  <c r="I104" i="46"/>
  <c r="J104" i="46" s="1"/>
  <c r="I127" i="46"/>
  <c r="J127" i="46" s="1"/>
  <c r="I60" i="46"/>
  <c r="J60" i="46" s="1"/>
  <c r="I86" i="46"/>
  <c r="J86" i="46" s="1"/>
  <c r="I217" i="46"/>
  <c r="J217" i="46" s="1"/>
  <c r="I98" i="46"/>
  <c r="J98" i="46" s="1"/>
  <c r="I166" i="46"/>
  <c r="J166" i="46" s="1"/>
  <c r="I62" i="46"/>
  <c r="J62" i="46" s="1"/>
  <c r="I174" i="46"/>
  <c r="J174" i="46" s="1"/>
  <c r="I270" i="46"/>
  <c r="J270" i="46" s="1"/>
  <c r="I250" i="46"/>
  <c r="J250" i="46" s="1"/>
  <c r="I290" i="46"/>
  <c r="J290" i="46" s="1"/>
  <c r="I300" i="45"/>
  <c r="J300" i="45" s="1"/>
  <c r="I252" i="45"/>
  <c r="J252" i="45" s="1"/>
  <c r="I296" i="45"/>
  <c r="J296" i="45" s="1"/>
  <c r="I276" i="45"/>
  <c r="J276" i="45" s="1"/>
  <c r="I196" i="45"/>
  <c r="J196" i="45" s="1"/>
  <c r="I268" i="45"/>
  <c r="J268" i="45" s="1"/>
  <c r="I297" i="45"/>
  <c r="J297" i="45" s="1"/>
  <c r="I272" i="45"/>
  <c r="J272" i="45" s="1"/>
  <c r="I229" i="45"/>
  <c r="J229" i="45" s="1"/>
  <c r="I155" i="45"/>
  <c r="J155" i="45" s="1"/>
  <c r="I77" i="45"/>
  <c r="J77" i="45" s="1"/>
  <c r="I103" i="45"/>
  <c r="J103" i="45" s="1"/>
  <c r="I181" i="45"/>
  <c r="J181" i="45" s="1"/>
  <c r="I50" i="45"/>
  <c r="J50" i="45" s="1"/>
  <c r="I160" i="45"/>
  <c r="J160" i="45" s="1"/>
  <c r="I71" i="45"/>
  <c r="J71" i="45" s="1"/>
  <c r="I45" i="45"/>
  <c r="J45" i="45" s="1"/>
  <c r="I131" i="45"/>
  <c r="J131" i="45" s="1"/>
  <c r="I83" i="45"/>
  <c r="J83" i="45" s="1"/>
  <c r="I23" i="45"/>
  <c r="J23" i="45" s="1"/>
  <c r="I38" i="45"/>
  <c r="J38" i="45" s="1"/>
  <c r="I167" i="45"/>
  <c r="J167" i="45" s="1"/>
  <c r="I92" i="45"/>
  <c r="J92" i="45" s="1"/>
  <c r="I27" i="45"/>
  <c r="J27" i="45" s="1"/>
  <c r="I166" i="45"/>
  <c r="J166" i="45" s="1"/>
  <c r="I190" i="45"/>
  <c r="J190" i="45" s="1"/>
  <c r="I150" i="45"/>
  <c r="J150" i="45" s="1"/>
  <c r="I65" i="45"/>
  <c r="J65" i="45" s="1"/>
  <c r="I163" i="45"/>
  <c r="J163" i="45" s="1"/>
  <c r="I101" i="45"/>
  <c r="J101" i="45" s="1"/>
  <c r="I89" i="45"/>
  <c r="J89" i="45" s="1"/>
  <c r="I8" i="45"/>
  <c r="J8" i="45" s="1"/>
  <c r="I130" i="45"/>
  <c r="J130" i="45" s="1"/>
  <c r="I234" i="45"/>
  <c r="J234" i="45" s="1"/>
  <c r="I85" i="45"/>
  <c r="J85" i="45" s="1"/>
  <c r="I177" i="45"/>
  <c r="J177" i="45" s="1"/>
  <c r="I240" i="45"/>
  <c r="J240" i="45" s="1"/>
  <c r="I145" i="45"/>
  <c r="J145" i="45" s="1"/>
  <c r="I90" i="45"/>
  <c r="J90" i="45" s="1"/>
  <c r="I222" i="45"/>
  <c r="J222" i="45" s="1"/>
  <c r="I286" i="45"/>
  <c r="J286" i="45" s="1"/>
  <c r="I148" i="45"/>
  <c r="J148" i="45" s="1"/>
  <c r="I220" i="45"/>
  <c r="J220" i="45" s="1"/>
  <c r="I263" i="45"/>
  <c r="J263" i="45" s="1"/>
  <c r="I216" i="45"/>
  <c r="J216" i="45" s="1"/>
  <c r="I143" i="45"/>
  <c r="J143" i="45" s="1"/>
  <c r="I279" i="45"/>
  <c r="J279" i="45" s="1"/>
  <c r="I75" i="45"/>
  <c r="J75" i="45" s="1"/>
  <c r="I91" i="45"/>
  <c r="J91" i="45" s="1"/>
  <c r="I295" i="45"/>
  <c r="J295" i="45" s="1"/>
  <c r="I165" i="45"/>
  <c r="J165" i="45" s="1"/>
  <c r="I79" i="45"/>
  <c r="J79" i="45" s="1"/>
  <c r="I42" i="45"/>
  <c r="J42" i="45" s="1"/>
  <c r="I135" i="45"/>
  <c r="J135" i="45" s="1"/>
  <c r="I200" i="45"/>
  <c r="J200" i="45" s="1"/>
  <c r="I12" i="45"/>
  <c r="J12" i="45" s="1"/>
  <c r="I253" i="45"/>
  <c r="J253" i="45" s="1"/>
  <c r="I17" i="45"/>
  <c r="J17" i="45" s="1"/>
  <c r="I46" i="45"/>
  <c r="J46" i="45" s="1"/>
  <c r="I144" i="45"/>
  <c r="J144" i="45" s="1"/>
  <c r="I32" i="45"/>
  <c r="J32" i="45" s="1"/>
  <c r="I178" i="45"/>
  <c r="J178" i="45" s="1"/>
  <c r="I202" i="45"/>
  <c r="J202" i="45" s="1"/>
  <c r="I162" i="45"/>
  <c r="J162" i="45" s="1"/>
  <c r="I74" i="45"/>
  <c r="J74" i="45" s="1"/>
  <c r="I198" i="45"/>
  <c r="J198" i="45" s="1"/>
  <c r="I158" i="45"/>
  <c r="J158" i="45" s="1"/>
  <c r="I78" i="45"/>
  <c r="J78" i="45" s="1"/>
  <c r="I29" i="45"/>
  <c r="J29" i="45" s="1"/>
  <c r="I243" i="45"/>
  <c r="J243" i="45" s="1"/>
  <c r="I118" i="45"/>
  <c r="J118" i="45" s="1"/>
  <c r="I185" i="45"/>
  <c r="J185" i="45" s="1"/>
  <c r="I265" i="45"/>
  <c r="J265" i="45" s="1"/>
  <c r="I161" i="45"/>
  <c r="J161" i="45" s="1"/>
  <c r="I102" i="45"/>
  <c r="J102" i="45" s="1"/>
  <c r="I225" i="45"/>
  <c r="J225" i="45" s="1"/>
  <c r="I289" i="45"/>
  <c r="J289" i="45" s="1"/>
  <c r="I292" i="45"/>
  <c r="J292" i="45" s="1"/>
  <c r="I228" i="45"/>
  <c r="J228" i="45" s="1"/>
  <c r="I172" i="45"/>
  <c r="J172" i="45" s="1"/>
  <c r="I277" i="45"/>
  <c r="J277" i="45" s="1"/>
  <c r="I259" i="45"/>
  <c r="J259" i="45" s="1"/>
  <c r="I203" i="45"/>
  <c r="J203" i="45" s="1"/>
  <c r="I139" i="45"/>
  <c r="J139" i="45" s="1"/>
  <c r="I291" i="45"/>
  <c r="J291" i="45" s="1"/>
  <c r="I149" i="45"/>
  <c r="J149" i="45" s="1"/>
  <c r="I76" i="45"/>
  <c r="J76" i="45" s="1"/>
  <c r="I184" i="45"/>
  <c r="J184" i="45" s="1"/>
  <c r="I132" i="45"/>
  <c r="J132" i="45" s="1"/>
  <c r="I168" i="45"/>
  <c r="J168" i="45" s="1"/>
  <c r="I64" i="45"/>
  <c r="J64" i="45" s="1"/>
  <c r="I40" i="45"/>
  <c r="J40" i="45" s="1"/>
  <c r="I87" i="45"/>
  <c r="J87" i="45" s="1"/>
  <c r="I271" i="45"/>
  <c r="J271" i="45" s="1"/>
  <c r="I70" i="45"/>
  <c r="J70" i="45" s="1"/>
  <c r="I285" i="45"/>
  <c r="J285" i="45" s="1"/>
  <c r="I31" i="45"/>
  <c r="J31" i="45" s="1"/>
  <c r="I195" i="45"/>
  <c r="J195" i="45" s="1"/>
  <c r="I208" i="45"/>
  <c r="J208" i="45" s="1"/>
  <c r="I179" i="45"/>
  <c r="J179" i="45" s="1"/>
  <c r="I141" i="45"/>
  <c r="J141" i="45" s="1"/>
  <c r="I242" i="45"/>
  <c r="J242" i="45" s="1"/>
  <c r="I170" i="45"/>
  <c r="J170" i="45" s="1"/>
  <c r="I125" i="45"/>
  <c r="J125" i="45" s="1"/>
  <c r="I9" i="45"/>
  <c r="J9" i="45" s="1"/>
  <c r="I110" i="45"/>
  <c r="J110" i="45" s="1"/>
  <c r="I256" i="45"/>
  <c r="J256" i="45" s="1"/>
  <c r="I121" i="45"/>
  <c r="J121" i="45" s="1"/>
  <c r="I193" i="45"/>
  <c r="J193" i="45" s="1"/>
  <c r="I274" i="45"/>
  <c r="J274" i="45" s="1"/>
  <c r="I41" i="45"/>
  <c r="J41" i="45" s="1"/>
  <c r="I105" i="45"/>
  <c r="J105" i="45" s="1"/>
  <c r="I238" i="45"/>
  <c r="J238" i="45" s="1"/>
  <c r="I191" i="45"/>
  <c r="J191" i="45" s="1"/>
  <c r="I111" i="45"/>
  <c r="J111" i="45" s="1"/>
  <c r="I283" i="45"/>
  <c r="J283" i="45" s="1"/>
  <c r="I59" i="45"/>
  <c r="J59" i="45" s="1"/>
  <c r="I287" i="45"/>
  <c r="J287" i="45" s="1"/>
  <c r="I261" i="45"/>
  <c r="J261" i="45" s="1"/>
  <c r="I140" i="45"/>
  <c r="J140" i="45" s="1"/>
  <c r="I152" i="45"/>
  <c r="J152" i="45" s="1"/>
  <c r="I269" i="45"/>
  <c r="J269" i="45" s="1"/>
  <c r="I61" i="45"/>
  <c r="J61" i="45" s="1"/>
  <c r="I37" i="45"/>
  <c r="J37" i="45" s="1"/>
  <c r="I237" i="45"/>
  <c r="J237" i="45" s="1"/>
  <c r="I67" i="45"/>
  <c r="J67" i="45" s="1"/>
  <c r="I7" i="45"/>
  <c r="J7" i="45" s="1"/>
  <c r="I192" i="45"/>
  <c r="J192" i="45" s="1"/>
  <c r="I128" i="45"/>
  <c r="J128" i="45" s="1"/>
  <c r="I124" i="45"/>
  <c r="J124" i="45" s="1"/>
  <c r="I84" i="45"/>
  <c r="J84" i="45" s="1"/>
  <c r="I34" i="45"/>
  <c r="J34" i="45" s="1"/>
  <c r="I47" i="45"/>
  <c r="J47" i="45" s="1"/>
  <c r="I250" i="45"/>
  <c r="J250" i="45" s="1"/>
  <c r="I233" i="45"/>
  <c r="J233" i="45" s="1"/>
  <c r="I246" i="45"/>
  <c r="J246" i="45" s="1"/>
  <c r="I174" i="45"/>
  <c r="J174" i="45" s="1"/>
  <c r="I266" i="45"/>
  <c r="J266" i="45" s="1"/>
  <c r="I211" i="45"/>
  <c r="J211" i="45" s="1"/>
  <c r="I147" i="45"/>
  <c r="J147" i="45" s="1"/>
  <c r="I19" i="45"/>
  <c r="J19" i="45" s="1"/>
  <c r="I113" i="45"/>
  <c r="J113" i="45" s="1"/>
  <c r="I281" i="45"/>
  <c r="J281" i="45" s="1"/>
  <c r="I88" i="45"/>
  <c r="J88" i="45" s="1"/>
  <c r="I201" i="45"/>
  <c r="J201" i="45" s="1"/>
  <c r="I278" i="45"/>
  <c r="J278" i="45" s="1"/>
  <c r="I49" i="45"/>
  <c r="J49" i="45" s="1"/>
  <c r="I114" i="45"/>
  <c r="J114" i="45" s="1"/>
  <c r="I241" i="45"/>
  <c r="J241" i="45" s="1"/>
  <c r="I260" i="45"/>
  <c r="J260" i="45" s="1"/>
  <c r="I204" i="45"/>
  <c r="J204" i="45" s="1"/>
  <c r="I251" i="45"/>
  <c r="J251" i="45" s="1"/>
  <c r="I293" i="45"/>
  <c r="J293" i="45" s="1"/>
  <c r="I187" i="45"/>
  <c r="J187" i="45" s="1"/>
  <c r="I108" i="45"/>
  <c r="J108" i="45" s="1"/>
  <c r="I231" i="45"/>
  <c r="J231" i="45" s="1"/>
  <c r="I248" i="45"/>
  <c r="J248" i="45" s="1"/>
  <c r="I63" i="45"/>
  <c r="J63" i="45" s="1"/>
  <c r="I127" i="45"/>
  <c r="J127" i="45" s="1"/>
  <c r="I207" i="45"/>
  <c r="J207" i="45" s="1"/>
  <c r="I52" i="45"/>
  <c r="J52" i="45" s="1"/>
  <c r="I205" i="45"/>
  <c r="J205" i="45" s="1"/>
  <c r="I57" i="45"/>
  <c r="J57" i="45" s="1"/>
  <c r="I20" i="45"/>
  <c r="J20" i="45" s="1"/>
  <c r="I157" i="45"/>
  <c r="J157" i="45" s="1"/>
  <c r="I112" i="45"/>
  <c r="J112" i="45" s="1"/>
  <c r="I15" i="45"/>
  <c r="J15" i="45" s="1"/>
  <c r="I66" i="45"/>
  <c r="J66" i="45" s="1"/>
  <c r="I10" i="45"/>
  <c r="J10" i="45" s="1"/>
  <c r="I36" i="45"/>
  <c r="J36" i="45" s="1"/>
  <c r="I258" i="45"/>
  <c r="J258" i="45" s="1"/>
  <c r="I186" i="45"/>
  <c r="J186" i="45" s="1"/>
  <c r="I35" i="45"/>
  <c r="J35" i="45" s="1"/>
  <c r="I224" i="45"/>
  <c r="J224" i="45" s="1"/>
  <c r="I182" i="45"/>
  <c r="J182" i="45" s="1"/>
  <c r="I25" i="45"/>
  <c r="J25" i="45" s="1"/>
  <c r="I138" i="45"/>
  <c r="J138" i="45" s="1"/>
  <c r="I290" i="45"/>
  <c r="J290" i="45" s="1"/>
  <c r="I94" i="45"/>
  <c r="J94" i="45" s="1"/>
  <c r="I210" i="45"/>
  <c r="J210" i="45" s="1"/>
  <c r="I282" i="45"/>
  <c r="J282" i="45" s="1"/>
  <c r="I106" i="45"/>
  <c r="J106" i="45" s="1"/>
  <c r="I133" i="45"/>
  <c r="J133" i="45" s="1"/>
  <c r="I254" i="45"/>
  <c r="J254" i="45" s="1"/>
  <c r="I24" i="45"/>
  <c r="J24" i="45" s="1"/>
  <c r="I212" i="45"/>
  <c r="J212" i="45" s="1"/>
  <c r="I280" i="45"/>
  <c r="J280" i="45" s="1"/>
  <c r="I123" i="45"/>
  <c r="J123" i="45" s="1"/>
  <c r="I235" i="45"/>
  <c r="J235" i="45" s="1"/>
  <c r="I60" i="45"/>
  <c r="J60" i="45" s="1"/>
  <c r="I247" i="45"/>
  <c r="J247" i="45" s="1"/>
  <c r="I107" i="45"/>
  <c r="J107" i="45" s="1"/>
  <c r="I189" i="45"/>
  <c r="J189" i="45" s="1"/>
  <c r="I95" i="45"/>
  <c r="J95" i="45" s="1"/>
  <c r="I22" i="45"/>
  <c r="J22" i="45" s="1"/>
  <c r="I199" i="45"/>
  <c r="J199" i="45" s="1"/>
  <c r="I14" i="45"/>
  <c r="J14" i="45" s="1"/>
  <c r="I151" i="45"/>
  <c r="J151" i="45" s="1"/>
  <c r="I96" i="45"/>
  <c r="J96" i="45" s="1"/>
  <c r="I221" i="45"/>
  <c r="J221" i="45" s="1"/>
  <c r="I104" i="45"/>
  <c r="J104" i="45" s="1"/>
  <c r="I56" i="45"/>
  <c r="J56" i="45" s="1"/>
  <c r="I116" i="45"/>
  <c r="J116" i="45" s="1"/>
  <c r="I68" i="45"/>
  <c r="J68" i="45" s="1"/>
  <c r="I80" i="45"/>
  <c r="J80" i="45" s="1"/>
  <c r="I5" i="45"/>
  <c r="J5" i="45" s="1"/>
  <c r="I58" i="45"/>
  <c r="J58" i="45" s="1"/>
  <c r="I30" i="45"/>
  <c r="J30" i="45" s="1"/>
  <c r="I53" i="45"/>
  <c r="J53" i="45" s="1"/>
  <c r="I55" i="45"/>
  <c r="J55" i="45" s="1"/>
  <c r="I13" i="45"/>
  <c r="J13" i="45" s="1"/>
  <c r="I194" i="45"/>
  <c r="J194" i="45" s="1"/>
  <c r="I142" i="45"/>
  <c r="J142" i="45" s="1"/>
  <c r="I217" i="45"/>
  <c r="J217" i="45" s="1"/>
  <c r="I294" i="45"/>
  <c r="J294" i="45" s="1"/>
  <c r="I129" i="45"/>
  <c r="J129" i="45" s="1"/>
  <c r="I214" i="45"/>
  <c r="J214" i="45" s="1"/>
  <c r="I97" i="45"/>
  <c r="J97" i="45" s="1"/>
  <c r="I117" i="45"/>
  <c r="J117" i="45" s="1"/>
  <c r="I298" i="45"/>
  <c r="J298" i="45" s="1"/>
  <c r="I257" i="45"/>
  <c r="J257" i="45" s="1"/>
  <c r="I156" i="45"/>
  <c r="J156" i="45" s="1"/>
  <c r="I245" i="45"/>
  <c r="J245" i="45" s="1"/>
  <c r="I223" i="45"/>
  <c r="J223" i="45" s="1"/>
  <c r="I299" i="45"/>
  <c r="J299" i="45" s="1"/>
  <c r="I164" i="45"/>
  <c r="J164" i="45" s="1"/>
  <c r="I236" i="45"/>
  <c r="J236" i="45" s="1"/>
  <c r="I213" i="45"/>
  <c r="J213" i="45" s="1"/>
  <c r="I267" i="45"/>
  <c r="J267" i="45" s="1"/>
  <c r="I171" i="45"/>
  <c r="J171" i="45" s="1"/>
  <c r="I99" i="45"/>
  <c r="J99" i="45" s="1"/>
  <c r="I232" i="45"/>
  <c r="J232" i="45" s="1"/>
  <c r="I26" i="45"/>
  <c r="J26" i="45" s="1"/>
  <c r="I239" i="45"/>
  <c r="J239" i="45" s="1"/>
  <c r="I183" i="45"/>
  <c r="J183" i="45" s="1"/>
  <c r="I16" i="45"/>
  <c r="J16" i="45" s="1"/>
  <c r="I176" i="45"/>
  <c r="J176" i="45" s="1"/>
  <c r="I215" i="45"/>
  <c r="J215" i="45" s="1"/>
  <c r="I44" i="45"/>
  <c r="J44" i="45" s="1"/>
  <c r="I82" i="45"/>
  <c r="J82" i="45" s="1"/>
  <c r="I21" i="45"/>
  <c r="J21" i="45" s="1"/>
  <c r="I120" i="45"/>
  <c r="J120" i="45" s="1"/>
  <c r="I11" i="45"/>
  <c r="J11" i="45" s="1"/>
  <c r="I81" i="45"/>
  <c r="J81" i="45" s="1"/>
  <c r="I69" i="45"/>
  <c r="J69" i="45" s="1"/>
  <c r="I43" i="45"/>
  <c r="J43" i="45" s="1"/>
  <c r="I249" i="45"/>
  <c r="J249" i="45" s="1"/>
  <c r="I154" i="45"/>
  <c r="J154" i="45" s="1"/>
  <c r="I226" i="45"/>
  <c r="J226" i="45" s="1"/>
  <c r="I98" i="45"/>
  <c r="J98" i="45" s="1"/>
  <c r="I153" i="45"/>
  <c r="J153" i="45" s="1"/>
  <c r="I218" i="45"/>
  <c r="J218" i="45" s="1"/>
  <c r="I109" i="45"/>
  <c r="J109" i="45" s="1"/>
  <c r="I134" i="45"/>
  <c r="J134" i="45" s="1"/>
  <c r="I206" i="45"/>
  <c r="J206" i="45" s="1"/>
  <c r="I270" i="45"/>
  <c r="J270" i="45" s="1"/>
  <c r="I284" i="45"/>
  <c r="J284" i="45" s="1"/>
  <c r="I175" i="45"/>
  <c r="J175" i="45" s="1"/>
  <c r="I244" i="45"/>
  <c r="J244" i="45" s="1"/>
  <c r="I188" i="45"/>
  <c r="J188" i="45" s="1"/>
  <c r="I159" i="45"/>
  <c r="J159" i="45" s="1"/>
  <c r="I219" i="45"/>
  <c r="J219" i="45" s="1"/>
  <c r="I100" i="45"/>
  <c r="J100" i="45" s="1"/>
  <c r="I115" i="45"/>
  <c r="J115" i="45" s="1"/>
  <c r="I197" i="45"/>
  <c r="J197" i="45" s="1"/>
  <c r="I28" i="45"/>
  <c r="J28" i="45" s="1"/>
  <c r="I73" i="45"/>
  <c r="J73" i="45" s="1"/>
  <c r="I119" i="45"/>
  <c r="J119" i="45" s="1"/>
  <c r="I288" i="45"/>
  <c r="J288" i="45" s="1"/>
  <c r="I72" i="45"/>
  <c r="J72" i="45" s="1"/>
  <c r="I173" i="45"/>
  <c r="J173" i="45" s="1"/>
  <c r="I39" i="45"/>
  <c r="J39" i="45" s="1"/>
  <c r="I54" i="45"/>
  <c r="J54" i="45" s="1"/>
  <c r="I18" i="45"/>
  <c r="J18" i="45" s="1"/>
  <c r="I136" i="45"/>
  <c r="J136" i="45" s="1"/>
  <c r="I86" i="45"/>
  <c r="J86" i="45" s="1"/>
  <c r="I122" i="45"/>
  <c r="J122" i="45" s="1"/>
  <c r="I51" i="45"/>
  <c r="J51" i="45" s="1"/>
  <c r="I146" i="45"/>
  <c r="J146" i="45" s="1"/>
  <c r="I93" i="45"/>
  <c r="J93" i="45" s="1"/>
  <c r="I62" i="45"/>
  <c r="J62" i="45" s="1"/>
  <c r="I275" i="45"/>
  <c r="J275" i="45" s="1"/>
  <c r="I262" i="45"/>
  <c r="J262" i="45" s="1"/>
  <c r="I230" i="45"/>
  <c r="J230" i="45" s="1"/>
  <c r="I33" i="45"/>
  <c r="J33" i="45" s="1"/>
  <c r="I169" i="45"/>
  <c r="J169" i="45" s="1"/>
  <c r="I227" i="45"/>
  <c r="J227" i="45" s="1"/>
  <c r="I126" i="45"/>
  <c r="J126" i="45" s="1"/>
  <c r="I137" i="45"/>
  <c r="J137" i="45" s="1"/>
  <c r="I209" i="45"/>
  <c r="J209" i="45" s="1"/>
  <c r="I273" i="45"/>
  <c r="J273" i="45" s="1"/>
  <c r="I48" i="45"/>
  <c r="J48" i="45" s="1"/>
  <c r="I203" i="44"/>
  <c r="J203" i="44" s="1"/>
  <c r="I168" i="44"/>
  <c r="J168" i="44" s="1"/>
  <c r="I104" i="44"/>
  <c r="J104" i="44" s="1"/>
  <c r="I255" i="44"/>
  <c r="J255" i="44" s="1"/>
  <c r="I112" i="44"/>
  <c r="J112" i="44" s="1"/>
  <c r="I60" i="44"/>
  <c r="J60" i="44" s="1"/>
  <c r="I117" i="44"/>
  <c r="J117" i="44" s="1"/>
  <c r="I229" i="44"/>
  <c r="J229" i="44" s="1"/>
  <c r="I165" i="44"/>
  <c r="J165" i="44" s="1"/>
  <c r="I78" i="44"/>
  <c r="J78" i="44" s="1"/>
  <c r="I253" i="44"/>
  <c r="J253" i="44" s="1"/>
  <c r="I134" i="44"/>
  <c r="J134" i="44" s="1"/>
  <c r="I233" i="44"/>
  <c r="J233" i="44" s="1"/>
  <c r="I169" i="44"/>
  <c r="J169" i="44" s="1"/>
  <c r="I61" i="44"/>
  <c r="J61" i="44" s="1"/>
  <c r="I195" i="44"/>
  <c r="J195" i="44" s="1"/>
  <c r="I103" i="44"/>
  <c r="J103" i="44" s="1"/>
  <c r="I65" i="44"/>
  <c r="J65" i="44" s="1"/>
  <c r="I221" i="44"/>
  <c r="J221" i="44" s="1"/>
  <c r="I157" i="44"/>
  <c r="J157" i="44" s="1"/>
  <c r="I50" i="44"/>
  <c r="J50" i="44" s="1"/>
  <c r="I167" i="44"/>
  <c r="J167" i="44" s="1"/>
  <c r="I119" i="44"/>
  <c r="J119" i="44" s="1"/>
  <c r="I68" i="44"/>
  <c r="J68" i="44" s="1"/>
  <c r="I106" i="44"/>
  <c r="J106" i="44" s="1"/>
  <c r="I269" i="44"/>
  <c r="J269" i="44" s="1"/>
  <c r="I98" i="44"/>
  <c r="J98" i="44" s="1"/>
  <c r="I282" i="44"/>
  <c r="J282" i="44" s="1"/>
  <c r="I278" i="44"/>
  <c r="J278" i="44" s="1"/>
  <c r="I225" i="44"/>
  <c r="J225" i="44" s="1"/>
  <c r="I161" i="44"/>
  <c r="J161" i="44" s="1"/>
  <c r="I121" i="44"/>
  <c r="J121" i="44" s="1"/>
  <c r="I51" i="44"/>
  <c r="J51" i="44" s="1"/>
  <c r="I283" i="44"/>
  <c r="J283" i="44" s="1"/>
  <c r="I219" i="44"/>
  <c r="J219" i="44" s="1"/>
  <c r="I109" i="44"/>
  <c r="J109" i="44" s="1"/>
  <c r="I97" i="44"/>
  <c r="J97" i="44" s="1"/>
  <c r="I10" i="44"/>
  <c r="J10" i="44" s="1"/>
  <c r="I218" i="44"/>
  <c r="J218" i="44" s="1"/>
  <c r="I154" i="44"/>
  <c r="J154" i="44" s="1"/>
  <c r="I69" i="44"/>
  <c r="J69" i="44" s="1"/>
  <c r="I247" i="44"/>
  <c r="J247" i="44" s="1"/>
  <c r="I122" i="44"/>
  <c r="J122" i="44" s="1"/>
  <c r="I39" i="44"/>
  <c r="J39" i="44" s="1"/>
  <c r="I7" i="44"/>
  <c r="J7" i="44" s="1"/>
  <c r="I222" i="44"/>
  <c r="J222" i="44" s="1"/>
  <c r="I158" i="44"/>
  <c r="J158" i="44" s="1"/>
  <c r="I43" i="44"/>
  <c r="J43" i="44" s="1"/>
  <c r="I179" i="44"/>
  <c r="J179" i="44" s="1"/>
  <c r="I95" i="44"/>
  <c r="J95" i="44" s="1"/>
  <c r="I34" i="44"/>
  <c r="J34" i="44" s="1"/>
  <c r="I210" i="44"/>
  <c r="J210" i="44" s="1"/>
  <c r="I146" i="44"/>
  <c r="J146" i="44" s="1"/>
  <c r="I151" i="44"/>
  <c r="J151" i="44" s="1"/>
  <c r="I31" i="44"/>
  <c r="J31" i="44" s="1"/>
  <c r="I90" i="44"/>
  <c r="J90" i="44" s="1"/>
  <c r="I273" i="44"/>
  <c r="J273" i="44" s="1"/>
  <c r="I114" i="44"/>
  <c r="J114" i="44" s="1"/>
  <c r="I286" i="44"/>
  <c r="J286" i="44" s="1"/>
  <c r="I214" i="44"/>
  <c r="J214" i="44" s="1"/>
  <c r="I150" i="44"/>
  <c r="J150" i="44" s="1"/>
  <c r="I48" i="44"/>
  <c r="J48" i="44" s="1"/>
  <c r="I86" i="44"/>
  <c r="J86" i="44" s="1"/>
  <c r="I20" i="44"/>
  <c r="J20" i="44" s="1"/>
  <c r="I213" i="44"/>
  <c r="J213" i="44" s="1"/>
  <c r="I126" i="44"/>
  <c r="J126" i="44" s="1"/>
  <c r="I55" i="44"/>
  <c r="J55" i="44" s="1"/>
  <c r="I223" i="44"/>
  <c r="J223" i="44" s="1"/>
  <c r="I120" i="44"/>
  <c r="J120" i="44" s="1"/>
  <c r="I64" i="44"/>
  <c r="J64" i="44" s="1"/>
  <c r="I36" i="44"/>
  <c r="J36" i="44" s="1"/>
  <c r="I49" i="44"/>
  <c r="J49" i="44" s="1"/>
  <c r="I217" i="44"/>
  <c r="J217" i="44" s="1"/>
  <c r="I153" i="44"/>
  <c r="J153" i="44" s="1"/>
  <c r="I27" i="44"/>
  <c r="J27" i="44" s="1"/>
  <c r="I163" i="44"/>
  <c r="J163" i="44" s="1"/>
  <c r="I37" i="44"/>
  <c r="J37" i="44" s="1"/>
  <c r="I205" i="44"/>
  <c r="J205" i="44" s="1"/>
  <c r="I127" i="44"/>
  <c r="J127" i="44" s="1"/>
  <c r="I18" i="44"/>
  <c r="J18" i="44" s="1"/>
  <c r="I135" i="44"/>
  <c r="J135" i="44" s="1"/>
  <c r="I96" i="44"/>
  <c r="J96" i="44" s="1"/>
  <c r="I28" i="44"/>
  <c r="J28" i="44" s="1"/>
  <c r="I111" i="44"/>
  <c r="J111" i="44" s="1"/>
  <c r="I277" i="44"/>
  <c r="J277" i="44" s="1"/>
  <c r="I238" i="44"/>
  <c r="J238" i="44" s="1"/>
  <c r="I290" i="44"/>
  <c r="J290" i="44" s="1"/>
  <c r="I294" i="44"/>
  <c r="J294" i="44" s="1"/>
  <c r="I209" i="44"/>
  <c r="J209" i="44" s="1"/>
  <c r="I145" i="44"/>
  <c r="J145" i="44" s="1"/>
  <c r="I101" i="44"/>
  <c r="J101" i="44" s="1"/>
  <c r="I35" i="44"/>
  <c r="J35" i="44" s="1"/>
  <c r="I59" i="44"/>
  <c r="J59" i="44" s="1"/>
  <c r="I124" i="44"/>
  <c r="J124" i="44" s="1"/>
  <c r="I275" i="44"/>
  <c r="J275" i="44" s="1"/>
  <c r="I187" i="44"/>
  <c r="J187" i="44" s="1"/>
  <c r="I54" i="44"/>
  <c r="J54" i="44" s="1"/>
  <c r="I72" i="44"/>
  <c r="J72" i="44" s="1"/>
  <c r="I58" i="44"/>
  <c r="J58" i="44" s="1"/>
  <c r="I202" i="44"/>
  <c r="J202" i="44" s="1"/>
  <c r="I207" i="44"/>
  <c r="J207" i="44" s="1"/>
  <c r="I33" i="44"/>
  <c r="J33" i="44" s="1"/>
  <c r="I206" i="44"/>
  <c r="J206" i="44" s="1"/>
  <c r="I142" i="44"/>
  <c r="J142" i="44" s="1"/>
  <c r="I11" i="44"/>
  <c r="J11" i="44" s="1"/>
  <c r="I147" i="44"/>
  <c r="J147" i="44" s="1"/>
  <c r="I79" i="44"/>
  <c r="J79" i="44" s="1"/>
  <c r="I21" i="44"/>
  <c r="J21" i="44" s="1"/>
  <c r="I41" i="44"/>
  <c r="J41" i="44" s="1"/>
  <c r="I194" i="44"/>
  <c r="J194" i="44" s="1"/>
  <c r="I118" i="44"/>
  <c r="J118" i="44" s="1"/>
  <c r="I237" i="44"/>
  <c r="J237" i="44" s="1"/>
  <c r="I131" i="44"/>
  <c r="J131" i="44" s="1"/>
  <c r="I93" i="44"/>
  <c r="J93" i="44" s="1"/>
  <c r="I116" i="44"/>
  <c r="J116" i="44" s="1"/>
  <c r="I281" i="44"/>
  <c r="J281" i="44" s="1"/>
  <c r="I246" i="44"/>
  <c r="J246" i="44" s="1"/>
  <c r="I234" i="44"/>
  <c r="J234" i="44" s="1"/>
  <c r="I297" i="44"/>
  <c r="J297" i="44" s="1"/>
  <c r="I198" i="44"/>
  <c r="J198" i="44" s="1"/>
  <c r="I139" i="44"/>
  <c r="J139" i="44" s="1"/>
  <c r="I14" i="44"/>
  <c r="J14" i="44" s="1"/>
  <c r="I128" i="44"/>
  <c r="J128" i="44" s="1"/>
  <c r="I171" i="44"/>
  <c r="J171" i="44" s="1"/>
  <c r="I45" i="44"/>
  <c r="J45" i="44" s="1"/>
  <c r="I57" i="44"/>
  <c r="J57" i="44" s="1"/>
  <c r="I40" i="44"/>
  <c r="J40" i="44" s="1"/>
  <c r="I197" i="44"/>
  <c r="J197" i="44" s="1"/>
  <c r="I26" i="44"/>
  <c r="J26" i="44" s="1"/>
  <c r="I191" i="44"/>
  <c r="J191" i="44" s="1"/>
  <c r="I52" i="44"/>
  <c r="J52" i="44" s="1"/>
  <c r="I17" i="44"/>
  <c r="J17" i="44" s="1"/>
  <c r="I201" i="44"/>
  <c r="J201" i="44" s="1"/>
  <c r="I113" i="44"/>
  <c r="J113" i="44" s="1"/>
  <c r="I245" i="44"/>
  <c r="J245" i="44" s="1"/>
  <c r="I76" i="44"/>
  <c r="J76" i="44" s="1"/>
  <c r="I32" i="44"/>
  <c r="J32" i="44" s="1"/>
  <c r="I189" i="44"/>
  <c r="J189" i="44" s="1"/>
  <c r="I85" i="44"/>
  <c r="J85" i="44" s="1"/>
  <c r="I231" i="44"/>
  <c r="J231" i="44" s="1"/>
  <c r="I129" i="44"/>
  <c r="J129" i="44" s="1"/>
  <c r="I88" i="44"/>
  <c r="J88" i="44" s="1"/>
  <c r="I130" i="44"/>
  <c r="J130" i="44" s="1"/>
  <c r="I285" i="44"/>
  <c r="J285" i="44" s="1"/>
  <c r="I254" i="44"/>
  <c r="J254" i="44" s="1"/>
  <c r="I242" i="44"/>
  <c r="J242" i="44" s="1"/>
  <c r="I38" i="44"/>
  <c r="J38" i="44" s="1"/>
  <c r="I193" i="44"/>
  <c r="J193" i="44" s="1"/>
  <c r="I137" i="44"/>
  <c r="J137" i="44" s="1"/>
  <c r="I271" i="44"/>
  <c r="J271" i="44" s="1"/>
  <c r="I140" i="44"/>
  <c r="J140" i="44" s="1"/>
  <c r="I84" i="44"/>
  <c r="J84" i="44" s="1"/>
  <c r="I267" i="44"/>
  <c r="J267" i="44" s="1"/>
  <c r="I155" i="44"/>
  <c r="J155" i="44" s="1"/>
  <c r="I81" i="44"/>
  <c r="J81" i="44" s="1"/>
  <c r="I29" i="44"/>
  <c r="J29" i="44" s="1"/>
  <c r="I24" i="44"/>
  <c r="J24" i="44" s="1"/>
  <c r="I186" i="44"/>
  <c r="J186" i="44" s="1"/>
  <c r="I99" i="44"/>
  <c r="J99" i="44" s="1"/>
  <c r="I175" i="44"/>
  <c r="J175" i="44" s="1"/>
  <c r="I92" i="44"/>
  <c r="J92" i="44" s="1"/>
  <c r="I9" i="44"/>
  <c r="J9" i="44" s="1"/>
  <c r="I190" i="44"/>
  <c r="J190" i="44" s="1"/>
  <c r="I110" i="44"/>
  <c r="J110" i="44" s="1"/>
  <c r="I239" i="44"/>
  <c r="J239" i="44" s="1"/>
  <c r="I257" i="44"/>
  <c r="J257" i="44" s="1"/>
  <c r="I178" i="44"/>
  <c r="J178" i="44" s="1"/>
  <c r="I73" i="44"/>
  <c r="J73" i="44" s="1"/>
  <c r="I215" i="44"/>
  <c r="J215" i="44" s="1"/>
  <c r="I47" i="44"/>
  <c r="J47" i="44" s="1"/>
  <c r="I8" i="44"/>
  <c r="J8" i="44" s="1"/>
  <c r="AQ16" i="44"/>
  <c r="I16" i="44"/>
  <c r="J16" i="44" s="1"/>
  <c r="I22" i="44"/>
  <c r="J22" i="44" s="1"/>
  <c r="I6" i="44"/>
  <c r="J6" i="44" s="1"/>
  <c r="I19" i="44"/>
  <c r="J19" i="44" s="1"/>
  <c r="I138" i="44"/>
  <c r="J138" i="44" s="1"/>
  <c r="I289" i="44"/>
  <c r="J289" i="44" s="1"/>
  <c r="I262" i="44"/>
  <c r="J262" i="44" s="1"/>
  <c r="I250" i="44"/>
  <c r="J250" i="44" s="1"/>
  <c r="I25" i="44"/>
  <c r="J25" i="44" s="1"/>
  <c r="I182" i="44"/>
  <c r="J182" i="44" s="1"/>
  <c r="I83" i="44"/>
  <c r="J83" i="44" s="1"/>
  <c r="I42" i="44"/>
  <c r="J42" i="44" s="1"/>
  <c r="I241" i="44"/>
  <c r="J241" i="44" s="1"/>
  <c r="I181" i="44"/>
  <c r="J181" i="44" s="1"/>
  <c r="I94" i="44"/>
  <c r="J94" i="44" s="1"/>
  <c r="I46" i="44"/>
  <c r="J46" i="44" s="1"/>
  <c r="I159" i="44"/>
  <c r="J159" i="44" s="1"/>
  <c r="I89" i="44"/>
  <c r="J89" i="44" s="1"/>
  <c r="I23" i="44"/>
  <c r="J23" i="44" s="1"/>
  <c r="I265" i="44"/>
  <c r="J265" i="44" s="1"/>
  <c r="I185" i="44"/>
  <c r="J185" i="44" s="1"/>
  <c r="I102" i="44"/>
  <c r="J102" i="44" s="1"/>
  <c r="I227" i="44"/>
  <c r="J227" i="44" s="1"/>
  <c r="I108" i="44"/>
  <c r="J108" i="44" s="1"/>
  <c r="I62" i="44"/>
  <c r="J62" i="44" s="1"/>
  <c r="I251" i="44"/>
  <c r="J251" i="44" s="1"/>
  <c r="I173" i="44"/>
  <c r="J173" i="44" s="1"/>
  <c r="I71" i="44"/>
  <c r="J71" i="44" s="1"/>
  <c r="I199" i="44"/>
  <c r="J199" i="44" s="1"/>
  <c r="I125" i="44"/>
  <c r="J125" i="44" s="1"/>
  <c r="I80" i="44"/>
  <c r="J80" i="44" s="1"/>
  <c r="I44" i="44"/>
  <c r="J44" i="44" s="1"/>
  <c r="I15" i="44"/>
  <c r="J15" i="44" s="1"/>
  <c r="I293" i="44"/>
  <c r="J293" i="44" s="1"/>
  <c r="I66" i="44"/>
  <c r="J66" i="44" s="1"/>
  <c r="I270" i="44"/>
  <c r="J270" i="44" s="1"/>
  <c r="I258" i="44"/>
  <c r="J258" i="44" s="1"/>
  <c r="I243" i="44"/>
  <c r="J243" i="44" s="1"/>
  <c r="I177" i="44"/>
  <c r="J177" i="44" s="1"/>
  <c r="I133" i="44"/>
  <c r="J133" i="44" s="1"/>
  <c r="I77" i="44"/>
  <c r="J77" i="44" s="1"/>
  <c r="I132" i="44"/>
  <c r="J132" i="44" s="1"/>
  <c r="I291" i="44"/>
  <c r="J291" i="44" s="1"/>
  <c r="I261" i="44"/>
  <c r="J261" i="44" s="1"/>
  <c r="I63" i="44"/>
  <c r="J63" i="44" s="1"/>
  <c r="I149" i="44"/>
  <c r="J149" i="44" s="1"/>
  <c r="I235" i="44"/>
  <c r="J235" i="44" s="1"/>
  <c r="I170" i="44"/>
  <c r="J170" i="44" s="1"/>
  <c r="I30" i="44"/>
  <c r="J30" i="44" s="1"/>
  <c r="I143" i="44"/>
  <c r="J143" i="44" s="1"/>
  <c r="I87" i="44"/>
  <c r="J87" i="44" s="1"/>
  <c r="I259" i="44"/>
  <c r="J259" i="44" s="1"/>
  <c r="I174" i="44"/>
  <c r="J174" i="44" s="1"/>
  <c r="I67" i="44"/>
  <c r="J67" i="44" s="1"/>
  <c r="I211" i="44"/>
  <c r="J211" i="44" s="1"/>
  <c r="I105" i="44"/>
  <c r="J105" i="44" s="1"/>
  <c r="I70" i="44"/>
  <c r="J70" i="44" s="1"/>
  <c r="I53" i="44"/>
  <c r="J53" i="44" s="1"/>
  <c r="I226" i="44"/>
  <c r="J226" i="44" s="1"/>
  <c r="I162" i="44"/>
  <c r="J162" i="44" s="1"/>
  <c r="I56" i="44"/>
  <c r="J56" i="44" s="1"/>
  <c r="I183" i="44"/>
  <c r="J183" i="44" s="1"/>
  <c r="I123" i="44"/>
  <c r="J123" i="44" s="1"/>
  <c r="I12" i="44"/>
  <c r="J12" i="44" s="1"/>
  <c r="I298" i="44"/>
  <c r="J298" i="44" s="1"/>
  <c r="I82" i="44"/>
  <c r="J82" i="44" s="1"/>
  <c r="I274" i="44"/>
  <c r="J274" i="44" s="1"/>
  <c r="I266" i="44"/>
  <c r="J266" i="44" s="1"/>
  <c r="I230" i="44"/>
  <c r="J230" i="44" s="1"/>
  <c r="I166" i="44"/>
  <c r="J166" i="44" s="1"/>
  <c r="I74" i="44"/>
  <c r="J74" i="44" s="1"/>
  <c r="I249" i="44"/>
  <c r="J249" i="44" s="1"/>
  <c r="I173" i="43"/>
  <c r="J173" i="43" s="1"/>
  <c r="I223" i="43"/>
  <c r="J223" i="43" s="1"/>
  <c r="I251" i="43"/>
  <c r="J251" i="43" s="1"/>
  <c r="I197" i="43"/>
  <c r="J197" i="43" s="1"/>
  <c r="I243" i="43"/>
  <c r="J243" i="43" s="1"/>
  <c r="I270" i="43"/>
  <c r="J270" i="43" s="1"/>
  <c r="I206" i="43"/>
  <c r="J206" i="43" s="1"/>
  <c r="I134" i="43"/>
  <c r="J134" i="43" s="1"/>
  <c r="I81" i="43"/>
  <c r="J81" i="43" s="1"/>
  <c r="I167" i="43"/>
  <c r="J167" i="43" s="1"/>
  <c r="I296" i="43"/>
  <c r="J296" i="43" s="1"/>
  <c r="I144" i="43"/>
  <c r="J144" i="43" s="1"/>
  <c r="I189" i="43"/>
  <c r="J189" i="43" s="1"/>
  <c r="I102" i="43"/>
  <c r="J102" i="43" s="1"/>
  <c r="I139" i="43"/>
  <c r="J139" i="43" s="1"/>
  <c r="I208" i="43"/>
  <c r="J208" i="43" s="1"/>
  <c r="I151" i="43"/>
  <c r="J151" i="43" s="1"/>
  <c r="I73" i="43"/>
  <c r="J73" i="43" s="1"/>
  <c r="I32" i="43"/>
  <c r="J32" i="43" s="1"/>
  <c r="I86" i="43"/>
  <c r="J86" i="43" s="1"/>
  <c r="I119" i="43"/>
  <c r="J119" i="43" s="1"/>
  <c r="I44" i="43"/>
  <c r="J44" i="43" s="1"/>
  <c r="I38" i="43"/>
  <c r="J38" i="43" s="1"/>
  <c r="I114" i="43"/>
  <c r="J114" i="43" s="1"/>
  <c r="I195" i="43"/>
  <c r="J195" i="43" s="1"/>
  <c r="I210" i="43"/>
  <c r="J210" i="43" s="1"/>
  <c r="I54" i="43"/>
  <c r="J54" i="43" s="1"/>
  <c r="I77" i="43"/>
  <c r="J77" i="43" s="1"/>
  <c r="I178" i="43"/>
  <c r="J178" i="43" s="1"/>
  <c r="I285" i="43"/>
  <c r="J285" i="43" s="1"/>
  <c r="I170" i="43"/>
  <c r="J170" i="43" s="1"/>
  <c r="I35" i="43"/>
  <c r="J35" i="43" s="1"/>
  <c r="I79" i="43"/>
  <c r="J79" i="43" s="1"/>
  <c r="I14" i="43"/>
  <c r="J14" i="43" s="1"/>
  <c r="I9" i="43"/>
  <c r="J9" i="43" s="1"/>
  <c r="I117" i="43"/>
  <c r="J117" i="43" s="1"/>
  <c r="I239" i="43"/>
  <c r="J239" i="43" s="1"/>
  <c r="I157" i="43"/>
  <c r="J157" i="43" s="1"/>
  <c r="I262" i="43"/>
  <c r="J262" i="43" s="1"/>
  <c r="I190" i="43"/>
  <c r="J190" i="43" s="1"/>
  <c r="I135" i="43"/>
  <c r="J135" i="43" s="1"/>
  <c r="I55" i="43"/>
  <c r="J55" i="43" s="1"/>
  <c r="I287" i="43"/>
  <c r="J287" i="43" s="1"/>
  <c r="I179" i="43"/>
  <c r="J179" i="43" s="1"/>
  <c r="I125" i="43"/>
  <c r="J125" i="43" s="1"/>
  <c r="I133" i="43"/>
  <c r="J133" i="43" s="1"/>
  <c r="I22" i="43"/>
  <c r="J22" i="43" s="1"/>
  <c r="I30" i="43"/>
  <c r="J30" i="43" s="1"/>
  <c r="I63" i="43"/>
  <c r="J63" i="43" s="1"/>
  <c r="I43" i="43"/>
  <c r="J43" i="43" s="1"/>
  <c r="I56" i="43"/>
  <c r="J56" i="43" s="1"/>
  <c r="I94" i="43"/>
  <c r="J94" i="43" s="1"/>
  <c r="I66" i="43"/>
  <c r="J66" i="43" s="1"/>
  <c r="I214" i="43"/>
  <c r="J214" i="43" s="1"/>
  <c r="I250" i="43"/>
  <c r="J250" i="43" s="1"/>
  <c r="I90" i="43"/>
  <c r="J90" i="43" s="1"/>
  <c r="I98" i="43"/>
  <c r="J98" i="43" s="1"/>
  <c r="I182" i="43"/>
  <c r="J182" i="43" s="1"/>
  <c r="I293" i="43"/>
  <c r="J293" i="43" s="1"/>
  <c r="I184" i="43"/>
  <c r="J184" i="43" s="1"/>
  <c r="I45" i="43"/>
  <c r="J45" i="43" s="1"/>
  <c r="I75" i="43"/>
  <c r="J75" i="43" s="1"/>
  <c r="I6" i="43"/>
  <c r="J6" i="43" s="1"/>
  <c r="I3" i="43"/>
  <c r="J3" i="43" s="1"/>
  <c r="I7" i="43"/>
  <c r="J7" i="43" s="1"/>
  <c r="I286" i="43"/>
  <c r="J286" i="43" s="1"/>
  <c r="I192" i="43"/>
  <c r="J192" i="43" s="1"/>
  <c r="I264" i="43"/>
  <c r="J264" i="43" s="1"/>
  <c r="I129" i="43"/>
  <c r="J129" i="43" s="1"/>
  <c r="I71" i="43"/>
  <c r="J71" i="43" s="1"/>
  <c r="I216" i="43"/>
  <c r="J216" i="43" s="1"/>
  <c r="I153" i="43"/>
  <c r="J153" i="43" s="1"/>
  <c r="I288" i="43"/>
  <c r="J288" i="43" s="1"/>
  <c r="I280" i="43"/>
  <c r="J280" i="43" s="1"/>
  <c r="I174" i="43"/>
  <c r="J174" i="43" s="1"/>
  <c r="I203" i="43"/>
  <c r="J203" i="43" s="1"/>
  <c r="I52" i="43"/>
  <c r="J52" i="43" s="1"/>
  <c r="I163" i="43"/>
  <c r="J163" i="43" s="1"/>
  <c r="I23" i="43"/>
  <c r="J23" i="43" s="1"/>
  <c r="I60" i="43"/>
  <c r="J60" i="43" s="1"/>
  <c r="I27" i="43"/>
  <c r="J27" i="43" s="1"/>
  <c r="I53" i="43"/>
  <c r="J53" i="43" s="1"/>
  <c r="I85" i="43"/>
  <c r="J85" i="43" s="1"/>
  <c r="I62" i="43"/>
  <c r="J62" i="43" s="1"/>
  <c r="I122" i="43"/>
  <c r="J122" i="43" s="1"/>
  <c r="I226" i="43"/>
  <c r="J226" i="43" s="1"/>
  <c r="I78" i="43"/>
  <c r="J78" i="43" s="1"/>
  <c r="I186" i="43"/>
  <c r="J186" i="43" s="1"/>
  <c r="I137" i="43"/>
  <c r="J137" i="43" s="1"/>
  <c r="I218" i="43"/>
  <c r="J218" i="43" s="1"/>
  <c r="I282" i="43"/>
  <c r="J282" i="43" s="1"/>
  <c r="I198" i="43"/>
  <c r="J198" i="43" s="1"/>
  <c r="I4" i="43"/>
  <c r="J4" i="43" s="1"/>
  <c r="I29" i="43"/>
  <c r="J29" i="43" s="1"/>
  <c r="I13" i="43"/>
  <c r="J13" i="43" s="1"/>
  <c r="I159" i="43"/>
  <c r="J159" i="43" s="1"/>
  <c r="I143" i="43"/>
  <c r="J143" i="43" s="1"/>
  <c r="I272" i="43"/>
  <c r="J272" i="43" s="1"/>
  <c r="I131" i="43"/>
  <c r="J131" i="43" s="1"/>
  <c r="I112" i="43"/>
  <c r="J112" i="43" s="1"/>
  <c r="I240" i="43"/>
  <c r="J240" i="43" s="1"/>
  <c r="I256" i="43"/>
  <c r="J256" i="43" s="1"/>
  <c r="I185" i="43"/>
  <c r="J185" i="43" s="1"/>
  <c r="I118" i="43"/>
  <c r="J118" i="43" s="1"/>
  <c r="I255" i="43"/>
  <c r="J255" i="43" s="1"/>
  <c r="I254" i="43"/>
  <c r="J254" i="43" s="1"/>
  <c r="I279" i="43"/>
  <c r="J279" i="43" s="1"/>
  <c r="I199" i="43"/>
  <c r="J199" i="43" s="1"/>
  <c r="I128" i="43"/>
  <c r="J128" i="43" s="1"/>
  <c r="I113" i="43"/>
  <c r="J113" i="43" s="1"/>
  <c r="I69" i="43"/>
  <c r="J69" i="43" s="1"/>
  <c r="I15" i="43"/>
  <c r="J15" i="43" s="1"/>
  <c r="I19" i="43"/>
  <c r="J19" i="43" s="1"/>
  <c r="I68" i="43"/>
  <c r="J68" i="43" s="1"/>
  <c r="I18" i="43"/>
  <c r="J18" i="43" s="1"/>
  <c r="I155" i="43"/>
  <c r="J155" i="43" s="1"/>
  <c r="I237" i="43"/>
  <c r="J237" i="43" s="1"/>
  <c r="I121" i="43"/>
  <c r="J121" i="43" s="1"/>
  <c r="I234" i="43"/>
  <c r="J234" i="43" s="1"/>
  <c r="I154" i="43"/>
  <c r="J154" i="43" s="1"/>
  <c r="I229" i="43"/>
  <c r="J229" i="43" s="1"/>
  <c r="I290" i="43"/>
  <c r="J290" i="43" s="1"/>
  <c r="I202" i="43"/>
  <c r="J202" i="43" s="1"/>
  <c r="I25" i="43"/>
  <c r="J25" i="43" s="1"/>
  <c r="I31" i="43"/>
  <c r="J31" i="43" s="1"/>
  <c r="I283" i="43"/>
  <c r="J283" i="43" s="1"/>
  <c r="I219" i="43"/>
  <c r="J219" i="43" s="1"/>
  <c r="I247" i="43"/>
  <c r="J247" i="43" s="1"/>
  <c r="I271" i="43"/>
  <c r="J271" i="43" s="1"/>
  <c r="I158" i="43"/>
  <c r="J158" i="43" s="1"/>
  <c r="I109" i="43"/>
  <c r="J109" i="43" s="1"/>
  <c r="I222" i="43"/>
  <c r="J222" i="43" s="1"/>
  <c r="I115" i="43"/>
  <c r="J115" i="43" s="1"/>
  <c r="I101" i="43"/>
  <c r="J101" i="43" s="1"/>
  <c r="I238" i="43"/>
  <c r="J238" i="43" s="1"/>
  <c r="I232" i="43"/>
  <c r="J232" i="43" s="1"/>
  <c r="I83" i="43"/>
  <c r="J83" i="43" s="1"/>
  <c r="I248" i="43"/>
  <c r="J248" i="43" s="1"/>
  <c r="I48" i="43"/>
  <c r="J48" i="43" s="1"/>
  <c r="I136" i="43"/>
  <c r="J136" i="43" s="1"/>
  <c r="I12" i="43"/>
  <c r="J12" i="43" s="1"/>
  <c r="I80" i="43"/>
  <c r="J80" i="43" s="1"/>
  <c r="I89" i="43"/>
  <c r="J89" i="43" s="1"/>
  <c r="I130" i="43"/>
  <c r="J130" i="43" s="1"/>
  <c r="I274" i="43"/>
  <c r="J274" i="43" s="1"/>
  <c r="I149" i="43"/>
  <c r="J149" i="43" s="1"/>
  <c r="I245" i="43"/>
  <c r="J245" i="43" s="1"/>
  <c r="I258" i="43"/>
  <c r="J258" i="43" s="1"/>
  <c r="I213" i="43"/>
  <c r="J213" i="43" s="1"/>
  <c r="I298" i="43"/>
  <c r="J298" i="43" s="1"/>
  <c r="I8" i="43"/>
  <c r="J8" i="43" s="1"/>
  <c r="I105" i="43"/>
  <c r="J105" i="43" s="1"/>
  <c r="I21" i="43"/>
  <c r="J21" i="43" s="1"/>
  <c r="I120" i="43"/>
  <c r="J120" i="43" s="1"/>
  <c r="I5" i="43"/>
  <c r="J5" i="43" s="1"/>
  <c r="I207" i="43"/>
  <c r="J207" i="43" s="1"/>
  <c r="I224" i="43"/>
  <c r="J224" i="43" s="1"/>
  <c r="I246" i="43"/>
  <c r="J246" i="43" s="1"/>
  <c r="I145" i="43"/>
  <c r="J145" i="43" s="1"/>
  <c r="I104" i="43"/>
  <c r="J104" i="43" s="1"/>
  <c r="I176" i="43"/>
  <c r="J176" i="43" s="1"/>
  <c r="I107" i="43"/>
  <c r="J107" i="43" s="1"/>
  <c r="I161" i="43"/>
  <c r="J161" i="43" s="1"/>
  <c r="I147" i="43"/>
  <c r="J147" i="43" s="1"/>
  <c r="I76" i="43"/>
  <c r="J76" i="43" s="1"/>
  <c r="I230" i="43"/>
  <c r="J230" i="43" s="1"/>
  <c r="I183" i="43"/>
  <c r="J183" i="43" s="1"/>
  <c r="I111" i="43"/>
  <c r="J111" i="43" s="1"/>
  <c r="I67" i="43"/>
  <c r="J67" i="43" s="1"/>
  <c r="I127" i="43"/>
  <c r="J127" i="43" s="1"/>
  <c r="I49" i="43"/>
  <c r="J49" i="43" s="1"/>
  <c r="I37" i="43"/>
  <c r="J37" i="43" s="1"/>
  <c r="I61" i="43"/>
  <c r="J61" i="43" s="1"/>
  <c r="I242" i="43"/>
  <c r="J242" i="43" s="1"/>
  <c r="I152" i="43"/>
  <c r="J152" i="43" s="1"/>
  <c r="I82" i="43"/>
  <c r="J82" i="43" s="1"/>
  <c r="I181" i="43"/>
  <c r="J181" i="43" s="1"/>
  <c r="I57" i="43"/>
  <c r="J57" i="43" s="1"/>
  <c r="I146" i="43"/>
  <c r="J146" i="43" s="1"/>
  <c r="I261" i="43"/>
  <c r="J261" i="43" s="1"/>
  <c r="I162" i="43"/>
  <c r="J162" i="43" s="1"/>
  <c r="I142" i="43"/>
  <c r="J142" i="43" s="1"/>
  <c r="I103" i="43"/>
  <c r="J103" i="43" s="1"/>
  <c r="I17" i="43"/>
  <c r="J17" i="43" s="1"/>
  <c r="I50" i="43"/>
  <c r="J50" i="43" s="1"/>
  <c r="I28" i="43"/>
  <c r="J28" i="43" s="1"/>
  <c r="I249" i="43"/>
  <c r="J249" i="43" s="1"/>
  <c r="I209" i="43"/>
  <c r="J209" i="43" s="1"/>
  <c r="I267" i="43"/>
  <c r="J267" i="43" s="1"/>
  <c r="I205" i="43"/>
  <c r="J205" i="43" s="1"/>
  <c r="I193" i="43"/>
  <c r="J193" i="43" s="1"/>
  <c r="I126" i="43"/>
  <c r="J126" i="43" s="1"/>
  <c r="I84" i="43"/>
  <c r="J84" i="43" s="1"/>
  <c r="I96" i="43"/>
  <c r="J96" i="43" s="1"/>
  <c r="I93" i="43"/>
  <c r="J93" i="43" s="1"/>
  <c r="I231" i="43"/>
  <c r="J231" i="43" s="1"/>
  <c r="I97" i="43"/>
  <c r="J97" i="43" s="1"/>
  <c r="I39" i="43"/>
  <c r="J39" i="43" s="1"/>
  <c r="I88" i="43"/>
  <c r="J88" i="43" s="1"/>
  <c r="I58" i="43"/>
  <c r="J58" i="43" s="1"/>
  <c r="I106" i="43"/>
  <c r="J106" i="43" s="1"/>
  <c r="I47" i="43"/>
  <c r="J47" i="43" s="1"/>
  <c r="I72" i="43"/>
  <c r="J72" i="43" s="1"/>
  <c r="I59" i="43"/>
  <c r="J59" i="43" s="1"/>
  <c r="I41" i="43"/>
  <c r="J41" i="43" s="1"/>
  <c r="I253" i="43"/>
  <c r="J253" i="43" s="1"/>
  <c r="I160" i="43"/>
  <c r="J160" i="43" s="1"/>
  <c r="I138" i="43"/>
  <c r="J138" i="43" s="1"/>
  <c r="I221" i="43"/>
  <c r="J221" i="43" s="1"/>
  <c r="I64" i="43"/>
  <c r="J64" i="43" s="1"/>
  <c r="I150" i="43"/>
  <c r="J150" i="43" s="1"/>
  <c r="I269" i="43"/>
  <c r="J269" i="43" s="1"/>
  <c r="I194" i="43"/>
  <c r="J194" i="43" s="1"/>
  <c r="I95" i="43"/>
  <c r="J95" i="43" s="1"/>
  <c r="I10" i="43"/>
  <c r="J10" i="43" s="1"/>
  <c r="I16" i="43"/>
  <c r="J16" i="43" s="1"/>
  <c r="I20" i="43"/>
  <c r="J20" i="43" s="1"/>
  <c r="I259" i="43"/>
  <c r="J259" i="43" s="1"/>
  <c r="I201" i="43"/>
  <c r="J201" i="43" s="1"/>
  <c r="I295" i="43"/>
  <c r="J295" i="43" s="1"/>
  <c r="I123" i="43"/>
  <c r="J123" i="43" s="1"/>
  <c r="I211" i="43"/>
  <c r="J211" i="43" s="1"/>
  <c r="I87" i="43"/>
  <c r="J87" i="43" s="1"/>
  <c r="I263" i="43"/>
  <c r="J263" i="43" s="1"/>
  <c r="I171" i="43"/>
  <c r="J171" i="43" s="1"/>
  <c r="I215" i="43"/>
  <c r="J215" i="43" s="1"/>
  <c r="I99" i="43"/>
  <c r="J99" i="43" s="1"/>
  <c r="I141" i="43"/>
  <c r="J141" i="43" s="1"/>
  <c r="I91" i="43"/>
  <c r="J91" i="43" s="1"/>
  <c r="I36" i="43"/>
  <c r="J36" i="43" s="1"/>
  <c r="I42" i="43"/>
  <c r="J42" i="43" s="1"/>
  <c r="I33" i="43"/>
  <c r="J33" i="43" s="1"/>
  <c r="I65" i="43"/>
  <c r="J65" i="43" s="1"/>
  <c r="I46" i="43"/>
  <c r="J46" i="43" s="1"/>
  <c r="I40" i="43"/>
  <c r="J40" i="43" s="1"/>
  <c r="I70" i="43"/>
  <c r="J70" i="43" s="1"/>
  <c r="I266" i="43"/>
  <c r="J266" i="43" s="1"/>
  <c r="I165" i="43"/>
  <c r="J165" i="43" s="1"/>
  <c r="I200" i="43"/>
  <c r="J200" i="43" s="1"/>
  <c r="I110" i="43"/>
  <c r="J110" i="43" s="1"/>
  <c r="I74" i="43"/>
  <c r="J74" i="43" s="1"/>
  <c r="I168" i="43"/>
  <c r="J168" i="43" s="1"/>
  <c r="I277" i="43"/>
  <c r="J277" i="43" s="1"/>
  <c r="I166" i="43"/>
  <c r="J166" i="43" s="1"/>
  <c r="I51" i="43"/>
  <c r="J51" i="43" s="1"/>
  <c r="I26" i="43"/>
  <c r="J26" i="43" s="1"/>
  <c r="I11" i="43"/>
  <c r="J11" i="43" s="1"/>
  <c r="I24" i="43"/>
  <c r="J24" i="43" s="1"/>
  <c r="I34" i="43"/>
  <c r="J34" i="43" s="1"/>
  <c r="AP14" i="41"/>
  <c r="AQ14" i="41" s="1"/>
  <c r="AP111" i="41"/>
  <c r="AQ111" i="41" s="1"/>
  <c r="AP103" i="41"/>
  <c r="AQ103" i="41" s="1"/>
  <c r="AP102" i="41"/>
  <c r="AQ102" i="41" s="1"/>
  <c r="AP101" i="41"/>
  <c r="AQ101" i="41" s="1"/>
  <c r="AP83" i="41"/>
  <c r="AQ83" i="41" s="1"/>
  <c r="AP80" i="41"/>
  <c r="AQ80" i="41" s="1"/>
  <c r="AP69" i="41"/>
  <c r="AQ69" i="41" s="1"/>
  <c r="AP33" i="41"/>
  <c r="AQ33" i="41" s="1"/>
  <c r="AP30" i="41"/>
  <c r="AQ30" i="41" s="1"/>
  <c r="AP50" i="41"/>
  <c r="AQ50" i="41" s="1"/>
  <c r="AP35" i="41"/>
  <c r="AQ35" i="41" s="1"/>
  <c r="AP21" i="41"/>
  <c r="AQ21" i="41" s="1"/>
  <c r="AP22" i="41"/>
  <c r="AQ22" i="41" s="1"/>
  <c r="AP11" i="41"/>
  <c r="AQ11" i="41" s="1"/>
  <c r="AP10" i="41"/>
  <c r="AQ10" i="41" s="1"/>
  <c r="AP7" i="41"/>
  <c r="AQ7" i="41" s="1"/>
  <c r="AP125" i="41"/>
  <c r="AQ125" i="41" s="1"/>
  <c r="AP41" i="41"/>
  <c r="AQ41" i="41" s="1"/>
  <c r="AP51" i="41"/>
  <c r="AQ51" i="41" s="1"/>
  <c r="AP56" i="41"/>
  <c r="AQ56" i="41" s="1"/>
  <c r="AP61" i="41"/>
  <c r="AQ61" i="41" s="1"/>
  <c r="AP81" i="41"/>
  <c r="AQ81" i="41" s="1"/>
  <c r="AP91" i="41"/>
  <c r="AQ91" i="41" s="1"/>
  <c r="AP45" i="41"/>
  <c r="AQ45" i="41" s="1"/>
  <c r="AP85" i="41"/>
  <c r="AQ85" i="41" s="1"/>
  <c r="AP53" i="41"/>
  <c r="AQ53" i="41" s="1"/>
  <c r="AP93" i="41"/>
  <c r="AQ93" i="41" s="1"/>
  <c r="AP133" i="41"/>
  <c r="AQ133" i="41" s="1"/>
  <c r="AP6" i="41"/>
  <c r="AQ6" i="41" s="1"/>
  <c r="AP34" i="41"/>
  <c r="AQ34" i="41" s="1"/>
  <c r="AP39" i="41"/>
  <c r="AQ39" i="41" s="1"/>
  <c r="AP67" i="41"/>
  <c r="AQ67" i="41" s="1"/>
  <c r="AP89" i="41"/>
  <c r="AQ89" i="41" s="1"/>
  <c r="AP99" i="41"/>
  <c r="AQ99" i="41" s="1"/>
  <c r="AP131" i="41"/>
  <c r="AQ131" i="41" s="1"/>
  <c r="AP117" i="41"/>
  <c r="AQ117" i="41" s="1"/>
  <c r="AP9" i="41"/>
  <c r="AQ9" i="41" s="1"/>
  <c r="AP24" i="41"/>
  <c r="AQ24" i="41" s="1"/>
  <c r="AP42" i="41"/>
  <c r="AQ42" i="41" s="1"/>
  <c r="AP47" i="41"/>
  <c r="AQ47" i="41" s="1"/>
  <c r="AP57" i="41"/>
  <c r="AQ57" i="41" s="1"/>
  <c r="AP72" i="41"/>
  <c r="AQ72" i="41" s="1"/>
  <c r="AP77" i="41"/>
  <c r="AQ77" i="41" s="1"/>
  <c r="AP82" i="41"/>
  <c r="AQ82" i="41" s="1"/>
  <c r="AP87" i="41"/>
  <c r="AQ87" i="41" s="1"/>
  <c r="AP92" i="41"/>
  <c r="AQ92" i="41" s="1"/>
  <c r="AP104" i="41"/>
  <c r="AQ104" i="41" s="1"/>
  <c r="AP114" i="41"/>
  <c r="AQ114" i="41" s="1"/>
  <c r="AP119" i="41"/>
  <c r="AQ119" i="41" s="1"/>
  <c r="AP124" i="41"/>
  <c r="AQ124" i="41" s="1"/>
  <c r="AP136" i="41"/>
  <c r="AQ136" i="41" s="1"/>
  <c r="AP19" i="41"/>
  <c r="AQ19" i="41" s="1"/>
  <c r="AP4" i="41"/>
  <c r="AP12" i="41"/>
  <c r="AQ12" i="41" s="1"/>
  <c r="I60" i="41" l="1"/>
  <c r="J60" i="41" s="1"/>
  <c r="I118" i="41"/>
  <c r="J118" i="41" s="1"/>
  <c r="I126" i="41"/>
  <c r="J126" i="41" s="1"/>
  <c r="I100" i="41"/>
  <c r="J100" i="41" s="1"/>
  <c r="I91" i="41"/>
  <c r="J91" i="41" s="1"/>
  <c r="I70" i="41"/>
  <c r="J70" i="41" s="1"/>
  <c r="I84" i="41"/>
  <c r="J84" i="41" s="1"/>
  <c r="I125" i="41"/>
  <c r="J125" i="41" s="1"/>
  <c r="I93" i="41"/>
  <c r="J93" i="41" s="1"/>
  <c r="I76" i="41"/>
  <c r="J76" i="41" s="1"/>
  <c r="I129" i="41"/>
  <c r="J129" i="41" s="1"/>
  <c r="I85" i="41"/>
  <c r="J85" i="41" s="1"/>
  <c r="I30" i="41"/>
  <c r="J30" i="41" s="1"/>
  <c r="I87" i="41"/>
  <c r="J87" i="41" s="1"/>
  <c r="I68" i="41"/>
  <c r="J68" i="41" s="1"/>
  <c r="I37" i="41"/>
  <c r="J37" i="41" s="1"/>
  <c r="I195" i="41"/>
  <c r="J195" i="41" s="1"/>
  <c r="I144" i="41"/>
  <c r="J144" i="41" s="1"/>
  <c r="I200" i="41"/>
  <c r="J200" i="41" s="1"/>
  <c r="I297" i="41"/>
  <c r="J297" i="41" s="1"/>
  <c r="I249" i="41"/>
  <c r="J249" i="41" s="1"/>
  <c r="I290" i="41"/>
  <c r="J290" i="41" s="1"/>
  <c r="I286" i="41"/>
  <c r="J286" i="41" s="1"/>
  <c r="I261" i="41"/>
  <c r="J261" i="41" s="1"/>
  <c r="I231" i="41"/>
  <c r="J231" i="41" s="1"/>
  <c r="I179" i="41"/>
  <c r="J179" i="41" s="1"/>
  <c r="I172" i="41"/>
  <c r="J172" i="41" s="1"/>
  <c r="I159" i="41"/>
  <c r="J159" i="41" s="1"/>
  <c r="I246" i="41"/>
  <c r="J246" i="41" s="1"/>
  <c r="I235" i="41"/>
  <c r="J235" i="41" s="1"/>
  <c r="I198" i="41"/>
  <c r="J198" i="41" s="1"/>
  <c r="I92" i="41"/>
  <c r="J92" i="41" s="1"/>
  <c r="I117" i="41"/>
  <c r="J117" i="41" s="1"/>
  <c r="I29" i="41"/>
  <c r="J29" i="41" s="1"/>
  <c r="I62" i="41"/>
  <c r="J62" i="41" s="1"/>
  <c r="I79" i="41"/>
  <c r="J79" i="41" s="1"/>
  <c r="I75" i="41"/>
  <c r="J75" i="41" s="1"/>
  <c r="I153" i="41"/>
  <c r="J153" i="41" s="1"/>
  <c r="I177" i="41"/>
  <c r="J177" i="41" s="1"/>
  <c r="I248" i="41"/>
  <c r="J248" i="41" s="1"/>
  <c r="I141" i="41"/>
  <c r="J141" i="41" s="1"/>
  <c r="I264" i="41"/>
  <c r="J264" i="41" s="1"/>
  <c r="I268" i="41"/>
  <c r="J268" i="41" s="1"/>
  <c r="I255" i="41"/>
  <c r="J255" i="41" s="1"/>
  <c r="I220" i="41"/>
  <c r="J220" i="41" s="1"/>
  <c r="I166" i="41"/>
  <c r="J166" i="41" s="1"/>
  <c r="I155" i="41"/>
  <c r="J155" i="41" s="1"/>
  <c r="I270" i="41"/>
  <c r="J270" i="41" s="1"/>
  <c r="I205" i="41"/>
  <c r="J205" i="41" s="1"/>
  <c r="I222" i="41"/>
  <c r="J222" i="41" s="1"/>
  <c r="I157" i="41"/>
  <c r="J157" i="41" s="1"/>
  <c r="I109" i="41"/>
  <c r="J109" i="41" s="1"/>
  <c r="I21" i="41"/>
  <c r="J21" i="41" s="1"/>
  <c r="I54" i="41"/>
  <c r="J54" i="41" s="1"/>
  <c r="I71" i="41"/>
  <c r="J71" i="41" s="1"/>
  <c r="I281" i="41"/>
  <c r="J281" i="41" s="1"/>
  <c r="I257" i="41"/>
  <c r="J257" i="41" s="1"/>
  <c r="I258" i="41"/>
  <c r="J258" i="41" s="1"/>
  <c r="I289" i="41"/>
  <c r="J289" i="41" s="1"/>
  <c r="I217" i="41"/>
  <c r="J217" i="41" s="1"/>
  <c r="I251" i="41"/>
  <c r="J251" i="41" s="1"/>
  <c r="I244" i="41"/>
  <c r="J244" i="41" s="1"/>
  <c r="I203" i="41"/>
  <c r="J203" i="41" s="1"/>
  <c r="I142" i="41"/>
  <c r="J142" i="41" s="1"/>
  <c r="I148" i="41"/>
  <c r="J148" i="41" s="1"/>
  <c r="I229" i="41"/>
  <c r="J229" i="41" s="1"/>
  <c r="I199" i="41"/>
  <c r="J199" i="41" s="1"/>
  <c r="I181" i="41"/>
  <c r="J181" i="41" s="1"/>
  <c r="I151" i="41"/>
  <c r="J151" i="41" s="1"/>
  <c r="I101" i="41"/>
  <c r="J101" i="41" s="1"/>
  <c r="I134" i="41"/>
  <c r="J134" i="41" s="1"/>
  <c r="I46" i="41"/>
  <c r="J46" i="41" s="1"/>
  <c r="I63" i="41"/>
  <c r="J63" i="41" s="1"/>
  <c r="I35" i="41"/>
  <c r="J35" i="41" s="1"/>
  <c r="I233" i="41"/>
  <c r="J233" i="41" s="1"/>
  <c r="I210" i="41"/>
  <c r="J210" i="41" s="1"/>
  <c r="I296" i="41"/>
  <c r="J296" i="41" s="1"/>
  <c r="I192" i="41"/>
  <c r="J192" i="41" s="1"/>
  <c r="I216" i="41"/>
  <c r="J216" i="41" s="1"/>
  <c r="I275" i="41"/>
  <c r="J275" i="41" s="1"/>
  <c r="I238" i="41"/>
  <c r="J238" i="41" s="1"/>
  <c r="I227" i="41"/>
  <c r="J227" i="41" s="1"/>
  <c r="I190" i="41"/>
  <c r="J190" i="41" s="1"/>
  <c r="I291" i="41"/>
  <c r="J291" i="41" s="1"/>
  <c r="I295" i="41"/>
  <c r="J295" i="41" s="1"/>
  <c r="I223" i="41"/>
  <c r="J223" i="41" s="1"/>
  <c r="I188" i="41"/>
  <c r="J188" i="41" s="1"/>
  <c r="I175" i="41"/>
  <c r="J175" i="41" s="1"/>
  <c r="I38" i="41"/>
  <c r="J38" i="41" s="1"/>
  <c r="I139" i="41"/>
  <c r="J139" i="41" s="1"/>
  <c r="I232" i="41"/>
  <c r="J232" i="41" s="1"/>
  <c r="I209" i="41"/>
  <c r="J209" i="41" s="1"/>
  <c r="I152" i="41"/>
  <c r="J152" i="41" s="1"/>
  <c r="I272" i="41"/>
  <c r="J272" i="41" s="1"/>
  <c r="I202" i="41"/>
  <c r="J202" i="41" s="1"/>
  <c r="I262" i="41"/>
  <c r="J262" i="41" s="1"/>
  <c r="I197" i="41"/>
  <c r="J197" i="41" s="1"/>
  <c r="I214" i="41"/>
  <c r="J214" i="41" s="1"/>
  <c r="I149" i="41"/>
  <c r="J149" i="41" s="1"/>
  <c r="I284" i="41"/>
  <c r="J284" i="41" s="1"/>
  <c r="I277" i="41"/>
  <c r="J277" i="41" s="1"/>
  <c r="I212" i="41"/>
  <c r="J212" i="41" s="1"/>
  <c r="I171" i="41"/>
  <c r="J171" i="41" s="1"/>
  <c r="I164" i="41"/>
  <c r="J164" i="41" s="1"/>
  <c r="I160" i="41"/>
  <c r="J160" i="41" s="1"/>
  <c r="I158" i="41"/>
  <c r="J158" i="41" s="1"/>
  <c r="I293" i="41"/>
  <c r="J293" i="41" s="1"/>
  <c r="I265" i="41"/>
  <c r="J265" i="41" s="1"/>
  <c r="I52" i="41"/>
  <c r="J52" i="41" s="1"/>
  <c r="I184" i="41"/>
  <c r="J184" i="41" s="1"/>
  <c r="I161" i="41"/>
  <c r="J161" i="41" s="1"/>
  <c r="I224" i="41"/>
  <c r="J224" i="41" s="1"/>
  <c r="I178" i="41"/>
  <c r="J178" i="41" s="1"/>
  <c r="I193" i="41"/>
  <c r="J193" i="41" s="1"/>
  <c r="I215" i="41"/>
  <c r="J215" i="41" s="1"/>
  <c r="I180" i="41"/>
  <c r="J180" i="41" s="1"/>
  <c r="I167" i="41"/>
  <c r="J167" i="41" s="1"/>
  <c r="I267" i="41"/>
  <c r="J267" i="41" s="1"/>
  <c r="I260" i="41"/>
  <c r="J260" i="41" s="1"/>
  <c r="I247" i="41"/>
  <c r="J247" i="41" s="1"/>
  <c r="I182" i="41"/>
  <c r="J182" i="41" s="1"/>
  <c r="I147" i="41"/>
  <c r="J147" i="41" s="1"/>
  <c r="I287" i="41"/>
  <c r="J287" i="41" s="1"/>
  <c r="I241" i="41"/>
  <c r="J241" i="41" s="1"/>
  <c r="I194" i="41"/>
  <c r="J194" i="41" s="1"/>
  <c r="I266" i="41"/>
  <c r="J266" i="41" s="1"/>
  <c r="I282" i="41"/>
  <c r="J282" i="41" s="1"/>
  <c r="I154" i="41"/>
  <c r="J154" i="41" s="1"/>
  <c r="I145" i="41"/>
  <c r="J145" i="41" s="1"/>
  <c r="I204" i="41"/>
  <c r="J204" i="41" s="1"/>
  <c r="I163" i="41"/>
  <c r="J163" i="41" s="1"/>
  <c r="I156" i="41"/>
  <c r="J156" i="41" s="1"/>
  <c r="I254" i="41"/>
  <c r="J254" i="41" s="1"/>
  <c r="I243" i="41"/>
  <c r="J243" i="41" s="1"/>
  <c r="I236" i="41"/>
  <c r="J236" i="41" s="1"/>
  <c r="I294" i="41"/>
  <c r="J294" i="41" s="1"/>
  <c r="I300" i="41"/>
  <c r="J300" i="41" s="1"/>
  <c r="I245" i="41"/>
  <c r="J245" i="41" s="1"/>
  <c r="I170" i="41"/>
  <c r="J170" i="41" s="1"/>
  <c r="I168" i="41"/>
  <c r="J168" i="41" s="1"/>
  <c r="I221" i="41"/>
  <c r="J221" i="41" s="1"/>
  <c r="I278" i="41"/>
  <c r="J278" i="41" s="1"/>
  <c r="I140" i="41"/>
  <c r="J140" i="41" s="1"/>
  <c r="I22" i="41"/>
  <c r="J22" i="41" s="1"/>
  <c r="I44" i="41"/>
  <c r="J44" i="41" s="1"/>
  <c r="I135" i="41"/>
  <c r="J135" i="41" s="1"/>
  <c r="I124" i="41"/>
  <c r="J124" i="41" s="1"/>
  <c r="I36" i="41"/>
  <c r="J36" i="41" s="1"/>
  <c r="I61" i="41"/>
  <c r="J61" i="41" s="1"/>
  <c r="I94" i="41"/>
  <c r="J94" i="41" s="1"/>
  <c r="I127" i="41"/>
  <c r="J127" i="41" s="1"/>
  <c r="I107" i="41"/>
  <c r="J107" i="41" s="1"/>
  <c r="I146" i="41"/>
  <c r="J146" i="41" s="1"/>
  <c r="I242" i="41"/>
  <c r="J242" i="41" s="1"/>
  <c r="I201" i="41"/>
  <c r="J201" i="41" s="1"/>
  <c r="I288" i="41"/>
  <c r="J288" i="41" s="1"/>
  <c r="I274" i="41"/>
  <c r="J274" i="41" s="1"/>
  <c r="I187" i="41"/>
  <c r="J187" i="41" s="1"/>
  <c r="I150" i="41"/>
  <c r="J150" i="41" s="1"/>
  <c r="I143" i="41"/>
  <c r="J143" i="41" s="1"/>
  <c r="I213" i="41"/>
  <c r="J213" i="41" s="1"/>
  <c r="I230" i="41"/>
  <c r="J230" i="41" s="1"/>
  <c r="I219" i="41"/>
  <c r="J219" i="41" s="1"/>
  <c r="I283" i="41"/>
  <c r="J283" i="41" s="1"/>
  <c r="I269" i="41"/>
  <c r="J269" i="41" s="1"/>
  <c r="I239" i="41"/>
  <c r="J239" i="41" s="1"/>
  <c r="I234" i="41"/>
  <c r="J234" i="41" s="1"/>
  <c r="I208" i="41"/>
  <c r="J208" i="41" s="1"/>
  <c r="I225" i="41"/>
  <c r="J225" i="41" s="1"/>
  <c r="I191" i="41"/>
  <c r="J191" i="41" s="1"/>
  <c r="I253" i="41"/>
  <c r="J253" i="41" s="1"/>
  <c r="I110" i="41"/>
  <c r="J110" i="41" s="1"/>
  <c r="I132" i="41"/>
  <c r="J132" i="41" s="1"/>
  <c r="I102" i="41"/>
  <c r="J102" i="41" s="1"/>
  <c r="I116" i="41"/>
  <c r="J116" i="41" s="1"/>
  <c r="I28" i="41"/>
  <c r="J28" i="41" s="1"/>
  <c r="I53" i="41"/>
  <c r="J53" i="41" s="1"/>
  <c r="I86" i="41"/>
  <c r="J86" i="41" s="1"/>
  <c r="I119" i="41"/>
  <c r="J119" i="41" s="1"/>
  <c r="I105" i="41"/>
  <c r="J105" i="41" s="1"/>
  <c r="I162" i="41"/>
  <c r="J162" i="41" s="1"/>
  <c r="I218" i="41"/>
  <c r="J218" i="41" s="1"/>
  <c r="I280" i="41"/>
  <c r="J280" i="41" s="1"/>
  <c r="I169" i="41"/>
  <c r="J169" i="41" s="1"/>
  <c r="I250" i="41"/>
  <c r="J250" i="41" s="1"/>
  <c r="I174" i="41"/>
  <c r="J174" i="41" s="1"/>
  <c r="I292" i="41"/>
  <c r="J292" i="41" s="1"/>
  <c r="I285" i="41"/>
  <c r="J285" i="41" s="1"/>
  <c r="I207" i="41"/>
  <c r="J207" i="41" s="1"/>
  <c r="I189" i="41"/>
  <c r="J189" i="41" s="1"/>
  <c r="I206" i="41"/>
  <c r="J206" i="41" s="1"/>
  <c r="I276" i="41"/>
  <c r="J276" i="41" s="1"/>
  <c r="I263" i="41"/>
  <c r="J263" i="41" s="1"/>
  <c r="I228" i="41"/>
  <c r="J228" i="41" s="1"/>
  <c r="I185" i="41"/>
  <c r="J185" i="41" s="1"/>
  <c r="I240" i="41"/>
  <c r="J240" i="41" s="1"/>
  <c r="I173" i="41"/>
  <c r="J173" i="41" s="1"/>
  <c r="I271" i="41"/>
  <c r="J271" i="41" s="1"/>
  <c r="I77" i="41"/>
  <c r="J77" i="41" s="1"/>
  <c r="I121" i="41"/>
  <c r="J121" i="41" s="1"/>
  <c r="I69" i="41"/>
  <c r="J69" i="41" s="1"/>
  <c r="I113" i="41"/>
  <c r="J113" i="41" s="1"/>
  <c r="I108" i="41"/>
  <c r="J108" i="41" s="1"/>
  <c r="I133" i="41"/>
  <c r="J133" i="41" s="1"/>
  <c r="I45" i="41"/>
  <c r="J45" i="41" s="1"/>
  <c r="I78" i="41"/>
  <c r="J78" i="41" s="1"/>
  <c r="I103" i="41"/>
  <c r="J103" i="41" s="1"/>
  <c r="I99" i="41"/>
  <c r="J99" i="41" s="1"/>
  <c r="I176" i="41"/>
  <c r="J176" i="41" s="1"/>
  <c r="I186" i="41"/>
  <c r="J186" i="41" s="1"/>
  <c r="I298" i="41"/>
  <c r="J298" i="41" s="1"/>
  <c r="I273" i="41"/>
  <c r="J273" i="41" s="1"/>
  <c r="I226" i="41"/>
  <c r="J226" i="41" s="1"/>
  <c r="I299" i="41"/>
  <c r="J299" i="41" s="1"/>
  <c r="I279" i="41"/>
  <c r="J279" i="41" s="1"/>
  <c r="I237" i="41"/>
  <c r="J237" i="41" s="1"/>
  <c r="I196" i="41"/>
  <c r="J196" i="41" s="1"/>
  <c r="I183" i="41"/>
  <c r="J183" i="41" s="1"/>
  <c r="I165" i="41"/>
  <c r="J165" i="41" s="1"/>
  <c r="I259" i="41"/>
  <c r="J259" i="41" s="1"/>
  <c r="I252" i="41"/>
  <c r="J252" i="41" s="1"/>
  <c r="I211" i="41"/>
  <c r="J211" i="41" s="1"/>
  <c r="I256" i="41"/>
  <c r="J256" i="41" s="1"/>
  <c r="I97" i="41"/>
  <c r="J97" i="41" s="1"/>
  <c r="I112" i="41"/>
  <c r="J112" i="41" s="1"/>
  <c r="I65" i="41"/>
  <c r="J65" i="41" s="1"/>
  <c r="I81" i="41"/>
  <c r="J81" i="41" s="1"/>
  <c r="I136" i="41"/>
  <c r="J136" i="41" s="1"/>
  <c r="I57" i="41"/>
  <c r="J57" i="41" s="1"/>
  <c r="I40" i="41"/>
  <c r="J40" i="41" s="1"/>
  <c r="I123" i="41"/>
  <c r="J123" i="41" s="1"/>
  <c r="I83" i="41"/>
  <c r="J83" i="41" s="1"/>
  <c r="I96" i="41"/>
  <c r="J96" i="41" s="1"/>
  <c r="I7" i="41"/>
  <c r="J7" i="41" s="1"/>
  <c r="I23" i="41"/>
  <c r="J23" i="41" s="1"/>
  <c r="I13" i="41"/>
  <c r="J13" i="41" s="1"/>
  <c r="I56" i="41"/>
  <c r="J56" i="41" s="1"/>
  <c r="I48" i="41"/>
  <c r="J48" i="41" s="1"/>
  <c r="I104" i="41"/>
  <c r="J104" i="41" s="1"/>
  <c r="I43" i="41"/>
  <c r="J43" i="41" s="1"/>
  <c r="I41" i="41"/>
  <c r="J41" i="41" s="1"/>
  <c r="I47" i="41"/>
  <c r="J47" i="41" s="1"/>
  <c r="I80" i="41"/>
  <c r="J80" i="41" s="1"/>
  <c r="I32" i="41"/>
  <c r="J32" i="41" s="1"/>
  <c r="I31" i="41"/>
  <c r="J31" i="41" s="1"/>
  <c r="I88" i="41"/>
  <c r="J88" i="41" s="1"/>
  <c r="I72" i="41"/>
  <c r="J72" i="41" s="1"/>
  <c r="I128" i="41"/>
  <c r="J128" i="41" s="1"/>
  <c r="I33" i="41"/>
  <c r="J33" i="41" s="1"/>
  <c r="I111" i="41"/>
  <c r="J111" i="41" s="1"/>
  <c r="I137" i="41"/>
  <c r="J137" i="41" s="1"/>
  <c r="I115" i="41"/>
  <c r="J115" i="41" s="1"/>
  <c r="I73" i="41"/>
  <c r="J73" i="41" s="1"/>
  <c r="I64" i="41"/>
  <c r="J64" i="41" s="1"/>
  <c r="I9" i="41"/>
  <c r="J9" i="41" s="1"/>
  <c r="I51" i="41"/>
  <c r="J51" i="41" s="1"/>
  <c r="I25" i="41"/>
  <c r="J25" i="41" s="1"/>
  <c r="I15" i="41"/>
  <c r="J15" i="41" s="1"/>
  <c r="I49" i="41"/>
  <c r="J49" i="41" s="1"/>
  <c r="I6" i="41"/>
  <c r="J6" i="41" s="1"/>
  <c r="I55" i="41"/>
  <c r="J55" i="41" s="1"/>
  <c r="I95" i="41"/>
  <c r="J95" i="41" s="1"/>
  <c r="I131" i="41"/>
  <c r="J131" i="41" s="1"/>
  <c r="I89" i="41"/>
  <c r="J89" i="41" s="1"/>
  <c r="I67" i="41"/>
  <c r="J67" i="41" s="1"/>
  <c r="I27" i="41"/>
  <c r="J27" i="41" s="1"/>
  <c r="AQ4" i="41"/>
  <c r="I3" i="41" s="1"/>
  <c r="J3" i="41" s="1"/>
  <c r="I14" i="41"/>
  <c r="J14" i="41" s="1"/>
  <c r="I19" i="41"/>
  <c r="J19" i="41" s="1"/>
  <c r="I130" i="41"/>
  <c r="J130" i="41" s="1"/>
  <c r="I122" i="41"/>
  <c r="J122" i="41" s="1"/>
  <c r="I114" i="41"/>
  <c r="J114" i="41" s="1"/>
  <c r="I82" i="41"/>
  <c r="J82" i="41" s="1"/>
  <c r="I18" i="41"/>
  <c r="J18" i="41" s="1"/>
  <c r="I50" i="41"/>
  <c r="J50" i="41" s="1"/>
  <c r="I34" i="41"/>
  <c r="J34" i="41" s="1"/>
  <c r="I12" i="41"/>
  <c r="J12" i="41" s="1"/>
  <c r="I4" i="41"/>
  <c r="J4" i="41" s="1"/>
  <c r="I138" i="41"/>
  <c r="J138" i="41" s="1"/>
  <c r="I106" i="41"/>
  <c r="J106" i="41" s="1"/>
  <c r="I98" i="41"/>
  <c r="J98" i="41" s="1"/>
  <c r="I90" i="41"/>
  <c r="J90" i="41" s="1"/>
  <c r="I74" i="41"/>
  <c r="J74" i="41" s="1"/>
  <c r="I66" i="41"/>
  <c r="J66" i="41" s="1"/>
  <c r="I58" i="41"/>
  <c r="J58" i="41" s="1"/>
  <c r="I42" i="41"/>
  <c r="J42" i="41" s="1"/>
  <c r="I26" i="41"/>
  <c r="J26" i="41" s="1"/>
  <c r="I24" i="41"/>
  <c r="J24" i="41" s="1"/>
  <c r="I16" i="41"/>
  <c r="J16" i="41" s="1"/>
  <c r="I11" i="41"/>
  <c r="J11" i="41" s="1"/>
  <c r="I20" i="41"/>
  <c r="J20" i="41" s="1"/>
  <c r="I59" i="41"/>
  <c r="J59" i="41" s="1"/>
  <c r="I39" i="41"/>
  <c r="J39" i="41" s="1"/>
  <c r="I10" i="41"/>
  <c r="J10" i="41" s="1"/>
  <c r="I17" i="41"/>
  <c r="J17" i="41" s="1"/>
  <c r="I120" i="41"/>
  <c r="J120" i="41" s="1"/>
  <c r="I5" i="41"/>
  <c r="J5" i="41" s="1"/>
  <c r="I8" i="41"/>
  <c r="J8" i="41" s="1"/>
  <c r="K108" i="29" l="1"/>
  <c r="J108" i="29"/>
  <c r="E108" i="29"/>
  <c r="D108" i="29"/>
  <c r="L107" i="29"/>
  <c r="F107" i="29"/>
  <c r="L106" i="29"/>
  <c r="F106" i="29"/>
  <c r="L105" i="29"/>
  <c r="F105" i="29"/>
  <c r="L104" i="29"/>
  <c r="F104" i="29"/>
  <c r="L103" i="29"/>
  <c r="F103" i="29"/>
  <c r="L102" i="29"/>
  <c r="F102" i="29"/>
  <c r="L101" i="29"/>
  <c r="F101" i="29"/>
  <c r="K98" i="29"/>
  <c r="J98" i="29"/>
  <c r="E98" i="29"/>
  <c r="D98" i="29"/>
  <c r="L97" i="29"/>
  <c r="F97" i="29"/>
  <c r="L96" i="29"/>
  <c r="F96" i="29"/>
  <c r="L95" i="29"/>
  <c r="F95" i="29"/>
  <c r="L94" i="29"/>
  <c r="F94" i="29"/>
  <c r="L93" i="29"/>
  <c r="F93" i="29"/>
  <c r="L92" i="29"/>
  <c r="F92" i="29"/>
  <c r="L91" i="29"/>
  <c r="F91" i="29"/>
  <c r="K88" i="29"/>
  <c r="J88" i="29"/>
  <c r="E88" i="29"/>
  <c r="D88" i="29"/>
  <c r="L87" i="29"/>
  <c r="F87" i="29"/>
  <c r="L86" i="29"/>
  <c r="F86" i="29"/>
  <c r="L85" i="29"/>
  <c r="F85" i="29"/>
  <c r="L84" i="29"/>
  <c r="F84" i="29"/>
  <c r="L83" i="29"/>
  <c r="F83" i="29"/>
  <c r="L82" i="29"/>
  <c r="F82" i="29"/>
  <c r="K79" i="29"/>
  <c r="J79" i="29"/>
  <c r="E79" i="29"/>
  <c r="D79" i="29"/>
  <c r="L78" i="29"/>
  <c r="F78" i="29"/>
  <c r="L77" i="29"/>
  <c r="F77" i="29"/>
  <c r="L76" i="29"/>
  <c r="F76" i="29"/>
  <c r="L75" i="29"/>
  <c r="F75" i="29"/>
  <c r="L74" i="29"/>
  <c r="F74" i="29"/>
  <c r="L73" i="29"/>
  <c r="F73" i="29"/>
  <c r="L72" i="29"/>
  <c r="F72" i="29"/>
  <c r="L71" i="29"/>
  <c r="F71" i="29"/>
  <c r="L70" i="29"/>
  <c r="F70" i="29"/>
  <c r="L69" i="29"/>
  <c r="F69" i="29"/>
  <c r="L68" i="29"/>
  <c r="F68" i="29"/>
  <c r="K65" i="29"/>
  <c r="J65" i="29"/>
  <c r="E65" i="29"/>
  <c r="D65" i="29"/>
  <c r="L64" i="29"/>
  <c r="F64" i="29"/>
  <c r="L63" i="29"/>
  <c r="F63" i="29"/>
  <c r="L62" i="29"/>
  <c r="F62" i="29"/>
  <c r="L61" i="29"/>
  <c r="F61" i="29"/>
  <c r="L60" i="29"/>
  <c r="F60" i="29"/>
  <c r="L59" i="29"/>
  <c r="F59" i="29"/>
  <c r="L58" i="29"/>
  <c r="F58" i="29"/>
  <c r="K55" i="29"/>
  <c r="J55" i="29"/>
  <c r="E55" i="29"/>
  <c r="D55" i="29"/>
  <c r="L54" i="29"/>
  <c r="F54" i="29"/>
  <c r="L53" i="29"/>
  <c r="F53" i="29"/>
  <c r="L52" i="29"/>
  <c r="F52" i="29"/>
  <c r="L51" i="29"/>
  <c r="F51" i="29"/>
  <c r="L50" i="29"/>
  <c r="F50" i="29"/>
  <c r="L49" i="29"/>
  <c r="F49" i="29"/>
  <c r="K46" i="29"/>
  <c r="J46" i="29"/>
  <c r="E46" i="29"/>
  <c r="D46" i="29"/>
  <c r="L45" i="29"/>
  <c r="F45" i="29"/>
  <c r="L44" i="29"/>
  <c r="F44" i="29"/>
  <c r="L43" i="29"/>
  <c r="F43" i="29"/>
  <c r="L42" i="29"/>
  <c r="F42" i="29"/>
  <c r="L41" i="29"/>
  <c r="F41" i="29"/>
  <c r="L40" i="29"/>
  <c r="F40" i="29"/>
  <c r="L39" i="29"/>
  <c r="F39" i="29"/>
  <c r="K36" i="29"/>
  <c r="J36" i="29"/>
  <c r="E36" i="29"/>
  <c r="D36" i="29"/>
  <c r="L35" i="29"/>
  <c r="F35" i="29"/>
  <c r="L34" i="29"/>
  <c r="F34" i="29"/>
  <c r="L33" i="29"/>
  <c r="F33" i="29"/>
  <c r="L32" i="29"/>
  <c r="F32" i="29"/>
  <c r="L31" i="29"/>
  <c r="F31" i="29"/>
  <c r="L30" i="29"/>
  <c r="F30" i="29"/>
  <c r="L29" i="29"/>
  <c r="F29" i="29"/>
  <c r="L28" i="29"/>
  <c r="F28" i="29"/>
  <c r="K25" i="29"/>
  <c r="J25" i="29"/>
  <c r="E25" i="29"/>
  <c r="D25" i="29"/>
  <c r="L24" i="29"/>
  <c r="F24" i="29"/>
  <c r="L23" i="29"/>
  <c r="F23" i="29"/>
  <c r="L22" i="29"/>
  <c r="D90" i="4" s="1"/>
  <c r="F22" i="29"/>
  <c r="L21" i="29"/>
  <c r="F21" i="29"/>
  <c r="L20" i="29"/>
  <c r="D88" i="4" s="1"/>
  <c r="F20" i="29"/>
  <c r="L19" i="29"/>
  <c r="D87" i="4" s="1"/>
  <c r="F19" i="29"/>
  <c r="L18" i="29"/>
  <c r="F18" i="29"/>
  <c r="L17" i="29"/>
  <c r="D85" i="4" s="1"/>
  <c r="F17" i="29"/>
  <c r="L16" i="29"/>
  <c r="D84" i="4" s="1"/>
  <c r="F16" i="29"/>
  <c r="L15" i="29"/>
  <c r="D83" i="4" s="1"/>
  <c r="F15" i="29"/>
  <c r="L14" i="29"/>
  <c r="D82" i="4" s="1"/>
  <c r="F14" i="29"/>
  <c r="L13" i="29"/>
  <c r="D81" i="4" s="1"/>
  <c r="F13" i="29"/>
  <c r="E10" i="29"/>
  <c r="U1" i="29"/>
  <c r="J108" i="28"/>
  <c r="D108" i="28"/>
  <c r="F108" i="28" s="1"/>
  <c r="L107" i="28"/>
  <c r="F107" i="28"/>
  <c r="L106" i="28"/>
  <c r="F106" i="28"/>
  <c r="L105" i="28"/>
  <c r="F105" i="28"/>
  <c r="L104" i="28"/>
  <c r="F104" i="28"/>
  <c r="L103" i="28"/>
  <c r="F103" i="28"/>
  <c r="L102" i="28"/>
  <c r="F102" i="28"/>
  <c r="L101" i="28"/>
  <c r="F101" i="28"/>
  <c r="J98" i="28"/>
  <c r="L98" i="28" s="1"/>
  <c r="D98" i="28"/>
  <c r="F98" i="28" s="1"/>
  <c r="L97" i="28"/>
  <c r="F97" i="28"/>
  <c r="L96" i="28"/>
  <c r="F96" i="28"/>
  <c r="L95" i="28"/>
  <c r="F95" i="28"/>
  <c r="L94" i="28"/>
  <c r="F94" i="28"/>
  <c r="L93" i="28"/>
  <c r="F93" i="28"/>
  <c r="L92" i="28"/>
  <c r="F92" i="28"/>
  <c r="L91" i="28"/>
  <c r="F91" i="28"/>
  <c r="J88" i="28"/>
  <c r="L88" i="28" s="1"/>
  <c r="D88" i="28"/>
  <c r="F88" i="28" s="1"/>
  <c r="L87" i="28"/>
  <c r="F87" i="28"/>
  <c r="L86" i="28"/>
  <c r="F86" i="28"/>
  <c r="L85" i="28"/>
  <c r="F85" i="28"/>
  <c r="L84" i="28"/>
  <c r="F84" i="28"/>
  <c r="L83" i="28"/>
  <c r="F83" i="28"/>
  <c r="L82" i="28"/>
  <c r="F82" i="28"/>
  <c r="J79" i="28"/>
  <c r="L79" i="28" s="1"/>
  <c r="D79" i="28"/>
  <c r="L78" i="28"/>
  <c r="F78" i="28"/>
  <c r="L77" i="28"/>
  <c r="F77" i="28"/>
  <c r="L76" i="28"/>
  <c r="F76" i="28"/>
  <c r="L75" i="28"/>
  <c r="F75" i="28"/>
  <c r="L74" i="28"/>
  <c r="F74" i="28"/>
  <c r="L73" i="28"/>
  <c r="F73" i="28"/>
  <c r="L72" i="28"/>
  <c r="F72" i="28"/>
  <c r="L71" i="28"/>
  <c r="F71" i="28"/>
  <c r="L70" i="28"/>
  <c r="F70" i="28"/>
  <c r="L69" i="28"/>
  <c r="F69" i="28"/>
  <c r="L68" i="28"/>
  <c r="F68" i="28"/>
  <c r="L65" i="28"/>
  <c r="J65" i="28"/>
  <c r="D65" i="28"/>
  <c r="F65" i="28" s="1"/>
  <c r="L64" i="28"/>
  <c r="F64" i="28"/>
  <c r="L63" i="28"/>
  <c r="F63" i="28"/>
  <c r="L62" i="28"/>
  <c r="F62" i="28"/>
  <c r="L61" i="28"/>
  <c r="F61" i="28"/>
  <c r="L60" i="28"/>
  <c r="F60" i="28"/>
  <c r="L59" i="28"/>
  <c r="F59" i="28"/>
  <c r="L58" i="28"/>
  <c r="F58" i="28"/>
  <c r="J55" i="28"/>
  <c r="L55" i="28" s="1"/>
  <c r="D55" i="28"/>
  <c r="L54" i="28"/>
  <c r="F54" i="28"/>
  <c r="L53" i="28"/>
  <c r="F53" i="28"/>
  <c r="L52" i="28"/>
  <c r="F52" i="28"/>
  <c r="L51" i="28"/>
  <c r="F51" i="28"/>
  <c r="L50" i="28"/>
  <c r="F50" i="28"/>
  <c r="L49" i="28"/>
  <c r="F49" i="28"/>
  <c r="J46" i="28"/>
  <c r="L46" i="28" s="1"/>
  <c r="D46" i="28"/>
  <c r="F46" i="28" s="1"/>
  <c r="L45" i="28"/>
  <c r="F45" i="28"/>
  <c r="L44" i="28"/>
  <c r="F44" i="28"/>
  <c r="L43" i="28"/>
  <c r="F43" i="28"/>
  <c r="L42" i="28"/>
  <c r="F42" i="28"/>
  <c r="L41" i="28"/>
  <c r="F41" i="28"/>
  <c r="L40" i="28"/>
  <c r="F40" i="28"/>
  <c r="L39" i="28"/>
  <c r="F39" i="28"/>
  <c r="J36" i="28"/>
  <c r="L36" i="28" s="1"/>
  <c r="D36" i="28"/>
  <c r="F36" i="28" s="1"/>
  <c r="L35" i="28"/>
  <c r="F35" i="28"/>
  <c r="L34" i="28"/>
  <c r="F34" i="28"/>
  <c r="L33" i="28"/>
  <c r="F33" i="28"/>
  <c r="L32" i="28"/>
  <c r="F32" i="28"/>
  <c r="L31" i="28"/>
  <c r="F31" i="28"/>
  <c r="L30" i="28"/>
  <c r="F30" i="28"/>
  <c r="L29" i="28"/>
  <c r="F29" i="28"/>
  <c r="L28" i="28"/>
  <c r="F28" i="28"/>
  <c r="L25" i="28"/>
  <c r="J25" i="28"/>
  <c r="D25" i="28"/>
  <c r="L24" i="28"/>
  <c r="F24" i="28"/>
  <c r="L23" i="28"/>
  <c r="F23" i="28"/>
  <c r="L22" i="28"/>
  <c r="F22" i="28"/>
  <c r="L21" i="28"/>
  <c r="F21" i="28"/>
  <c r="L20" i="28"/>
  <c r="F20" i="28"/>
  <c r="L19" i="28"/>
  <c r="F19" i="28"/>
  <c r="L18" i="28"/>
  <c r="F18" i="28"/>
  <c r="L17" i="28"/>
  <c r="F17" i="28"/>
  <c r="L16" i="28"/>
  <c r="F16" i="28"/>
  <c r="L15" i="28"/>
  <c r="F15" i="28"/>
  <c r="L14" i="28"/>
  <c r="F14" i="28"/>
  <c r="L13" i="28"/>
  <c r="F13" i="28"/>
  <c r="E10" i="28"/>
  <c r="J108" i="27"/>
  <c r="D108" i="27"/>
  <c r="F108" i="27" s="1"/>
  <c r="L107" i="27"/>
  <c r="F107" i="27"/>
  <c r="L106" i="27"/>
  <c r="F106" i="27"/>
  <c r="L105" i="27"/>
  <c r="F105" i="27"/>
  <c r="L104" i="27"/>
  <c r="F104" i="27"/>
  <c r="L103" i="27"/>
  <c r="F103" i="27"/>
  <c r="L102" i="27"/>
  <c r="F102" i="27"/>
  <c r="L101" i="27"/>
  <c r="F101" i="27"/>
  <c r="L98" i="27"/>
  <c r="J98" i="27"/>
  <c r="D98" i="27"/>
  <c r="F98" i="27" s="1"/>
  <c r="L97" i="27"/>
  <c r="F97" i="27"/>
  <c r="L96" i="27"/>
  <c r="F96" i="27"/>
  <c r="L95" i="27"/>
  <c r="F95" i="27"/>
  <c r="L94" i="27"/>
  <c r="F94" i="27"/>
  <c r="L93" i="27"/>
  <c r="F93" i="27"/>
  <c r="L92" i="27"/>
  <c r="F92" i="27"/>
  <c r="L91" i="27"/>
  <c r="F91" i="27"/>
  <c r="J88" i="27"/>
  <c r="L88" i="27" s="1"/>
  <c r="D88" i="27"/>
  <c r="L87" i="27"/>
  <c r="F87" i="27"/>
  <c r="L86" i="27"/>
  <c r="F86" i="27"/>
  <c r="L85" i="27"/>
  <c r="F85" i="27"/>
  <c r="L84" i="27"/>
  <c r="F84" i="27"/>
  <c r="L83" i="27"/>
  <c r="F83" i="27"/>
  <c r="L82" i="27"/>
  <c r="F82" i="27"/>
  <c r="J79" i="27"/>
  <c r="L79" i="27" s="1"/>
  <c r="F79" i="27"/>
  <c r="D79" i="27"/>
  <c r="L78" i="27"/>
  <c r="F78" i="27"/>
  <c r="L77" i="27"/>
  <c r="F77" i="27"/>
  <c r="L76" i="27"/>
  <c r="F76" i="27"/>
  <c r="L75" i="27"/>
  <c r="F75" i="27"/>
  <c r="L74" i="27"/>
  <c r="F74" i="27"/>
  <c r="L73" i="27"/>
  <c r="F73" i="27"/>
  <c r="L72" i="27"/>
  <c r="F72" i="27"/>
  <c r="L71" i="27"/>
  <c r="F71" i="27"/>
  <c r="L70" i="27"/>
  <c r="F70" i="27"/>
  <c r="L69" i="27"/>
  <c r="F69" i="27"/>
  <c r="L68" i="27"/>
  <c r="F68" i="27"/>
  <c r="L65" i="27"/>
  <c r="J65" i="27"/>
  <c r="D65" i="27"/>
  <c r="F65" i="27" s="1"/>
  <c r="L64" i="27"/>
  <c r="F64" i="27"/>
  <c r="L63" i="27"/>
  <c r="F63" i="27"/>
  <c r="L62" i="27"/>
  <c r="F62" i="27"/>
  <c r="L61" i="27"/>
  <c r="F61" i="27"/>
  <c r="L60" i="27"/>
  <c r="F60" i="27"/>
  <c r="L59" i="27"/>
  <c r="F59" i="27"/>
  <c r="L58" i="27"/>
  <c r="F58" i="27"/>
  <c r="J55" i="27"/>
  <c r="L55" i="27" s="1"/>
  <c r="D55" i="27"/>
  <c r="F55" i="27" s="1"/>
  <c r="L54" i="27"/>
  <c r="F54" i="27"/>
  <c r="L53" i="27"/>
  <c r="F53" i="27"/>
  <c r="L52" i="27"/>
  <c r="F52" i="27"/>
  <c r="L51" i="27"/>
  <c r="F51" i="27"/>
  <c r="L50" i="27"/>
  <c r="F50" i="27"/>
  <c r="L49" i="27"/>
  <c r="F49" i="27"/>
  <c r="J46" i="27"/>
  <c r="D46" i="27"/>
  <c r="F46" i="27" s="1"/>
  <c r="L45" i="27"/>
  <c r="F45" i="27"/>
  <c r="L44" i="27"/>
  <c r="F44" i="27"/>
  <c r="L43" i="27"/>
  <c r="F43" i="27"/>
  <c r="L42" i="27"/>
  <c r="F42" i="27"/>
  <c r="L41" i="27"/>
  <c r="F41" i="27"/>
  <c r="L40" i="27"/>
  <c r="F40" i="27"/>
  <c r="L39" i="27"/>
  <c r="F39" i="27"/>
  <c r="J36" i="27"/>
  <c r="D36" i="27"/>
  <c r="F36" i="27" s="1"/>
  <c r="L35" i="27"/>
  <c r="F35" i="27"/>
  <c r="L34" i="27"/>
  <c r="F34" i="27"/>
  <c r="L33" i="27"/>
  <c r="F33" i="27"/>
  <c r="L32" i="27"/>
  <c r="F32" i="27"/>
  <c r="L31" i="27"/>
  <c r="F31" i="27"/>
  <c r="L30" i="27"/>
  <c r="F30" i="27"/>
  <c r="L29" i="27"/>
  <c r="F29" i="27"/>
  <c r="L28" i="27"/>
  <c r="F28" i="27"/>
  <c r="J25" i="27"/>
  <c r="D25" i="27"/>
  <c r="F25" i="27" s="1"/>
  <c r="L24" i="27"/>
  <c r="F24" i="27"/>
  <c r="L23" i="27"/>
  <c r="F23" i="27"/>
  <c r="L22" i="27"/>
  <c r="F22" i="27"/>
  <c r="L21" i="27"/>
  <c r="F21" i="27"/>
  <c r="L20" i="27"/>
  <c r="F20" i="27"/>
  <c r="L19" i="27"/>
  <c r="F19" i="27"/>
  <c r="L18" i="27"/>
  <c r="F18" i="27"/>
  <c r="L17" i="27"/>
  <c r="F17" i="27"/>
  <c r="L16" i="27"/>
  <c r="F16" i="27"/>
  <c r="L15" i="27"/>
  <c r="F15" i="27"/>
  <c r="L14" i="27"/>
  <c r="F14" i="27"/>
  <c r="L13" i="27"/>
  <c r="F13" i="27"/>
  <c r="E10" i="27"/>
  <c r="K10" i="27" s="1"/>
  <c r="M10" i="27" s="1"/>
  <c r="U1" i="27"/>
  <c r="J108" i="26"/>
  <c r="L108" i="26" s="1"/>
  <c r="D108" i="26"/>
  <c r="L107" i="26"/>
  <c r="F107" i="26"/>
  <c r="L106" i="26"/>
  <c r="F106" i="26"/>
  <c r="L105" i="26"/>
  <c r="F105" i="26"/>
  <c r="L104" i="26"/>
  <c r="F104" i="26"/>
  <c r="L103" i="26"/>
  <c r="F103" i="26"/>
  <c r="L102" i="26"/>
  <c r="F102" i="26"/>
  <c r="L101" i="26"/>
  <c r="F101" i="26"/>
  <c r="J98" i="26"/>
  <c r="L98" i="26" s="1"/>
  <c r="D98" i="26"/>
  <c r="F98" i="26" s="1"/>
  <c r="L97" i="26"/>
  <c r="F97" i="26"/>
  <c r="L96" i="26"/>
  <c r="F96" i="26"/>
  <c r="L95" i="26"/>
  <c r="F95" i="26"/>
  <c r="L94" i="26"/>
  <c r="F94" i="26"/>
  <c r="L93" i="26"/>
  <c r="F93" i="26"/>
  <c r="L92" i="26"/>
  <c r="F92" i="26"/>
  <c r="L91" i="26"/>
  <c r="F91" i="26"/>
  <c r="J88" i="26"/>
  <c r="L88" i="26" s="1"/>
  <c r="F88" i="26"/>
  <c r="D88" i="26"/>
  <c r="L87" i="26"/>
  <c r="F87" i="26"/>
  <c r="L86" i="26"/>
  <c r="F86" i="26"/>
  <c r="L85" i="26"/>
  <c r="F85" i="26"/>
  <c r="L84" i="26"/>
  <c r="F84" i="26"/>
  <c r="L83" i="26"/>
  <c r="F83" i="26"/>
  <c r="L82" i="26"/>
  <c r="F82" i="26"/>
  <c r="J79" i="26"/>
  <c r="L79" i="26" s="1"/>
  <c r="D79" i="26"/>
  <c r="L78" i="26"/>
  <c r="F78" i="26"/>
  <c r="L77" i="26"/>
  <c r="F77" i="26"/>
  <c r="L76" i="26"/>
  <c r="F76" i="26"/>
  <c r="L75" i="26"/>
  <c r="F75" i="26"/>
  <c r="L74" i="26"/>
  <c r="F74" i="26"/>
  <c r="L73" i="26"/>
  <c r="F73" i="26"/>
  <c r="L72" i="26"/>
  <c r="F72" i="26"/>
  <c r="L71" i="26"/>
  <c r="F71" i="26"/>
  <c r="L70" i="26"/>
  <c r="F70" i="26"/>
  <c r="L69" i="26"/>
  <c r="F69" i="26"/>
  <c r="L68" i="26"/>
  <c r="F68" i="26"/>
  <c r="L65" i="26"/>
  <c r="J65" i="26"/>
  <c r="D65" i="26"/>
  <c r="F65" i="26" s="1"/>
  <c r="L64" i="26"/>
  <c r="F64" i="26"/>
  <c r="L63" i="26"/>
  <c r="F63" i="26"/>
  <c r="L62" i="26"/>
  <c r="F62" i="26"/>
  <c r="L61" i="26"/>
  <c r="F61" i="26"/>
  <c r="L60" i="26"/>
  <c r="F60" i="26"/>
  <c r="L59" i="26"/>
  <c r="F59" i="26"/>
  <c r="L58" i="26"/>
  <c r="F58" i="26"/>
  <c r="J55" i="26"/>
  <c r="L55" i="26" s="1"/>
  <c r="D55" i="26"/>
  <c r="F55" i="26" s="1"/>
  <c r="L54" i="26"/>
  <c r="F54" i="26"/>
  <c r="L53" i="26"/>
  <c r="F53" i="26"/>
  <c r="L52" i="26"/>
  <c r="F52" i="26"/>
  <c r="L51" i="26"/>
  <c r="F51" i="26"/>
  <c r="L50" i="26"/>
  <c r="F50" i="26"/>
  <c r="L49" i="26"/>
  <c r="F49" i="26"/>
  <c r="J46" i="26"/>
  <c r="L46" i="26" s="1"/>
  <c r="D46" i="26"/>
  <c r="F46" i="26" s="1"/>
  <c r="L45" i="26"/>
  <c r="F45" i="26"/>
  <c r="L44" i="26"/>
  <c r="F44" i="26"/>
  <c r="L43" i="26"/>
  <c r="F43" i="26"/>
  <c r="L42" i="26"/>
  <c r="F42" i="26"/>
  <c r="L41" i="26"/>
  <c r="F41" i="26"/>
  <c r="L40" i="26"/>
  <c r="F40" i="26"/>
  <c r="L39" i="26"/>
  <c r="F39" i="26"/>
  <c r="J36" i="26"/>
  <c r="L36" i="26" s="1"/>
  <c r="F36" i="26"/>
  <c r="D36" i="26"/>
  <c r="L35" i="26"/>
  <c r="F35" i="26"/>
  <c r="L34" i="26"/>
  <c r="F34" i="26"/>
  <c r="L33" i="26"/>
  <c r="F33" i="26"/>
  <c r="L32" i="26"/>
  <c r="F32" i="26"/>
  <c r="L31" i="26"/>
  <c r="F31" i="26"/>
  <c r="L30" i="26"/>
  <c r="F30" i="26"/>
  <c r="L29" i="26"/>
  <c r="F29" i="26"/>
  <c r="L28" i="26"/>
  <c r="F28" i="26"/>
  <c r="L25" i="26"/>
  <c r="J25" i="26"/>
  <c r="D25" i="26"/>
  <c r="F25" i="26" s="1"/>
  <c r="L24" i="26"/>
  <c r="F24" i="26"/>
  <c r="L23" i="26"/>
  <c r="F23" i="26"/>
  <c r="L22" i="26"/>
  <c r="F22" i="26"/>
  <c r="L21" i="26"/>
  <c r="F21" i="26"/>
  <c r="L20" i="26"/>
  <c r="F20" i="26"/>
  <c r="L19" i="26"/>
  <c r="F19" i="26"/>
  <c r="L18" i="26"/>
  <c r="F18" i="26"/>
  <c r="L17" i="26"/>
  <c r="F17" i="26"/>
  <c r="L16" i="26"/>
  <c r="F16" i="26"/>
  <c r="L15" i="26"/>
  <c r="F15" i="26"/>
  <c r="L14" i="26"/>
  <c r="F14" i="26"/>
  <c r="L13" i="26"/>
  <c r="D1377" i="4" s="1"/>
  <c r="F13" i="26"/>
  <c r="E10" i="26"/>
  <c r="K10" i="26" s="1"/>
  <c r="M10" i="26" s="1"/>
  <c r="U1" i="26"/>
  <c r="J108" i="25"/>
  <c r="D108" i="25"/>
  <c r="F108" i="25" s="1"/>
  <c r="L107" i="25"/>
  <c r="F107" i="25"/>
  <c r="L106" i="25"/>
  <c r="F106" i="25"/>
  <c r="L105" i="25"/>
  <c r="F105" i="25"/>
  <c r="L104" i="25"/>
  <c r="F104" i="25"/>
  <c r="L103" i="25"/>
  <c r="F103" i="25"/>
  <c r="L102" i="25"/>
  <c r="F102" i="25"/>
  <c r="L101" i="25"/>
  <c r="F101" i="25"/>
  <c r="J98" i="25"/>
  <c r="D98" i="25"/>
  <c r="F98" i="25" s="1"/>
  <c r="L97" i="25"/>
  <c r="F97" i="25"/>
  <c r="L96" i="25"/>
  <c r="F96" i="25"/>
  <c r="L95" i="25"/>
  <c r="F95" i="25"/>
  <c r="L94" i="25"/>
  <c r="F94" i="25"/>
  <c r="L93" i="25"/>
  <c r="F93" i="25"/>
  <c r="L92" i="25"/>
  <c r="F92" i="25"/>
  <c r="L91" i="25"/>
  <c r="F91" i="25"/>
  <c r="J88" i="25"/>
  <c r="L88" i="25" s="1"/>
  <c r="D88" i="25"/>
  <c r="F88" i="25" s="1"/>
  <c r="L87" i="25"/>
  <c r="F87" i="25"/>
  <c r="L86" i="25"/>
  <c r="F86" i="25"/>
  <c r="L85" i="25"/>
  <c r="F85" i="25"/>
  <c r="L84" i="25"/>
  <c r="F84" i="25"/>
  <c r="L83" i="25"/>
  <c r="F83" i="25"/>
  <c r="L82" i="25"/>
  <c r="F82" i="25"/>
  <c r="J79" i="25"/>
  <c r="L79" i="25" s="1"/>
  <c r="F79" i="25"/>
  <c r="D79" i="25"/>
  <c r="L78" i="25"/>
  <c r="F78" i="25"/>
  <c r="L77" i="25"/>
  <c r="F77" i="25"/>
  <c r="L76" i="25"/>
  <c r="F76" i="25"/>
  <c r="L75" i="25"/>
  <c r="F75" i="25"/>
  <c r="L74" i="25"/>
  <c r="F74" i="25"/>
  <c r="L73" i="25"/>
  <c r="F73" i="25"/>
  <c r="L72" i="25"/>
  <c r="F72" i="25"/>
  <c r="L71" i="25"/>
  <c r="F71" i="25"/>
  <c r="L70" i="25"/>
  <c r="F70" i="25"/>
  <c r="L69" i="25"/>
  <c r="F69" i="25"/>
  <c r="L68" i="25"/>
  <c r="F68" i="25"/>
  <c r="L65" i="25"/>
  <c r="J65" i="25"/>
  <c r="D65" i="25"/>
  <c r="F65" i="25" s="1"/>
  <c r="L64" i="25"/>
  <c r="F64" i="25"/>
  <c r="L63" i="25"/>
  <c r="F63" i="25"/>
  <c r="L62" i="25"/>
  <c r="F62" i="25"/>
  <c r="L61" i="25"/>
  <c r="F61" i="25"/>
  <c r="L60" i="25"/>
  <c r="F60" i="25"/>
  <c r="L59" i="25"/>
  <c r="F59" i="25"/>
  <c r="L58" i="25"/>
  <c r="F58" i="25"/>
  <c r="J55" i="25"/>
  <c r="L55" i="25" s="1"/>
  <c r="D55" i="25"/>
  <c r="F55" i="25" s="1"/>
  <c r="L54" i="25"/>
  <c r="F54" i="25"/>
  <c r="L53" i="25"/>
  <c r="F53" i="25"/>
  <c r="L52" i="25"/>
  <c r="F52" i="25"/>
  <c r="L51" i="25"/>
  <c r="F51" i="25"/>
  <c r="L50" i="25"/>
  <c r="F50" i="25"/>
  <c r="L49" i="25"/>
  <c r="F49" i="25"/>
  <c r="J46" i="25"/>
  <c r="D46" i="25"/>
  <c r="F46" i="25" s="1"/>
  <c r="L45" i="25"/>
  <c r="F45" i="25"/>
  <c r="L44" i="25"/>
  <c r="F44" i="25"/>
  <c r="L43" i="25"/>
  <c r="F43" i="25"/>
  <c r="L42" i="25"/>
  <c r="F42" i="25"/>
  <c r="L41" i="25"/>
  <c r="F41" i="25"/>
  <c r="L40" i="25"/>
  <c r="F40" i="25"/>
  <c r="L39" i="25"/>
  <c r="F39" i="25"/>
  <c r="J36" i="25"/>
  <c r="L36" i="25" s="1"/>
  <c r="D36" i="25"/>
  <c r="F36" i="25" s="1"/>
  <c r="L35" i="25"/>
  <c r="F35" i="25"/>
  <c r="L34" i="25"/>
  <c r="F34" i="25"/>
  <c r="L33" i="25"/>
  <c r="F33" i="25"/>
  <c r="L32" i="25"/>
  <c r="F32" i="25"/>
  <c r="L31" i="25"/>
  <c r="F31" i="25"/>
  <c r="L30" i="25"/>
  <c r="F30" i="25"/>
  <c r="L29" i="25"/>
  <c r="F29" i="25"/>
  <c r="L28" i="25"/>
  <c r="F28" i="25"/>
  <c r="J25" i="25"/>
  <c r="L25" i="25" s="1"/>
  <c r="D25" i="25"/>
  <c r="F25" i="25" s="1"/>
  <c r="L24" i="25"/>
  <c r="F24" i="25"/>
  <c r="L23" i="25"/>
  <c r="F23" i="25"/>
  <c r="L22" i="25"/>
  <c r="F22" i="25"/>
  <c r="L21" i="25"/>
  <c r="F21" i="25"/>
  <c r="L20" i="25"/>
  <c r="F20" i="25"/>
  <c r="L19" i="25"/>
  <c r="F19" i="25"/>
  <c r="L18" i="25"/>
  <c r="F18" i="25"/>
  <c r="L17" i="25"/>
  <c r="F17" i="25"/>
  <c r="L16" i="25"/>
  <c r="F16" i="25"/>
  <c r="L15" i="25"/>
  <c r="F15" i="25"/>
  <c r="L14" i="25"/>
  <c r="F14" i="25"/>
  <c r="L13" i="25"/>
  <c r="D1233" i="4" s="1"/>
  <c r="F13" i="25"/>
  <c r="K10" i="25"/>
  <c r="M10" i="25" s="1"/>
  <c r="E10" i="25"/>
  <c r="U1" i="25"/>
  <c r="J108" i="24"/>
  <c r="L108" i="24" s="1"/>
  <c r="D108" i="24"/>
  <c r="F108" i="24" s="1"/>
  <c r="L107" i="24"/>
  <c r="F107" i="24"/>
  <c r="L106" i="24"/>
  <c r="F106" i="24"/>
  <c r="L105" i="24"/>
  <c r="F105" i="24"/>
  <c r="L104" i="24"/>
  <c r="F104" i="24"/>
  <c r="L103" i="24"/>
  <c r="F103" i="24"/>
  <c r="L102" i="24"/>
  <c r="F102" i="24"/>
  <c r="L101" i="24"/>
  <c r="F101" i="24"/>
  <c r="J98" i="24"/>
  <c r="F98" i="24"/>
  <c r="D98" i="24"/>
  <c r="L97" i="24"/>
  <c r="F97" i="24"/>
  <c r="L96" i="24"/>
  <c r="F96" i="24"/>
  <c r="L95" i="24"/>
  <c r="F95" i="24"/>
  <c r="L94" i="24"/>
  <c r="F94" i="24"/>
  <c r="L93" i="24"/>
  <c r="F93" i="24"/>
  <c r="L92" i="24"/>
  <c r="F92" i="24"/>
  <c r="L91" i="24"/>
  <c r="F91" i="24"/>
  <c r="J88" i="24"/>
  <c r="L88" i="24" s="1"/>
  <c r="D88" i="24"/>
  <c r="F88" i="24" s="1"/>
  <c r="L87" i="24"/>
  <c r="F87" i="24"/>
  <c r="L86" i="24"/>
  <c r="F86" i="24"/>
  <c r="L85" i="24"/>
  <c r="F85" i="24"/>
  <c r="L84" i="24"/>
  <c r="F84" i="24"/>
  <c r="L83" i="24"/>
  <c r="F83" i="24"/>
  <c r="L82" i="24"/>
  <c r="F82" i="24"/>
  <c r="J79" i="24"/>
  <c r="L79" i="24" s="1"/>
  <c r="D79" i="24"/>
  <c r="F79" i="24" s="1"/>
  <c r="L78" i="24"/>
  <c r="F78" i="24"/>
  <c r="L77" i="24"/>
  <c r="F77" i="24"/>
  <c r="L76" i="24"/>
  <c r="F76" i="24"/>
  <c r="L75" i="24"/>
  <c r="F75" i="24"/>
  <c r="L74" i="24"/>
  <c r="F74" i="24"/>
  <c r="L73" i="24"/>
  <c r="F73" i="24"/>
  <c r="L72" i="24"/>
  <c r="F72" i="24"/>
  <c r="L71" i="24"/>
  <c r="F71" i="24"/>
  <c r="L70" i="24"/>
  <c r="F70" i="24"/>
  <c r="L69" i="24"/>
  <c r="F69" i="24"/>
  <c r="L68" i="24"/>
  <c r="F68" i="24"/>
  <c r="J65" i="24"/>
  <c r="D65" i="24"/>
  <c r="L64" i="24"/>
  <c r="F64" i="24"/>
  <c r="L63" i="24"/>
  <c r="F63" i="24"/>
  <c r="L62" i="24"/>
  <c r="F62" i="24"/>
  <c r="L61" i="24"/>
  <c r="F61" i="24"/>
  <c r="L60" i="24"/>
  <c r="F60" i="24"/>
  <c r="L59" i="24"/>
  <c r="F59" i="24"/>
  <c r="L58" i="24"/>
  <c r="F58" i="24"/>
  <c r="J55" i="24"/>
  <c r="L55" i="24" s="1"/>
  <c r="F55" i="24"/>
  <c r="D55" i="24"/>
  <c r="L54" i="24"/>
  <c r="F54" i="24"/>
  <c r="L53" i="24"/>
  <c r="F53" i="24"/>
  <c r="L52" i="24"/>
  <c r="F52" i="24"/>
  <c r="L51" i="24"/>
  <c r="F51" i="24"/>
  <c r="L50" i="24"/>
  <c r="F50" i="24"/>
  <c r="L49" i="24"/>
  <c r="F49" i="24"/>
  <c r="L46" i="24"/>
  <c r="J46" i="24"/>
  <c r="D46" i="24"/>
  <c r="F46" i="24" s="1"/>
  <c r="L45" i="24"/>
  <c r="F45" i="24"/>
  <c r="L44" i="24"/>
  <c r="F44" i="24"/>
  <c r="L43" i="24"/>
  <c r="F43" i="24"/>
  <c r="L42" i="24"/>
  <c r="F42" i="24"/>
  <c r="L41" i="24"/>
  <c r="F41" i="24"/>
  <c r="L40" i="24"/>
  <c r="F40" i="24"/>
  <c r="L39" i="24"/>
  <c r="F39" i="24"/>
  <c r="J36" i="24"/>
  <c r="L36" i="24" s="1"/>
  <c r="D36" i="24"/>
  <c r="F36" i="24" s="1"/>
  <c r="L35" i="24"/>
  <c r="F35" i="24"/>
  <c r="L34" i="24"/>
  <c r="F34" i="24"/>
  <c r="L33" i="24"/>
  <c r="F33" i="24"/>
  <c r="L32" i="24"/>
  <c r="F32" i="24"/>
  <c r="L31" i="24"/>
  <c r="F31" i="24"/>
  <c r="L30" i="24"/>
  <c r="F30" i="24"/>
  <c r="L29" i="24"/>
  <c r="F29" i="24"/>
  <c r="L28" i="24"/>
  <c r="F28" i="24"/>
  <c r="J25" i="24"/>
  <c r="D25" i="24"/>
  <c r="L24" i="24"/>
  <c r="F24" i="24"/>
  <c r="L23" i="24"/>
  <c r="F23" i="24"/>
  <c r="L22" i="24"/>
  <c r="F22" i="24"/>
  <c r="L21" i="24"/>
  <c r="F21" i="24"/>
  <c r="L20" i="24"/>
  <c r="F20" i="24"/>
  <c r="L19" i="24"/>
  <c r="F19" i="24"/>
  <c r="L18" i="24"/>
  <c r="F18" i="24"/>
  <c r="L17" i="24"/>
  <c r="F17" i="24"/>
  <c r="L16" i="24"/>
  <c r="F16" i="24"/>
  <c r="L15" i="24"/>
  <c r="F15" i="24"/>
  <c r="L14" i="24"/>
  <c r="F14" i="24"/>
  <c r="L13" i="24"/>
  <c r="D1089" i="4" s="1"/>
  <c r="F13" i="24"/>
  <c r="E10" i="24"/>
  <c r="K10" i="24" s="1"/>
  <c r="M10" i="24" s="1"/>
  <c r="U1" i="24"/>
  <c r="J108" i="23"/>
  <c r="L108" i="23" s="1"/>
  <c r="D108" i="23"/>
  <c r="L107" i="23"/>
  <c r="F107" i="23"/>
  <c r="L106" i="23"/>
  <c r="F106" i="23"/>
  <c r="L105" i="23"/>
  <c r="F105" i="23"/>
  <c r="L104" i="23"/>
  <c r="F104" i="23"/>
  <c r="L103" i="23"/>
  <c r="F103" i="23"/>
  <c r="L102" i="23"/>
  <c r="F102" i="23"/>
  <c r="L101" i="23"/>
  <c r="F101" i="23"/>
  <c r="J98" i="23"/>
  <c r="F98" i="23"/>
  <c r="D98" i="23"/>
  <c r="L97" i="23"/>
  <c r="F97" i="23"/>
  <c r="L96" i="23"/>
  <c r="F96" i="23"/>
  <c r="L95" i="23"/>
  <c r="F95" i="23"/>
  <c r="L94" i="23"/>
  <c r="F94" i="23"/>
  <c r="L93" i="23"/>
  <c r="F93" i="23"/>
  <c r="L92" i="23"/>
  <c r="F92" i="23"/>
  <c r="L91" i="23"/>
  <c r="F91" i="23"/>
  <c r="J88" i="23"/>
  <c r="L88" i="23" s="1"/>
  <c r="D88" i="23"/>
  <c r="L87" i="23"/>
  <c r="F87" i="23"/>
  <c r="L86" i="23"/>
  <c r="F86" i="23"/>
  <c r="L85" i="23"/>
  <c r="F85" i="23"/>
  <c r="L84" i="23"/>
  <c r="F84" i="23"/>
  <c r="L83" i="23"/>
  <c r="F83" i="23"/>
  <c r="L82" i="23"/>
  <c r="F82" i="23"/>
  <c r="J79" i="23"/>
  <c r="L79" i="23" s="1"/>
  <c r="F79" i="23"/>
  <c r="D79" i="23"/>
  <c r="L78" i="23"/>
  <c r="F78" i="23"/>
  <c r="L77" i="23"/>
  <c r="F77" i="23"/>
  <c r="L76" i="23"/>
  <c r="F76" i="23"/>
  <c r="L75" i="23"/>
  <c r="F75" i="23"/>
  <c r="L74" i="23"/>
  <c r="F74" i="23"/>
  <c r="L73" i="23"/>
  <c r="F73" i="23"/>
  <c r="L72" i="23"/>
  <c r="F72" i="23"/>
  <c r="L71" i="23"/>
  <c r="F71" i="23"/>
  <c r="L70" i="23"/>
  <c r="F70" i="23"/>
  <c r="L69" i="23"/>
  <c r="F69" i="23"/>
  <c r="L68" i="23"/>
  <c r="F68" i="23"/>
  <c r="J65" i="23"/>
  <c r="L65" i="23" s="1"/>
  <c r="D65" i="23"/>
  <c r="L64" i="23"/>
  <c r="F64" i="23"/>
  <c r="L63" i="23"/>
  <c r="F63" i="23"/>
  <c r="L62" i="23"/>
  <c r="F62" i="23"/>
  <c r="L61" i="23"/>
  <c r="F61" i="23"/>
  <c r="L60" i="23"/>
  <c r="F60" i="23"/>
  <c r="L59" i="23"/>
  <c r="F59" i="23"/>
  <c r="L58" i="23"/>
  <c r="F58" i="23"/>
  <c r="J55" i="23"/>
  <c r="F55" i="23"/>
  <c r="D55" i="23"/>
  <c r="L54" i="23"/>
  <c r="F54" i="23"/>
  <c r="L53" i="23"/>
  <c r="F53" i="23"/>
  <c r="L52" i="23"/>
  <c r="F52" i="23"/>
  <c r="L51" i="23"/>
  <c r="F51" i="23"/>
  <c r="L50" i="23"/>
  <c r="F50" i="23"/>
  <c r="L49" i="23"/>
  <c r="F49" i="23"/>
  <c r="J46" i="23"/>
  <c r="F46" i="23"/>
  <c r="D46" i="23"/>
  <c r="L45" i="23"/>
  <c r="F45" i="23"/>
  <c r="L44" i="23"/>
  <c r="F44" i="23"/>
  <c r="L43" i="23"/>
  <c r="F43" i="23"/>
  <c r="L42" i="23"/>
  <c r="F42" i="23"/>
  <c r="L41" i="23"/>
  <c r="F41" i="23"/>
  <c r="L40" i="23"/>
  <c r="F40" i="23"/>
  <c r="L39" i="23"/>
  <c r="F39" i="23"/>
  <c r="J36" i="23"/>
  <c r="L36" i="23" s="1"/>
  <c r="D36" i="23"/>
  <c r="L35" i="23"/>
  <c r="F35" i="23"/>
  <c r="L34" i="23"/>
  <c r="F34" i="23"/>
  <c r="L33" i="23"/>
  <c r="F33" i="23"/>
  <c r="L32" i="23"/>
  <c r="F32" i="23"/>
  <c r="L31" i="23"/>
  <c r="F31" i="23"/>
  <c r="L30" i="23"/>
  <c r="F30" i="23"/>
  <c r="L29" i="23"/>
  <c r="F29" i="23"/>
  <c r="L28" i="23"/>
  <c r="F28" i="23"/>
  <c r="J25" i="23"/>
  <c r="L25" i="23" s="1"/>
  <c r="D25" i="23"/>
  <c r="L24" i="23"/>
  <c r="F24" i="23"/>
  <c r="L23" i="23"/>
  <c r="F23" i="23"/>
  <c r="L22" i="23"/>
  <c r="F22" i="23"/>
  <c r="L21" i="23"/>
  <c r="F21" i="23"/>
  <c r="L20" i="23"/>
  <c r="F20" i="23"/>
  <c r="L19" i="23"/>
  <c r="F19" i="23"/>
  <c r="L18" i="23"/>
  <c r="F18" i="23"/>
  <c r="L17" i="23"/>
  <c r="F17" i="23"/>
  <c r="L16" i="23"/>
  <c r="F16" i="23"/>
  <c r="L15" i="23"/>
  <c r="F15" i="23"/>
  <c r="L14" i="23"/>
  <c r="F14" i="23"/>
  <c r="L13" i="23"/>
  <c r="D945" i="4" s="1"/>
  <c r="F13" i="23"/>
  <c r="E10" i="23"/>
  <c r="U1" i="23"/>
  <c r="J108" i="22"/>
  <c r="L108" i="22" s="1"/>
  <c r="D108" i="22"/>
  <c r="F108" i="22" s="1"/>
  <c r="L107" i="22"/>
  <c r="F107" i="22"/>
  <c r="L106" i="22"/>
  <c r="F106" i="22"/>
  <c r="L105" i="22"/>
  <c r="F105" i="22"/>
  <c r="L104" i="22"/>
  <c r="F104" i="22"/>
  <c r="L103" i="22"/>
  <c r="F103" i="22"/>
  <c r="L102" i="22"/>
  <c r="F102" i="22"/>
  <c r="L101" i="22"/>
  <c r="F101" i="22"/>
  <c r="J98" i="22"/>
  <c r="D98" i="22"/>
  <c r="F98" i="22" s="1"/>
  <c r="L97" i="22"/>
  <c r="F97" i="22"/>
  <c r="L96" i="22"/>
  <c r="F96" i="22"/>
  <c r="L95" i="22"/>
  <c r="F95" i="22"/>
  <c r="L94" i="22"/>
  <c r="F94" i="22"/>
  <c r="L93" i="22"/>
  <c r="F93" i="22"/>
  <c r="L92" i="22"/>
  <c r="F92" i="22"/>
  <c r="F91" i="22"/>
  <c r="J88" i="22"/>
  <c r="D88" i="22"/>
  <c r="F88" i="22" s="1"/>
  <c r="L87" i="22"/>
  <c r="F87" i="22"/>
  <c r="L86" i="22"/>
  <c r="F86" i="22"/>
  <c r="L85" i="22"/>
  <c r="F85" i="22"/>
  <c r="L84" i="22"/>
  <c r="F84" i="22"/>
  <c r="L83" i="22"/>
  <c r="F83" i="22"/>
  <c r="L82" i="22"/>
  <c r="F82" i="22"/>
  <c r="J79" i="22"/>
  <c r="D79" i="22"/>
  <c r="L78" i="22"/>
  <c r="F78" i="22"/>
  <c r="L77" i="22"/>
  <c r="F77" i="22"/>
  <c r="L76" i="22"/>
  <c r="F76" i="22"/>
  <c r="L75" i="22"/>
  <c r="F75" i="22"/>
  <c r="L74" i="22"/>
  <c r="F74" i="22"/>
  <c r="L73" i="22"/>
  <c r="F73" i="22"/>
  <c r="L72" i="22"/>
  <c r="F72" i="22"/>
  <c r="L71" i="22"/>
  <c r="F71" i="22"/>
  <c r="L70" i="22"/>
  <c r="F70" i="22"/>
  <c r="L69" i="22"/>
  <c r="F69" i="22"/>
  <c r="L68" i="22"/>
  <c r="F68" i="22"/>
  <c r="J65" i="22"/>
  <c r="L65" i="22" s="1"/>
  <c r="D65" i="22"/>
  <c r="F65" i="22" s="1"/>
  <c r="L64" i="22"/>
  <c r="F64" i="22"/>
  <c r="L63" i="22"/>
  <c r="F63" i="22"/>
  <c r="L62" i="22"/>
  <c r="F62" i="22"/>
  <c r="L61" i="22"/>
  <c r="F61" i="22"/>
  <c r="L60" i="22"/>
  <c r="F60" i="22"/>
  <c r="L59" i="22"/>
  <c r="F59" i="22"/>
  <c r="L58" i="22"/>
  <c r="F58" i="22"/>
  <c r="J55" i="22"/>
  <c r="L55" i="22" s="1"/>
  <c r="D55" i="22"/>
  <c r="L54" i="22"/>
  <c r="F54" i="22"/>
  <c r="L53" i="22"/>
  <c r="F53" i="22"/>
  <c r="L52" i="22"/>
  <c r="F52" i="22"/>
  <c r="L51" i="22"/>
  <c r="F51" i="22"/>
  <c r="L50" i="22"/>
  <c r="F50" i="22"/>
  <c r="L49" i="22"/>
  <c r="F49" i="22"/>
  <c r="J46" i="22"/>
  <c r="L46" i="22" s="1"/>
  <c r="D46" i="22"/>
  <c r="F46" i="22" s="1"/>
  <c r="L45" i="22"/>
  <c r="F45" i="22"/>
  <c r="L44" i="22"/>
  <c r="F44" i="22"/>
  <c r="L43" i="22"/>
  <c r="F43" i="22"/>
  <c r="L42" i="22"/>
  <c r="F42" i="22"/>
  <c r="L41" i="22"/>
  <c r="F41" i="22"/>
  <c r="L40" i="22"/>
  <c r="F40" i="22"/>
  <c r="L39" i="22"/>
  <c r="F39" i="22"/>
  <c r="J36" i="22"/>
  <c r="D36" i="22"/>
  <c r="F36" i="22" s="1"/>
  <c r="L35" i="22"/>
  <c r="F35" i="22"/>
  <c r="L34" i="22"/>
  <c r="F34" i="22"/>
  <c r="L33" i="22"/>
  <c r="F33" i="22"/>
  <c r="L32" i="22"/>
  <c r="F32" i="22"/>
  <c r="L31" i="22"/>
  <c r="F31" i="22"/>
  <c r="L30" i="22"/>
  <c r="F30" i="22"/>
  <c r="L29" i="22"/>
  <c r="F29" i="22"/>
  <c r="L28" i="22"/>
  <c r="F28" i="22"/>
  <c r="J25" i="22"/>
  <c r="L25" i="22" s="1"/>
  <c r="D25" i="22"/>
  <c r="F25" i="22" s="1"/>
  <c r="L24" i="22"/>
  <c r="F24" i="22"/>
  <c r="L23" i="22"/>
  <c r="F23" i="22"/>
  <c r="L22" i="22"/>
  <c r="F22" i="22"/>
  <c r="L21" i="22"/>
  <c r="F21" i="22"/>
  <c r="L20" i="22"/>
  <c r="F20" i="22"/>
  <c r="L19" i="22"/>
  <c r="F19" i="22"/>
  <c r="L18" i="22"/>
  <c r="F18" i="22"/>
  <c r="L17" i="22"/>
  <c r="F17" i="22"/>
  <c r="L16" i="22"/>
  <c r="F16" i="22"/>
  <c r="L15" i="22"/>
  <c r="F15" i="22"/>
  <c r="L14" i="22"/>
  <c r="F14" i="22"/>
  <c r="L13" i="22"/>
  <c r="D801" i="4" s="1"/>
  <c r="F13" i="22"/>
  <c r="E10" i="22"/>
  <c r="U1" i="22"/>
  <c r="J108" i="21"/>
  <c r="L108" i="21" s="1"/>
  <c r="F108" i="21"/>
  <c r="D108" i="21"/>
  <c r="L107" i="21"/>
  <c r="F107" i="21"/>
  <c r="L106" i="21"/>
  <c r="F106" i="21"/>
  <c r="L105" i="21"/>
  <c r="F105" i="21"/>
  <c r="L104" i="21"/>
  <c r="F104" i="21"/>
  <c r="L103" i="21"/>
  <c r="F103" i="21"/>
  <c r="L102" i="21"/>
  <c r="F102" i="21"/>
  <c r="L101" i="21"/>
  <c r="F101" i="21"/>
  <c r="J98" i="21"/>
  <c r="F98" i="21"/>
  <c r="D98" i="21"/>
  <c r="L97" i="21"/>
  <c r="F97" i="21"/>
  <c r="L96" i="21"/>
  <c r="F96" i="21"/>
  <c r="L95" i="21"/>
  <c r="F95" i="21"/>
  <c r="L94" i="21"/>
  <c r="F94" i="21"/>
  <c r="L93" i="21"/>
  <c r="F93" i="21"/>
  <c r="L92" i="21"/>
  <c r="F92" i="21"/>
  <c r="L91" i="21"/>
  <c r="F91" i="21"/>
  <c r="J88" i="21"/>
  <c r="L88" i="21" s="1"/>
  <c r="F88" i="21"/>
  <c r="D88" i="21"/>
  <c r="L87" i="21"/>
  <c r="F87" i="21"/>
  <c r="L86" i="21"/>
  <c r="F86" i="21"/>
  <c r="L85" i="21"/>
  <c r="F85" i="21"/>
  <c r="L84" i="21"/>
  <c r="F84" i="21"/>
  <c r="L83" i="21"/>
  <c r="F83" i="21"/>
  <c r="L82" i="21"/>
  <c r="F82" i="21"/>
  <c r="J79" i="21"/>
  <c r="L79" i="21" s="1"/>
  <c r="D79" i="21"/>
  <c r="L78" i="21"/>
  <c r="F78" i="21"/>
  <c r="L77" i="21"/>
  <c r="F77" i="21"/>
  <c r="L76" i="21"/>
  <c r="F76" i="21"/>
  <c r="L75" i="21"/>
  <c r="F75" i="21"/>
  <c r="L74" i="21"/>
  <c r="F74" i="21"/>
  <c r="L73" i="21"/>
  <c r="F73" i="21"/>
  <c r="L72" i="21"/>
  <c r="F72" i="21"/>
  <c r="L71" i="21"/>
  <c r="F71" i="21"/>
  <c r="L70" i="21"/>
  <c r="F70" i="21"/>
  <c r="L69" i="21"/>
  <c r="F69" i="21"/>
  <c r="L68" i="21"/>
  <c r="F68" i="21"/>
  <c r="L65" i="21"/>
  <c r="J65" i="21"/>
  <c r="D65" i="21"/>
  <c r="F65" i="21" s="1"/>
  <c r="L64" i="21"/>
  <c r="F64" i="21"/>
  <c r="L63" i="21"/>
  <c r="F63" i="21"/>
  <c r="L62" i="21"/>
  <c r="F62" i="21"/>
  <c r="L61" i="21"/>
  <c r="F61" i="21"/>
  <c r="L60" i="21"/>
  <c r="F60" i="21"/>
  <c r="L59" i="21"/>
  <c r="F59" i="21"/>
  <c r="L58" i="21"/>
  <c r="F58" i="21"/>
  <c r="J55" i="21"/>
  <c r="L55" i="21" s="1"/>
  <c r="D55" i="21"/>
  <c r="F55" i="21" s="1"/>
  <c r="L54" i="21"/>
  <c r="F54" i="21"/>
  <c r="L53" i="21"/>
  <c r="F53" i="21"/>
  <c r="L52" i="21"/>
  <c r="F52" i="21"/>
  <c r="L51" i="21"/>
  <c r="F51" i="21"/>
  <c r="L50" i="21"/>
  <c r="F50" i="21"/>
  <c r="L49" i="21"/>
  <c r="F49" i="21"/>
  <c r="J46" i="21"/>
  <c r="L46" i="21" s="1"/>
  <c r="D46" i="21"/>
  <c r="F46" i="21" s="1"/>
  <c r="L45" i="21"/>
  <c r="F45" i="21"/>
  <c r="L44" i="21"/>
  <c r="F44" i="21"/>
  <c r="L43" i="21"/>
  <c r="F43" i="21"/>
  <c r="L42" i="21"/>
  <c r="F42" i="21"/>
  <c r="L41" i="21"/>
  <c r="F41" i="21"/>
  <c r="L40" i="21"/>
  <c r="F40" i="21"/>
  <c r="L39" i="21"/>
  <c r="F39" i="21"/>
  <c r="J36" i="21"/>
  <c r="L36" i="21" s="1"/>
  <c r="F36" i="21"/>
  <c r="D36" i="21"/>
  <c r="L35" i="21"/>
  <c r="F35" i="21"/>
  <c r="L34" i="21"/>
  <c r="F34" i="21"/>
  <c r="L33" i="21"/>
  <c r="F33" i="21"/>
  <c r="L32" i="21"/>
  <c r="F32" i="21"/>
  <c r="L31" i="21"/>
  <c r="F31" i="21"/>
  <c r="L30" i="21"/>
  <c r="F30" i="21"/>
  <c r="L29" i="21"/>
  <c r="F29" i="21"/>
  <c r="L28" i="21"/>
  <c r="F28" i="21"/>
  <c r="L25" i="21"/>
  <c r="J25" i="21"/>
  <c r="D25" i="21"/>
  <c r="F25" i="21" s="1"/>
  <c r="L24" i="21"/>
  <c r="F24" i="21"/>
  <c r="L23" i="21"/>
  <c r="F23" i="21"/>
  <c r="L22" i="21"/>
  <c r="F22" i="21"/>
  <c r="L21" i="21"/>
  <c r="F21" i="21"/>
  <c r="L20" i="21"/>
  <c r="F20" i="21"/>
  <c r="L19" i="21"/>
  <c r="F19" i="21"/>
  <c r="L18" i="21"/>
  <c r="F18" i="21"/>
  <c r="L17" i="21"/>
  <c r="F17" i="21"/>
  <c r="L16" i="21"/>
  <c r="F16" i="21"/>
  <c r="L15" i="21"/>
  <c r="F15" i="21"/>
  <c r="L14" i="21"/>
  <c r="F14" i="21"/>
  <c r="L13" i="21"/>
  <c r="D657" i="4" s="1"/>
  <c r="F13" i="21"/>
  <c r="E10" i="21"/>
  <c r="K10" i="21" s="1"/>
  <c r="M10" i="21" s="1"/>
  <c r="U1" i="21"/>
  <c r="J108" i="32"/>
  <c r="D108" i="32"/>
  <c r="F108" i="32" s="1"/>
  <c r="L107" i="32"/>
  <c r="F107" i="32"/>
  <c r="L106" i="32"/>
  <c r="F106" i="32"/>
  <c r="L105" i="32"/>
  <c r="F105" i="32"/>
  <c r="L104" i="32"/>
  <c r="F104" i="32"/>
  <c r="L103" i="32"/>
  <c r="F103" i="32"/>
  <c r="L102" i="32"/>
  <c r="F102" i="32"/>
  <c r="L101" i="32"/>
  <c r="F101" i="32"/>
  <c r="J98" i="32"/>
  <c r="F98" i="32"/>
  <c r="D98" i="32"/>
  <c r="L97" i="32"/>
  <c r="F97" i="32"/>
  <c r="L96" i="32"/>
  <c r="F96" i="32"/>
  <c r="L95" i="32"/>
  <c r="F95" i="32"/>
  <c r="L94" i="32"/>
  <c r="F94" i="32"/>
  <c r="L93" i="32"/>
  <c r="F93" i="32"/>
  <c r="L92" i="32"/>
  <c r="F92" i="32"/>
  <c r="L91" i="32"/>
  <c r="F91" i="32"/>
  <c r="J88" i="32"/>
  <c r="D88" i="32"/>
  <c r="F88" i="32" s="1"/>
  <c r="L87" i="32"/>
  <c r="F87" i="32"/>
  <c r="L86" i="32"/>
  <c r="F86" i="32"/>
  <c r="L85" i="32"/>
  <c r="F85" i="32"/>
  <c r="L84" i="32"/>
  <c r="F84" i="32"/>
  <c r="L83" i="32"/>
  <c r="F83" i="32"/>
  <c r="L82" i="32"/>
  <c r="F82" i="32"/>
  <c r="J79" i="32"/>
  <c r="D79" i="32"/>
  <c r="F79" i="32" s="1"/>
  <c r="L78" i="32"/>
  <c r="F78" i="32"/>
  <c r="L77" i="32"/>
  <c r="F77" i="32"/>
  <c r="L76" i="32"/>
  <c r="F76" i="32"/>
  <c r="L75" i="32"/>
  <c r="F75" i="32"/>
  <c r="L74" i="32"/>
  <c r="F74" i="32"/>
  <c r="L73" i="32"/>
  <c r="F73" i="32"/>
  <c r="L72" i="32"/>
  <c r="F72" i="32"/>
  <c r="L71" i="32"/>
  <c r="F71" i="32"/>
  <c r="L70" i="32"/>
  <c r="F70" i="32"/>
  <c r="L69" i="32"/>
  <c r="F69" i="32"/>
  <c r="L68" i="32"/>
  <c r="F68" i="32"/>
  <c r="J65" i="32"/>
  <c r="D65" i="32"/>
  <c r="L64" i="32"/>
  <c r="F64" i="32"/>
  <c r="L63" i="32"/>
  <c r="F63" i="32"/>
  <c r="L62" i="32"/>
  <c r="F62" i="32"/>
  <c r="L61" i="32"/>
  <c r="F61" i="32"/>
  <c r="L60" i="32"/>
  <c r="F60" i="32"/>
  <c r="L59" i="32"/>
  <c r="F59" i="32"/>
  <c r="L58" i="32"/>
  <c r="F58" i="32"/>
  <c r="J55" i="32"/>
  <c r="D55" i="32"/>
  <c r="F55" i="32" s="1"/>
  <c r="L54" i="32"/>
  <c r="F54" i="32"/>
  <c r="L53" i="32"/>
  <c r="F53" i="32"/>
  <c r="L52" i="32"/>
  <c r="F52" i="32"/>
  <c r="L51" i="32"/>
  <c r="F51" i="32"/>
  <c r="L50" i="32"/>
  <c r="F50" i="32"/>
  <c r="L49" i="32"/>
  <c r="F49" i="32"/>
  <c r="L46" i="32"/>
  <c r="J46" i="32"/>
  <c r="D46" i="32"/>
  <c r="F46" i="32" s="1"/>
  <c r="L45" i="32"/>
  <c r="F45" i="32"/>
  <c r="L44" i="32"/>
  <c r="F44" i="32"/>
  <c r="L43" i="32"/>
  <c r="F43" i="32"/>
  <c r="L42" i="32"/>
  <c r="F42" i="32"/>
  <c r="L41" i="32"/>
  <c r="F41" i="32"/>
  <c r="L40" i="32"/>
  <c r="F40" i="32"/>
  <c r="L39" i="32"/>
  <c r="F39" i="32"/>
  <c r="J36" i="32"/>
  <c r="D36" i="32"/>
  <c r="F36" i="32" s="1"/>
  <c r="L35" i="32"/>
  <c r="F35" i="32"/>
  <c r="L34" i="32"/>
  <c r="F34" i="32"/>
  <c r="L33" i="32"/>
  <c r="F33" i="32"/>
  <c r="L32" i="32"/>
  <c r="F32" i="32"/>
  <c r="L31" i="32"/>
  <c r="F31" i="32"/>
  <c r="L30" i="32"/>
  <c r="F30" i="32"/>
  <c r="L29" i="32"/>
  <c r="F29" i="32"/>
  <c r="L28" i="32"/>
  <c r="F28" i="32"/>
  <c r="L25" i="32"/>
  <c r="J25" i="32"/>
  <c r="D25" i="32"/>
  <c r="L24" i="32"/>
  <c r="F24" i="32"/>
  <c r="L23" i="32"/>
  <c r="F23" i="32"/>
  <c r="L22" i="32"/>
  <c r="F22" i="32"/>
  <c r="L21" i="32"/>
  <c r="F21" i="32"/>
  <c r="L20" i="32"/>
  <c r="F20" i="32"/>
  <c r="L19" i="32"/>
  <c r="F19" i="32"/>
  <c r="L18" i="32"/>
  <c r="F18" i="32"/>
  <c r="L17" i="32"/>
  <c r="F17" i="32"/>
  <c r="L16" i="32"/>
  <c r="F16" i="32"/>
  <c r="L15" i="32"/>
  <c r="F15" i="32"/>
  <c r="L14" i="32"/>
  <c r="F14" i="32"/>
  <c r="L13" i="32"/>
  <c r="F13" i="32"/>
  <c r="K10" i="32"/>
  <c r="M10" i="32" s="1"/>
  <c r="E10" i="32"/>
  <c r="U1" i="32"/>
  <c r="J108" i="31"/>
  <c r="L108" i="31" s="1"/>
  <c r="D108" i="31"/>
  <c r="L107" i="31"/>
  <c r="F107" i="31"/>
  <c r="L106" i="31"/>
  <c r="F106" i="31"/>
  <c r="L105" i="31"/>
  <c r="F105" i="31"/>
  <c r="L104" i="31"/>
  <c r="F104" i="31"/>
  <c r="L103" i="31"/>
  <c r="F103" i="31"/>
  <c r="L102" i="31"/>
  <c r="F102" i="31"/>
  <c r="L101" i="31"/>
  <c r="F101" i="31"/>
  <c r="L98" i="31"/>
  <c r="J98" i="31"/>
  <c r="D98" i="31"/>
  <c r="F98" i="31" s="1"/>
  <c r="L97" i="31"/>
  <c r="F97" i="31"/>
  <c r="L96" i="31"/>
  <c r="F96" i="31"/>
  <c r="L95" i="31"/>
  <c r="F95" i="31"/>
  <c r="L94" i="31"/>
  <c r="F94" i="31"/>
  <c r="L93" i="31"/>
  <c r="F93" i="31"/>
  <c r="L92" i="31"/>
  <c r="F92" i="31"/>
  <c r="L91" i="31"/>
  <c r="F91" i="31"/>
  <c r="J88" i="31"/>
  <c r="L88" i="31" s="1"/>
  <c r="D88" i="31"/>
  <c r="F88" i="31" s="1"/>
  <c r="L87" i="31"/>
  <c r="F87" i="31"/>
  <c r="L86" i="31"/>
  <c r="F86" i="31"/>
  <c r="L85" i="31"/>
  <c r="F85" i="31"/>
  <c r="L84" i="31"/>
  <c r="F84" i="31"/>
  <c r="L83" i="31"/>
  <c r="F83" i="31"/>
  <c r="L82" i="31"/>
  <c r="F82" i="31"/>
  <c r="J79" i="31"/>
  <c r="L79" i="31" s="1"/>
  <c r="F79" i="31"/>
  <c r="D79" i="31"/>
  <c r="L78" i="31"/>
  <c r="F78" i="31"/>
  <c r="L77" i="31"/>
  <c r="F77" i="31"/>
  <c r="L76" i="31"/>
  <c r="F76" i="31"/>
  <c r="L75" i="31"/>
  <c r="F75" i="31"/>
  <c r="L74" i="31"/>
  <c r="F74" i="31"/>
  <c r="L73" i="31"/>
  <c r="F73" i="31"/>
  <c r="L72" i="31"/>
  <c r="F72" i="31"/>
  <c r="L71" i="31"/>
  <c r="F71" i="31"/>
  <c r="L70" i="31"/>
  <c r="F70" i="31"/>
  <c r="L69" i="31"/>
  <c r="F69" i="31"/>
  <c r="L68" i="31"/>
  <c r="F68" i="31"/>
  <c r="L65" i="31"/>
  <c r="J65" i="31"/>
  <c r="D65" i="31"/>
  <c r="L64" i="31"/>
  <c r="F64" i="31"/>
  <c r="L63" i="31"/>
  <c r="F63" i="31"/>
  <c r="L62" i="31"/>
  <c r="F62" i="31"/>
  <c r="L61" i="31"/>
  <c r="F61" i="31"/>
  <c r="L60" i="31"/>
  <c r="F60" i="31"/>
  <c r="L59" i="31"/>
  <c r="F59" i="31"/>
  <c r="L58" i="31"/>
  <c r="F58" i="31"/>
  <c r="J55" i="31"/>
  <c r="L55" i="31" s="1"/>
  <c r="D55" i="31"/>
  <c r="L54" i="31"/>
  <c r="F54" i="31"/>
  <c r="L53" i="31"/>
  <c r="F53" i="31"/>
  <c r="L52" i="31"/>
  <c r="F52" i="31"/>
  <c r="L51" i="31"/>
  <c r="F51" i="31"/>
  <c r="L50" i="31"/>
  <c r="F50" i="31"/>
  <c r="L49" i="31"/>
  <c r="F49" i="31"/>
  <c r="J46" i="31"/>
  <c r="L46" i="31" s="1"/>
  <c r="D46" i="31"/>
  <c r="F46" i="31" s="1"/>
  <c r="L45" i="31"/>
  <c r="F45" i="31"/>
  <c r="L44" i="31"/>
  <c r="F44" i="31"/>
  <c r="L43" i="31"/>
  <c r="F43" i="31"/>
  <c r="L42" i="31"/>
  <c r="F42" i="31"/>
  <c r="L41" i="31"/>
  <c r="F41" i="31"/>
  <c r="L40" i="31"/>
  <c r="F40" i="31"/>
  <c r="L39" i="31"/>
  <c r="F39" i="31"/>
  <c r="J36" i="31"/>
  <c r="L36" i="31" s="1"/>
  <c r="F36" i="31"/>
  <c r="D36" i="31"/>
  <c r="L35" i="31"/>
  <c r="F35" i="31"/>
  <c r="L34" i="31"/>
  <c r="F34" i="31"/>
  <c r="L33" i="31"/>
  <c r="F33" i="31"/>
  <c r="L32" i="31"/>
  <c r="F32" i="31"/>
  <c r="L31" i="31"/>
  <c r="F31" i="31"/>
  <c r="L30" i="31"/>
  <c r="F30" i="31"/>
  <c r="L29" i="31"/>
  <c r="F29" i="31"/>
  <c r="L28" i="31"/>
  <c r="F28" i="31"/>
  <c r="J25" i="31"/>
  <c r="L25" i="31" s="1"/>
  <c r="D25" i="31"/>
  <c r="L24" i="31"/>
  <c r="F24" i="31"/>
  <c r="L23" i="31"/>
  <c r="F23" i="31"/>
  <c r="L22" i="31"/>
  <c r="F22" i="31"/>
  <c r="L21" i="31"/>
  <c r="F21" i="31"/>
  <c r="L20" i="31"/>
  <c r="F20" i="31"/>
  <c r="L19" i="31"/>
  <c r="F19" i="31"/>
  <c r="L18" i="31"/>
  <c r="F18" i="31"/>
  <c r="L17" i="31"/>
  <c r="F17" i="31"/>
  <c r="L16" i="31"/>
  <c r="F16" i="31"/>
  <c r="L15" i="31"/>
  <c r="F15" i="31"/>
  <c r="L14" i="31"/>
  <c r="F14" i="31"/>
  <c r="L13" i="31"/>
  <c r="F13" i="31"/>
  <c r="K10" i="31"/>
  <c r="M10" i="31" s="1"/>
  <c r="E10" i="31"/>
  <c r="U1" i="31"/>
  <c r="J108" i="30"/>
  <c r="L108" i="30" s="1"/>
  <c r="D108" i="30"/>
  <c r="F108" i="30" s="1"/>
  <c r="L107" i="30"/>
  <c r="F107" i="30"/>
  <c r="L106" i="30"/>
  <c r="F106" i="30"/>
  <c r="L105" i="30"/>
  <c r="F105" i="30"/>
  <c r="L104" i="30"/>
  <c r="F104" i="30"/>
  <c r="L103" i="30"/>
  <c r="F103" i="30"/>
  <c r="L102" i="30"/>
  <c r="F102" i="30"/>
  <c r="L101" i="30"/>
  <c r="F101" i="30"/>
  <c r="J98" i="30"/>
  <c r="L98" i="30" s="1"/>
  <c r="D98" i="30"/>
  <c r="F98" i="30" s="1"/>
  <c r="L97" i="30"/>
  <c r="F97" i="30"/>
  <c r="L96" i="30"/>
  <c r="F96" i="30"/>
  <c r="L95" i="30"/>
  <c r="F95" i="30"/>
  <c r="L94" i="30"/>
  <c r="F94" i="30"/>
  <c r="L93" i="30"/>
  <c r="F93" i="30"/>
  <c r="L92" i="30"/>
  <c r="F92" i="30"/>
  <c r="L91" i="30"/>
  <c r="F91" i="30"/>
  <c r="J88" i="30"/>
  <c r="L88" i="30" s="1"/>
  <c r="D88" i="30"/>
  <c r="L87" i="30"/>
  <c r="F87" i="30"/>
  <c r="L86" i="30"/>
  <c r="F86" i="30"/>
  <c r="L85" i="30"/>
  <c r="F85" i="30"/>
  <c r="L84" i="30"/>
  <c r="F84" i="30"/>
  <c r="L83" i="30"/>
  <c r="F83" i="30"/>
  <c r="L82" i="30"/>
  <c r="F82" i="30"/>
  <c r="J79" i="30"/>
  <c r="L79" i="30" s="1"/>
  <c r="D79" i="30"/>
  <c r="F79" i="30" s="1"/>
  <c r="L78" i="30"/>
  <c r="F78" i="30"/>
  <c r="L77" i="30"/>
  <c r="F77" i="30"/>
  <c r="L76" i="30"/>
  <c r="F76" i="30"/>
  <c r="L75" i="30"/>
  <c r="F75" i="30"/>
  <c r="L74" i="30"/>
  <c r="F74" i="30"/>
  <c r="L73" i="30"/>
  <c r="F73" i="30"/>
  <c r="L72" i="30"/>
  <c r="F72" i="30"/>
  <c r="L71" i="30"/>
  <c r="F71" i="30"/>
  <c r="L70" i="30"/>
  <c r="F70" i="30"/>
  <c r="L69" i="30"/>
  <c r="F69" i="30"/>
  <c r="L68" i="30"/>
  <c r="F68" i="30"/>
  <c r="J65" i="30"/>
  <c r="L65" i="30" s="1"/>
  <c r="D65" i="30"/>
  <c r="F65" i="30" s="1"/>
  <c r="L64" i="30"/>
  <c r="F64" i="30"/>
  <c r="L63" i="30"/>
  <c r="F63" i="30"/>
  <c r="L62" i="30"/>
  <c r="F62" i="30"/>
  <c r="L61" i="30"/>
  <c r="F61" i="30"/>
  <c r="L60" i="30"/>
  <c r="F60" i="30"/>
  <c r="L59" i="30"/>
  <c r="F59" i="30"/>
  <c r="L58" i="30"/>
  <c r="F58" i="30"/>
  <c r="J55" i="30"/>
  <c r="L55" i="30" s="1"/>
  <c r="D55" i="30"/>
  <c r="F55" i="30" s="1"/>
  <c r="L54" i="30"/>
  <c r="F54" i="30"/>
  <c r="L53" i="30"/>
  <c r="F53" i="30"/>
  <c r="L52" i="30"/>
  <c r="F52" i="30"/>
  <c r="L51" i="30"/>
  <c r="F51" i="30"/>
  <c r="L50" i="30"/>
  <c r="F50" i="30"/>
  <c r="L49" i="30"/>
  <c r="F49" i="30"/>
  <c r="J46" i="30"/>
  <c r="K10" i="30" s="1"/>
  <c r="M10" i="30" s="1"/>
  <c r="D46" i="30"/>
  <c r="F46" i="30" s="1"/>
  <c r="L45" i="30"/>
  <c r="F45" i="30"/>
  <c r="L44" i="30"/>
  <c r="F44" i="30"/>
  <c r="L43" i="30"/>
  <c r="F43" i="30"/>
  <c r="L42" i="30"/>
  <c r="F42" i="30"/>
  <c r="L41" i="30"/>
  <c r="F41" i="30"/>
  <c r="L40" i="30"/>
  <c r="F40" i="30"/>
  <c r="L39" i="30"/>
  <c r="F39" i="30"/>
  <c r="J36" i="30"/>
  <c r="L36" i="30" s="1"/>
  <c r="D36" i="30"/>
  <c r="L35" i="30"/>
  <c r="F35" i="30"/>
  <c r="L34" i="30"/>
  <c r="F34" i="30"/>
  <c r="L33" i="30"/>
  <c r="F33" i="30"/>
  <c r="L32" i="30"/>
  <c r="F32" i="30"/>
  <c r="L31" i="30"/>
  <c r="F31" i="30"/>
  <c r="L30" i="30"/>
  <c r="F30" i="30"/>
  <c r="L29" i="30"/>
  <c r="F29" i="30"/>
  <c r="L28" i="30"/>
  <c r="F28" i="30"/>
  <c r="J25" i="30"/>
  <c r="D25" i="30"/>
  <c r="F25" i="30" s="1"/>
  <c r="L24" i="30"/>
  <c r="F24" i="30"/>
  <c r="L23" i="30"/>
  <c r="F23" i="30"/>
  <c r="L22" i="30"/>
  <c r="F22" i="30"/>
  <c r="L21" i="30"/>
  <c r="F21" i="30"/>
  <c r="L20" i="30"/>
  <c r="F20" i="30"/>
  <c r="L19" i="30"/>
  <c r="F19" i="30"/>
  <c r="L18" i="30"/>
  <c r="F18" i="30"/>
  <c r="L17" i="30"/>
  <c r="F17" i="30"/>
  <c r="L16" i="30"/>
  <c r="F16" i="30"/>
  <c r="L15" i="30"/>
  <c r="F15" i="30"/>
  <c r="L14" i="30"/>
  <c r="F14" i="30"/>
  <c r="L13" i="30"/>
  <c r="D225" i="4" s="1"/>
  <c r="F13" i="30"/>
  <c r="E10" i="30"/>
  <c r="U1" i="30"/>
  <c r="K108" i="40"/>
  <c r="J108" i="40"/>
  <c r="E108" i="40"/>
  <c r="D108" i="40"/>
  <c r="L107" i="40"/>
  <c r="F107" i="40"/>
  <c r="L106" i="40"/>
  <c r="F106" i="40"/>
  <c r="L105" i="40"/>
  <c r="F105" i="40"/>
  <c r="L104" i="40"/>
  <c r="F104" i="40"/>
  <c r="L103" i="40"/>
  <c r="F103" i="40"/>
  <c r="L102" i="40"/>
  <c r="F102" i="40"/>
  <c r="L101" i="40"/>
  <c r="F101" i="40"/>
  <c r="K98" i="40"/>
  <c r="J98" i="40"/>
  <c r="L98" i="40" s="1"/>
  <c r="E98" i="40"/>
  <c r="D98" i="40"/>
  <c r="L97" i="40"/>
  <c r="F97" i="40"/>
  <c r="L96" i="40"/>
  <c r="F96" i="40"/>
  <c r="L95" i="40"/>
  <c r="F95" i="40"/>
  <c r="L94" i="40"/>
  <c r="F94" i="40"/>
  <c r="L93" i="40"/>
  <c r="F93" i="40"/>
  <c r="L92" i="40"/>
  <c r="F92" i="40"/>
  <c r="L91" i="40"/>
  <c r="F91" i="40"/>
  <c r="K88" i="40"/>
  <c r="J88" i="40"/>
  <c r="L88" i="40" s="1"/>
  <c r="E88" i="40"/>
  <c r="D88" i="40"/>
  <c r="L87" i="40"/>
  <c r="F87" i="40"/>
  <c r="L86" i="40"/>
  <c r="F86" i="40"/>
  <c r="L85" i="40"/>
  <c r="F85" i="40"/>
  <c r="L84" i="40"/>
  <c r="F84" i="40"/>
  <c r="L83" i="40"/>
  <c r="F83" i="40"/>
  <c r="L82" i="40"/>
  <c r="F82" i="40"/>
  <c r="K79" i="40"/>
  <c r="J79" i="40"/>
  <c r="E79" i="40"/>
  <c r="D79" i="40"/>
  <c r="L78" i="40"/>
  <c r="F78" i="40"/>
  <c r="L77" i="40"/>
  <c r="F77" i="40"/>
  <c r="L76" i="40"/>
  <c r="F76" i="40"/>
  <c r="L75" i="40"/>
  <c r="F75" i="40"/>
  <c r="L74" i="40"/>
  <c r="F74" i="40"/>
  <c r="L73" i="40"/>
  <c r="F73" i="40"/>
  <c r="L72" i="40"/>
  <c r="F72" i="40"/>
  <c r="L71" i="40"/>
  <c r="F71" i="40"/>
  <c r="L70" i="40"/>
  <c r="F70" i="40"/>
  <c r="L69" i="40"/>
  <c r="F69" i="40"/>
  <c r="L68" i="40"/>
  <c r="D1849" i="4" s="1"/>
  <c r="F68" i="40"/>
  <c r="K65" i="40"/>
  <c r="J65" i="40"/>
  <c r="E65" i="40"/>
  <c r="D65" i="40"/>
  <c r="F65" i="40" s="1"/>
  <c r="L64" i="40"/>
  <c r="F64" i="40"/>
  <c r="L63" i="40"/>
  <c r="F63" i="40"/>
  <c r="L62" i="40"/>
  <c r="F62" i="40"/>
  <c r="L61" i="40"/>
  <c r="F61" i="40"/>
  <c r="L60" i="40"/>
  <c r="F60" i="40"/>
  <c r="L59" i="40"/>
  <c r="F59" i="40"/>
  <c r="L58" i="40"/>
  <c r="F58" i="40"/>
  <c r="K55" i="40"/>
  <c r="J55" i="40"/>
  <c r="E55" i="40"/>
  <c r="D55" i="40"/>
  <c r="L54" i="40"/>
  <c r="F54" i="40"/>
  <c r="L53" i="40"/>
  <c r="F53" i="40"/>
  <c r="L52" i="40"/>
  <c r="F52" i="40"/>
  <c r="L51" i="40"/>
  <c r="F51" i="40"/>
  <c r="L50" i="40"/>
  <c r="F50" i="40"/>
  <c r="L49" i="40"/>
  <c r="F49" i="40"/>
  <c r="K46" i="40"/>
  <c r="J46" i="40"/>
  <c r="L46" i="40" s="1"/>
  <c r="E46" i="40"/>
  <c r="D46" i="40"/>
  <c r="L45" i="40"/>
  <c r="F45" i="40"/>
  <c r="L44" i="40"/>
  <c r="F44" i="40"/>
  <c r="L43" i="40"/>
  <c r="F43" i="40"/>
  <c r="L42" i="40"/>
  <c r="F42" i="40"/>
  <c r="D1760" i="4" s="1"/>
  <c r="L41" i="40"/>
  <c r="F41" i="40"/>
  <c r="L40" i="40"/>
  <c r="F40" i="40"/>
  <c r="L39" i="40"/>
  <c r="F39" i="40"/>
  <c r="K36" i="40"/>
  <c r="J36" i="40"/>
  <c r="E36" i="40"/>
  <c r="D36" i="40"/>
  <c r="L35" i="40"/>
  <c r="F35" i="40"/>
  <c r="L34" i="40"/>
  <c r="F34" i="40"/>
  <c r="L33" i="40"/>
  <c r="F33" i="40"/>
  <c r="L32" i="40"/>
  <c r="F32" i="40"/>
  <c r="L31" i="40"/>
  <c r="F31" i="40"/>
  <c r="L30" i="40"/>
  <c r="F30" i="40"/>
  <c r="L29" i="40"/>
  <c r="F29" i="40"/>
  <c r="D1750" i="4" s="1"/>
  <c r="L28" i="40"/>
  <c r="D1821" i="4" s="1"/>
  <c r="F28" i="40"/>
  <c r="K25" i="40"/>
  <c r="J25" i="40"/>
  <c r="E25" i="40"/>
  <c r="D25" i="40"/>
  <c r="F25" i="40" s="1"/>
  <c r="L24" i="40"/>
  <c r="F24" i="40"/>
  <c r="L23" i="40"/>
  <c r="F23" i="40"/>
  <c r="L22" i="40"/>
  <c r="F22" i="40"/>
  <c r="L21" i="40"/>
  <c r="D1817" i="4" s="1"/>
  <c r="F21" i="40"/>
  <c r="L20" i="40"/>
  <c r="F20" i="40"/>
  <c r="L19" i="40"/>
  <c r="F19" i="40"/>
  <c r="L18" i="40"/>
  <c r="F18" i="40"/>
  <c r="L17" i="40"/>
  <c r="D1813" i="4" s="1"/>
  <c r="F17" i="40"/>
  <c r="L16" i="40"/>
  <c r="D1812" i="4" s="1"/>
  <c r="F16" i="40"/>
  <c r="L15" i="40"/>
  <c r="D1811" i="4" s="1"/>
  <c r="F15" i="40"/>
  <c r="L14" i="40"/>
  <c r="F14" i="40"/>
  <c r="L13" i="40"/>
  <c r="D1809" i="4" s="1"/>
  <c r="F13" i="40"/>
  <c r="E10" i="40"/>
  <c r="U1" i="40"/>
  <c r="K108" i="33"/>
  <c r="J108" i="33"/>
  <c r="L108" i="33" s="1"/>
  <c r="E108" i="33"/>
  <c r="D108" i="33"/>
  <c r="F108" i="33" s="1"/>
  <c r="L107" i="33"/>
  <c r="F107" i="33"/>
  <c r="L106" i="33"/>
  <c r="F106" i="33"/>
  <c r="L105" i="33"/>
  <c r="F105" i="33"/>
  <c r="L104" i="33"/>
  <c r="F104" i="33"/>
  <c r="L103" i="33"/>
  <c r="F103" i="33"/>
  <c r="L102" i="33"/>
  <c r="F102" i="33"/>
  <c r="L101" i="33"/>
  <c r="F101" i="33"/>
  <c r="K98" i="33"/>
  <c r="J98" i="33"/>
  <c r="F98" i="33"/>
  <c r="E98" i="33"/>
  <c r="D98" i="33"/>
  <c r="L97" i="33"/>
  <c r="F97" i="33"/>
  <c r="L96" i="33"/>
  <c r="F96" i="33"/>
  <c r="L95" i="33"/>
  <c r="F95" i="33"/>
  <c r="L94" i="33"/>
  <c r="F94" i="33"/>
  <c r="L93" i="33"/>
  <c r="F93" i="33"/>
  <c r="L92" i="33"/>
  <c r="F92" i="33"/>
  <c r="L91" i="33"/>
  <c r="F91" i="33"/>
  <c r="K88" i="33"/>
  <c r="J88" i="33"/>
  <c r="L88" i="33" s="1"/>
  <c r="E88" i="33"/>
  <c r="D88" i="33"/>
  <c r="L87" i="33"/>
  <c r="F87" i="33"/>
  <c r="L86" i="33"/>
  <c r="F86" i="33"/>
  <c r="L85" i="33"/>
  <c r="F85" i="33"/>
  <c r="L84" i="33"/>
  <c r="F84" i="33"/>
  <c r="L83" i="33"/>
  <c r="F83" i="33"/>
  <c r="L82" i="33"/>
  <c r="F82" i="33"/>
  <c r="K79" i="33"/>
  <c r="L79" i="33" s="1"/>
  <c r="J79" i="33"/>
  <c r="E79" i="33"/>
  <c r="D79" i="33"/>
  <c r="L78" i="33"/>
  <c r="F78" i="33"/>
  <c r="L77" i="33"/>
  <c r="F77" i="33"/>
  <c r="L76" i="33"/>
  <c r="F76" i="33"/>
  <c r="L75" i="33"/>
  <c r="F75" i="33"/>
  <c r="L74" i="33"/>
  <c r="F74" i="33"/>
  <c r="L73" i="33"/>
  <c r="F73" i="33"/>
  <c r="L72" i="33"/>
  <c r="F72" i="33"/>
  <c r="L71" i="33"/>
  <c r="F71" i="33"/>
  <c r="L70" i="33"/>
  <c r="F70" i="33"/>
  <c r="L69" i="33"/>
  <c r="F69" i="33"/>
  <c r="L68" i="33"/>
  <c r="F68" i="33"/>
  <c r="K65" i="33"/>
  <c r="L65" i="33" s="1"/>
  <c r="J65" i="33"/>
  <c r="E65" i="33"/>
  <c r="D65" i="33"/>
  <c r="F65" i="33" s="1"/>
  <c r="L64" i="33"/>
  <c r="F64" i="33"/>
  <c r="L63" i="33"/>
  <c r="F63" i="33"/>
  <c r="L62" i="33"/>
  <c r="F62" i="33"/>
  <c r="L61" i="33"/>
  <c r="F61" i="33"/>
  <c r="L60" i="33"/>
  <c r="F60" i="33"/>
  <c r="L59" i="33"/>
  <c r="F59" i="33"/>
  <c r="L58" i="33"/>
  <c r="F58" i="33"/>
  <c r="K55" i="33"/>
  <c r="J55" i="33"/>
  <c r="L55" i="33" s="1"/>
  <c r="E55" i="33"/>
  <c r="D55" i="33"/>
  <c r="L54" i="33"/>
  <c r="F54" i="33"/>
  <c r="L53" i="33"/>
  <c r="F53" i="33"/>
  <c r="L52" i="33"/>
  <c r="F52" i="33"/>
  <c r="L51" i="33"/>
  <c r="F51" i="33"/>
  <c r="L50" i="33"/>
  <c r="F50" i="33"/>
  <c r="L49" i="33"/>
  <c r="F49" i="33"/>
  <c r="K46" i="33"/>
  <c r="J46" i="33"/>
  <c r="F46" i="33"/>
  <c r="E46" i="33"/>
  <c r="D46" i="33"/>
  <c r="L45" i="33"/>
  <c r="F45" i="33"/>
  <c r="L44" i="33"/>
  <c r="F44" i="33"/>
  <c r="L43" i="33"/>
  <c r="F43" i="33"/>
  <c r="L42" i="33"/>
  <c r="F42" i="33"/>
  <c r="L41" i="33"/>
  <c r="F41" i="33"/>
  <c r="L40" i="33"/>
  <c r="F40" i="33"/>
  <c r="L39" i="33"/>
  <c r="F39" i="33"/>
  <c r="K36" i="33"/>
  <c r="J36" i="33"/>
  <c r="E36" i="33"/>
  <c r="D36" i="33"/>
  <c r="F36" i="33" s="1"/>
  <c r="L35" i="33"/>
  <c r="F35" i="33"/>
  <c r="L34" i="33"/>
  <c r="F34" i="33"/>
  <c r="L33" i="33"/>
  <c r="F33" i="33"/>
  <c r="L32" i="33"/>
  <c r="F32" i="33"/>
  <c r="L31" i="33"/>
  <c r="F31" i="33"/>
  <c r="L30" i="33"/>
  <c r="F30" i="33"/>
  <c r="L29" i="33"/>
  <c r="F29" i="33"/>
  <c r="L28" i="33"/>
  <c r="F28" i="33"/>
  <c r="K25" i="33"/>
  <c r="J25" i="33"/>
  <c r="E25" i="33"/>
  <c r="D25" i="33"/>
  <c r="L24" i="33"/>
  <c r="F24" i="33"/>
  <c r="L23" i="33"/>
  <c r="F23" i="33"/>
  <c r="L22" i="33"/>
  <c r="F22" i="33"/>
  <c r="L21" i="33"/>
  <c r="F21" i="33"/>
  <c r="L20" i="33"/>
  <c r="F20" i="33"/>
  <c r="L19" i="33"/>
  <c r="F19" i="33"/>
  <c r="L18" i="33"/>
  <c r="F18" i="33"/>
  <c r="L17" i="33"/>
  <c r="F17" i="33"/>
  <c r="L16" i="33"/>
  <c r="F16" i="33"/>
  <c r="L15" i="33"/>
  <c r="F15" i="33"/>
  <c r="L14" i="33"/>
  <c r="F14" i="33"/>
  <c r="L13" i="33"/>
  <c r="F13" i="33"/>
  <c r="E10" i="33"/>
  <c r="U1" i="33"/>
  <c r="D1533" i="4"/>
  <c r="D1069" i="4"/>
  <c r="D1131" i="4"/>
  <c r="D1117" i="4"/>
  <c r="D1095" i="4"/>
  <c r="D1091" i="4"/>
  <c r="D1772" i="4"/>
  <c r="D1770" i="4"/>
  <c r="D1201" i="4"/>
  <c r="D1194" i="4"/>
  <c r="D1247" i="4"/>
  <c r="D1245" i="4"/>
  <c r="D1242" i="4"/>
  <c r="D1241" i="4"/>
  <c r="D1238" i="4"/>
  <c r="D1237" i="4"/>
  <c r="D1234" i="4"/>
  <c r="D1094" i="4"/>
  <c r="D1090" i="4"/>
  <c r="D1103" i="4"/>
  <c r="D1098" i="4"/>
  <c r="D1057" i="4"/>
  <c r="D1097" i="4"/>
  <c r="D1093" i="4"/>
  <c r="D1879" i="4"/>
  <c r="C1879" i="4"/>
  <c r="B1879" i="4"/>
  <c r="D1878" i="4"/>
  <c r="C1878" i="4"/>
  <c r="B1878" i="4"/>
  <c r="D1877" i="4"/>
  <c r="C1877" i="4"/>
  <c r="B1877" i="4"/>
  <c r="D1876" i="4"/>
  <c r="C1876" i="4"/>
  <c r="B1876" i="4"/>
  <c r="D1875" i="4"/>
  <c r="C1875" i="4"/>
  <c r="B1875" i="4"/>
  <c r="D1874" i="4"/>
  <c r="C1874" i="4"/>
  <c r="B1874" i="4"/>
  <c r="D1873" i="4"/>
  <c r="C1873" i="4"/>
  <c r="B1873" i="4"/>
  <c r="D1872" i="4"/>
  <c r="C1872" i="4"/>
  <c r="B1872" i="4"/>
  <c r="D1871" i="4"/>
  <c r="C1871" i="4"/>
  <c r="B1871" i="4"/>
  <c r="D1870" i="4"/>
  <c r="C1870" i="4"/>
  <c r="B1870" i="4"/>
  <c r="D1869" i="4"/>
  <c r="C1869" i="4"/>
  <c r="B1869" i="4"/>
  <c r="D1868" i="4"/>
  <c r="C1868" i="4"/>
  <c r="B1868" i="4"/>
  <c r="D1867" i="4"/>
  <c r="C1867" i="4"/>
  <c r="B1867" i="4"/>
  <c r="D1866" i="4"/>
  <c r="C1866" i="4"/>
  <c r="B1866" i="4"/>
  <c r="D1865" i="4"/>
  <c r="C1865" i="4"/>
  <c r="B1865" i="4"/>
  <c r="D1864" i="4"/>
  <c r="C1864" i="4"/>
  <c r="B1864" i="4"/>
  <c r="D1863" i="4"/>
  <c r="C1863" i="4"/>
  <c r="B1863" i="4"/>
  <c r="D1862" i="4"/>
  <c r="C1862" i="4"/>
  <c r="B1862" i="4"/>
  <c r="D1861" i="4"/>
  <c r="C1861" i="4"/>
  <c r="B1861" i="4"/>
  <c r="D1860" i="4"/>
  <c r="C1860" i="4"/>
  <c r="B1860" i="4"/>
  <c r="D1859" i="4"/>
  <c r="C1859" i="4"/>
  <c r="B1859" i="4"/>
  <c r="D1858" i="4"/>
  <c r="C1858" i="4"/>
  <c r="B1858" i="4"/>
  <c r="D1857" i="4"/>
  <c r="C1857" i="4"/>
  <c r="B1857" i="4"/>
  <c r="D1856" i="4"/>
  <c r="C1856" i="4"/>
  <c r="B1856" i="4"/>
  <c r="D1855" i="4"/>
  <c r="C1855" i="4"/>
  <c r="B1855" i="4"/>
  <c r="D1854" i="4"/>
  <c r="C1854" i="4"/>
  <c r="B1854" i="4"/>
  <c r="D1853" i="4"/>
  <c r="C1853" i="4"/>
  <c r="B1853" i="4"/>
  <c r="D1852" i="4"/>
  <c r="C1852" i="4"/>
  <c r="B1852" i="4"/>
  <c r="D1851" i="4"/>
  <c r="C1851" i="4"/>
  <c r="B1851" i="4"/>
  <c r="D1850" i="4"/>
  <c r="C1850" i="4"/>
  <c r="B1850" i="4"/>
  <c r="C1849" i="4"/>
  <c r="B1849" i="4"/>
  <c r="D1848" i="4"/>
  <c r="C1848" i="4"/>
  <c r="B1848" i="4"/>
  <c r="D1847" i="4"/>
  <c r="C1847" i="4"/>
  <c r="B1847" i="4"/>
  <c r="D1846" i="4"/>
  <c r="C1846" i="4"/>
  <c r="B1846" i="4"/>
  <c r="D1845" i="4"/>
  <c r="C1845" i="4"/>
  <c r="B1845" i="4"/>
  <c r="D1844" i="4"/>
  <c r="C1844" i="4"/>
  <c r="B1844" i="4"/>
  <c r="D1843" i="4"/>
  <c r="C1843" i="4"/>
  <c r="B1843" i="4"/>
  <c r="D1842" i="4"/>
  <c r="C1842" i="4"/>
  <c r="B1842" i="4"/>
  <c r="D1841" i="4"/>
  <c r="C1841" i="4"/>
  <c r="B1841" i="4"/>
  <c r="D1840" i="4"/>
  <c r="C1840" i="4"/>
  <c r="B1840" i="4"/>
  <c r="D1839" i="4"/>
  <c r="C1839" i="4"/>
  <c r="B1839" i="4"/>
  <c r="D1838" i="4"/>
  <c r="C1838" i="4"/>
  <c r="B1838" i="4"/>
  <c r="D1837" i="4"/>
  <c r="C1837" i="4"/>
  <c r="B1837" i="4"/>
  <c r="C1836" i="4"/>
  <c r="B1836" i="4"/>
  <c r="D1835" i="4"/>
  <c r="C1835" i="4"/>
  <c r="B1835" i="4"/>
  <c r="D1834" i="4"/>
  <c r="C1834" i="4"/>
  <c r="B1834" i="4"/>
  <c r="D1833" i="4"/>
  <c r="C1833" i="4"/>
  <c r="B1833" i="4"/>
  <c r="D1832" i="4"/>
  <c r="C1832" i="4"/>
  <c r="B1832" i="4"/>
  <c r="D1831" i="4"/>
  <c r="C1831" i="4"/>
  <c r="B1831" i="4"/>
  <c r="D1830" i="4"/>
  <c r="C1830" i="4"/>
  <c r="B1830" i="4"/>
  <c r="D1829" i="4"/>
  <c r="C1829" i="4"/>
  <c r="B1829" i="4"/>
  <c r="D1828" i="4"/>
  <c r="C1828" i="4"/>
  <c r="B1828" i="4"/>
  <c r="D1827" i="4"/>
  <c r="C1827" i="4"/>
  <c r="B1827" i="4"/>
  <c r="D1826" i="4"/>
  <c r="C1826" i="4"/>
  <c r="B1826" i="4"/>
  <c r="D1825" i="4"/>
  <c r="C1825" i="4"/>
  <c r="B1825" i="4"/>
  <c r="D1824" i="4"/>
  <c r="C1824" i="4"/>
  <c r="B1824" i="4"/>
  <c r="D1823" i="4"/>
  <c r="C1823" i="4"/>
  <c r="B1823" i="4"/>
  <c r="D1822" i="4"/>
  <c r="C1822" i="4"/>
  <c r="B1822" i="4"/>
  <c r="C1821" i="4"/>
  <c r="B1821" i="4"/>
  <c r="D1820" i="4"/>
  <c r="C1820" i="4"/>
  <c r="B1820" i="4"/>
  <c r="D1819" i="4"/>
  <c r="C1819" i="4"/>
  <c r="B1819" i="4"/>
  <c r="D1818" i="4"/>
  <c r="C1818" i="4"/>
  <c r="B1818" i="4"/>
  <c r="C1817" i="4"/>
  <c r="B1817" i="4"/>
  <c r="D1816" i="4"/>
  <c r="C1816" i="4"/>
  <c r="B1816" i="4"/>
  <c r="D1815" i="4"/>
  <c r="C1815" i="4"/>
  <c r="B1815" i="4"/>
  <c r="C1814" i="4"/>
  <c r="B1814" i="4"/>
  <c r="C1813" i="4"/>
  <c r="B1813" i="4"/>
  <c r="C1812" i="4"/>
  <c r="B1812" i="4"/>
  <c r="C1811" i="4"/>
  <c r="B1811" i="4"/>
  <c r="D1810" i="4"/>
  <c r="C1810" i="4"/>
  <c r="B1810" i="4"/>
  <c r="C1809" i="4"/>
  <c r="B1809" i="4"/>
  <c r="D1807" i="4"/>
  <c r="C1807" i="4"/>
  <c r="B1807" i="4"/>
  <c r="D1806" i="4"/>
  <c r="C1806" i="4"/>
  <c r="B1806" i="4"/>
  <c r="D1805" i="4"/>
  <c r="C1805" i="4"/>
  <c r="B1805" i="4"/>
  <c r="D1804" i="4"/>
  <c r="C1804" i="4"/>
  <c r="B1804" i="4"/>
  <c r="D1803" i="4"/>
  <c r="C1803" i="4"/>
  <c r="B1803" i="4"/>
  <c r="D1802" i="4"/>
  <c r="C1802" i="4"/>
  <c r="B1802" i="4"/>
  <c r="D1801" i="4"/>
  <c r="C1801" i="4"/>
  <c r="B1801" i="4"/>
  <c r="D1800" i="4"/>
  <c r="C1800" i="4"/>
  <c r="B1800" i="4"/>
  <c r="D1799" i="4"/>
  <c r="C1799" i="4"/>
  <c r="B1799" i="4"/>
  <c r="D1798" i="4"/>
  <c r="C1798" i="4"/>
  <c r="B1798" i="4"/>
  <c r="D1797" i="4"/>
  <c r="C1797" i="4"/>
  <c r="B1797" i="4"/>
  <c r="D1796" i="4"/>
  <c r="C1796" i="4"/>
  <c r="B1796" i="4"/>
  <c r="D1795" i="4"/>
  <c r="C1795" i="4"/>
  <c r="B1795" i="4"/>
  <c r="D1794" i="4"/>
  <c r="C1794" i="4"/>
  <c r="B1794" i="4"/>
  <c r="D1793" i="4"/>
  <c r="C1793" i="4"/>
  <c r="B1793" i="4"/>
  <c r="D1792" i="4"/>
  <c r="C1792" i="4"/>
  <c r="B1792" i="4"/>
  <c r="D1791" i="4"/>
  <c r="C1791" i="4"/>
  <c r="B1791" i="4"/>
  <c r="D1790" i="4"/>
  <c r="C1790" i="4"/>
  <c r="B1790" i="4"/>
  <c r="C1789" i="4"/>
  <c r="B1789" i="4"/>
  <c r="D1788" i="4"/>
  <c r="C1788" i="4"/>
  <c r="B1788" i="4"/>
  <c r="D1787" i="4"/>
  <c r="C1787" i="4"/>
  <c r="B1787" i="4"/>
  <c r="D1786" i="4"/>
  <c r="C1786" i="4"/>
  <c r="B1786" i="4"/>
  <c r="D1785" i="4"/>
  <c r="C1785" i="4"/>
  <c r="B1785" i="4"/>
  <c r="D1784" i="4"/>
  <c r="C1784" i="4"/>
  <c r="B1784" i="4"/>
  <c r="D1783" i="4"/>
  <c r="C1783" i="4"/>
  <c r="B1783" i="4"/>
  <c r="D1782" i="4"/>
  <c r="C1782" i="4"/>
  <c r="B1782" i="4"/>
  <c r="D1781" i="4"/>
  <c r="C1781" i="4"/>
  <c r="B1781" i="4"/>
  <c r="D1780" i="4"/>
  <c r="C1780" i="4"/>
  <c r="B1780" i="4"/>
  <c r="D1779" i="4"/>
  <c r="C1779" i="4"/>
  <c r="B1779" i="4"/>
  <c r="D1778" i="4"/>
  <c r="C1778" i="4"/>
  <c r="B1778" i="4"/>
  <c r="C1777" i="4"/>
  <c r="B1777" i="4"/>
  <c r="D1776" i="4"/>
  <c r="C1776" i="4"/>
  <c r="B1776" i="4"/>
  <c r="D1775" i="4"/>
  <c r="C1775" i="4"/>
  <c r="B1775" i="4"/>
  <c r="D1774" i="4"/>
  <c r="C1774" i="4"/>
  <c r="B1774" i="4"/>
  <c r="D1773" i="4"/>
  <c r="C1773" i="4"/>
  <c r="B1773" i="4"/>
  <c r="C1772" i="4"/>
  <c r="B1772" i="4"/>
  <c r="D1771" i="4"/>
  <c r="C1771" i="4"/>
  <c r="B1771" i="4"/>
  <c r="C1770" i="4"/>
  <c r="B1770" i="4"/>
  <c r="D1769" i="4"/>
  <c r="C1769" i="4"/>
  <c r="B1769" i="4"/>
  <c r="D1768" i="4"/>
  <c r="C1768" i="4"/>
  <c r="B1768" i="4"/>
  <c r="D1767" i="4"/>
  <c r="C1767" i="4"/>
  <c r="B1767" i="4"/>
  <c r="D1766" i="4"/>
  <c r="C1766" i="4"/>
  <c r="B1766" i="4"/>
  <c r="D1765" i="4"/>
  <c r="C1765" i="4"/>
  <c r="B1765" i="4"/>
  <c r="D1764" i="4"/>
  <c r="C1764" i="4"/>
  <c r="B1764" i="4"/>
  <c r="D1763" i="4"/>
  <c r="C1763" i="4"/>
  <c r="B1763" i="4"/>
  <c r="D1762" i="4"/>
  <c r="C1762" i="4"/>
  <c r="B1762" i="4"/>
  <c r="D1761" i="4"/>
  <c r="C1761" i="4"/>
  <c r="B1761" i="4"/>
  <c r="C1760" i="4"/>
  <c r="B1760" i="4"/>
  <c r="D1759" i="4"/>
  <c r="C1759" i="4"/>
  <c r="B1759" i="4"/>
  <c r="D1758" i="4"/>
  <c r="C1758" i="4"/>
  <c r="B1758" i="4"/>
  <c r="D1757" i="4"/>
  <c r="C1757" i="4"/>
  <c r="B1757" i="4"/>
  <c r="D1756" i="4"/>
  <c r="C1756" i="4"/>
  <c r="B1756" i="4"/>
  <c r="D1755" i="4"/>
  <c r="C1755" i="4"/>
  <c r="B1755" i="4"/>
  <c r="D1754" i="4"/>
  <c r="C1754" i="4"/>
  <c r="B1754" i="4"/>
  <c r="D1753" i="4"/>
  <c r="C1753" i="4"/>
  <c r="B1753" i="4"/>
  <c r="D1752" i="4"/>
  <c r="C1752" i="4"/>
  <c r="B1752" i="4"/>
  <c r="D1751" i="4"/>
  <c r="C1751" i="4"/>
  <c r="B1751" i="4"/>
  <c r="C1750" i="4"/>
  <c r="B1750" i="4"/>
  <c r="D1749" i="4"/>
  <c r="C1749" i="4"/>
  <c r="B1749" i="4"/>
  <c r="D1748" i="4"/>
  <c r="C1748" i="4"/>
  <c r="B1748" i="4"/>
  <c r="D1747" i="4"/>
  <c r="C1747" i="4"/>
  <c r="B1747" i="4"/>
  <c r="D1746" i="4"/>
  <c r="C1746" i="4"/>
  <c r="B1746" i="4"/>
  <c r="D1745" i="4"/>
  <c r="C1745" i="4"/>
  <c r="B1745" i="4"/>
  <c r="D1744" i="4"/>
  <c r="C1744" i="4"/>
  <c r="B1744" i="4"/>
  <c r="D1743" i="4"/>
  <c r="C1743" i="4"/>
  <c r="B1743" i="4"/>
  <c r="D1742" i="4"/>
  <c r="C1742" i="4"/>
  <c r="B1742" i="4"/>
  <c r="D1741" i="4"/>
  <c r="C1741" i="4"/>
  <c r="B1741" i="4"/>
  <c r="D1740" i="4"/>
  <c r="C1740" i="4"/>
  <c r="B1740" i="4"/>
  <c r="D1739" i="4"/>
  <c r="C1739" i="4"/>
  <c r="B1739" i="4"/>
  <c r="D1738" i="4"/>
  <c r="C1738" i="4"/>
  <c r="B1738" i="4"/>
  <c r="D1737" i="4"/>
  <c r="C1737" i="4"/>
  <c r="B1737" i="4"/>
  <c r="D1789" i="4"/>
  <c r="D1777" i="4"/>
  <c r="D1836" i="4"/>
  <c r="D1814" i="4"/>
  <c r="D1383" i="4"/>
  <c r="D93" i="4"/>
  <c r="D1637" i="4"/>
  <c r="D1633" i="4"/>
  <c r="D1628" i="4"/>
  <c r="D1699" i="4"/>
  <c r="D1694" i="4"/>
  <c r="D1614" i="4"/>
  <c r="D1667" i="4"/>
  <c r="D1555" i="4"/>
  <c r="D1523" i="4"/>
  <c r="D1406" i="4"/>
  <c r="D1379" i="4"/>
  <c r="D1267" i="4"/>
  <c r="D1262" i="4"/>
  <c r="D1235" i="4"/>
  <c r="D1123" i="4"/>
  <c r="D1118" i="4"/>
  <c r="D925" i="4"/>
  <c r="D979" i="4"/>
  <c r="D947" i="4"/>
  <c r="D835" i="4"/>
  <c r="D830" i="4"/>
  <c r="D803" i="4"/>
  <c r="D691" i="4"/>
  <c r="D686" i="4"/>
  <c r="D659" i="4"/>
  <c r="D547" i="4"/>
  <c r="D542" i="4"/>
  <c r="D515" i="4"/>
  <c r="D349" i="4"/>
  <c r="D331" i="4"/>
  <c r="D259" i="4"/>
  <c r="D254" i="4"/>
  <c r="D227" i="4"/>
  <c r="D115" i="4"/>
  <c r="D110" i="4"/>
  <c r="D151" i="4"/>
  <c r="D147" i="4"/>
  <c r="D142" i="4"/>
  <c r="D138" i="4"/>
  <c r="D128" i="4"/>
  <c r="D124" i="4"/>
  <c r="D119" i="4"/>
  <c r="D101" i="4"/>
  <c r="D100" i="4"/>
  <c r="D91" i="4"/>
  <c r="C1735" i="4"/>
  <c r="B1735" i="4"/>
  <c r="D1734" i="4"/>
  <c r="C1734" i="4"/>
  <c r="B1734" i="4"/>
  <c r="D1733" i="4"/>
  <c r="C1733" i="4"/>
  <c r="B1733" i="4"/>
  <c r="D1732" i="4"/>
  <c r="C1732" i="4"/>
  <c r="B1732" i="4"/>
  <c r="D1731" i="4"/>
  <c r="C1731" i="4"/>
  <c r="B1731" i="4"/>
  <c r="D1730" i="4"/>
  <c r="C1730" i="4"/>
  <c r="B1730" i="4"/>
  <c r="C1729" i="4"/>
  <c r="B1729" i="4"/>
  <c r="D1728" i="4"/>
  <c r="C1728" i="4"/>
  <c r="B1728" i="4"/>
  <c r="D1727" i="4"/>
  <c r="C1727" i="4"/>
  <c r="B1727" i="4"/>
  <c r="D1726" i="4"/>
  <c r="C1726" i="4"/>
  <c r="B1726" i="4"/>
  <c r="D1725" i="4"/>
  <c r="C1725" i="4"/>
  <c r="B1725" i="4"/>
  <c r="D1724" i="4"/>
  <c r="C1724" i="4"/>
  <c r="B1724" i="4"/>
  <c r="D1723" i="4"/>
  <c r="C1723" i="4"/>
  <c r="B1723" i="4"/>
  <c r="C1722" i="4"/>
  <c r="B1722" i="4"/>
  <c r="C1721" i="4"/>
  <c r="B1721" i="4"/>
  <c r="D1720" i="4"/>
  <c r="C1720" i="4"/>
  <c r="B1720" i="4"/>
  <c r="D1719" i="4"/>
  <c r="C1719" i="4"/>
  <c r="B1719" i="4"/>
  <c r="D1718" i="4"/>
  <c r="C1718" i="4"/>
  <c r="B1718" i="4"/>
  <c r="D1717" i="4"/>
  <c r="C1717" i="4"/>
  <c r="B1717" i="4"/>
  <c r="C1716" i="4"/>
  <c r="B1716" i="4"/>
  <c r="C1715" i="4"/>
  <c r="B1715" i="4"/>
  <c r="D1714" i="4"/>
  <c r="C1714" i="4"/>
  <c r="B1714" i="4"/>
  <c r="D1713" i="4"/>
  <c r="C1713" i="4"/>
  <c r="B1713" i="4"/>
  <c r="D1712" i="4"/>
  <c r="C1712" i="4"/>
  <c r="B1712" i="4"/>
  <c r="D1711" i="4"/>
  <c r="C1711" i="4"/>
  <c r="B1711" i="4"/>
  <c r="D1710" i="4"/>
  <c r="C1710" i="4"/>
  <c r="B1710" i="4"/>
  <c r="D1709" i="4"/>
  <c r="C1709" i="4"/>
  <c r="B1709" i="4"/>
  <c r="D1708" i="4"/>
  <c r="C1708" i="4"/>
  <c r="B1708" i="4"/>
  <c r="D1707" i="4"/>
  <c r="C1707" i="4"/>
  <c r="B1707" i="4"/>
  <c r="D1706" i="4"/>
  <c r="C1706" i="4"/>
  <c r="B1706" i="4"/>
  <c r="C1705" i="4"/>
  <c r="B1705" i="4"/>
  <c r="D1704" i="4"/>
  <c r="C1704" i="4"/>
  <c r="B1704" i="4"/>
  <c r="D1703" i="4"/>
  <c r="C1703" i="4"/>
  <c r="B1703" i="4"/>
  <c r="D1702" i="4"/>
  <c r="C1702" i="4"/>
  <c r="B1702" i="4"/>
  <c r="D1701" i="4"/>
  <c r="C1701" i="4"/>
  <c r="B1701" i="4"/>
  <c r="D1700" i="4"/>
  <c r="C1700" i="4"/>
  <c r="B1700" i="4"/>
  <c r="C1699" i="4"/>
  <c r="B1699" i="4"/>
  <c r="C1698" i="4"/>
  <c r="B1698" i="4"/>
  <c r="C1697" i="4"/>
  <c r="B1697" i="4"/>
  <c r="D1696" i="4"/>
  <c r="C1696" i="4"/>
  <c r="B1696" i="4"/>
  <c r="D1695" i="4"/>
  <c r="C1695" i="4"/>
  <c r="B1695" i="4"/>
  <c r="C1694" i="4"/>
  <c r="B1694" i="4"/>
  <c r="D1693" i="4"/>
  <c r="C1693" i="4"/>
  <c r="B1693" i="4"/>
  <c r="C1692" i="4"/>
  <c r="B1692" i="4"/>
  <c r="C1691" i="4"/>
  <c r="B1691" i="4"/>
  <c r="D1690" i="4"/>
  <c r="C1690" i="4"/>
  <c r="B1690" i="4"/>
  <c r="D1689" i="4"/>
  <c r="C1689" i="4"/>
  <c r="B1689" i="4"/>
  <c r="D1688" i="4"/>
  <c r="C1688" i="4"/>
  <c r="B1688" i="4"/>
  <c r="D1687" i="4"/>
  <c r="C1687" i="4"/>
  <c r="B1687" i="4"/>
  <c r="D1686" i="4"/>
  <c r="C1686" i="4"/>
  <c r="B1686" i="4"/>
  <c r="C1685" i="4"/>
  <c r="B1685" i="4"/>
  <c r="C1684" i="4"/>
  <c r="B1684" i="4"/>
  <c r="D1683" i="4"/>
  <c r="C1683" i="4"/>
  <c r="B1683" i="4"/>
  <c r="D1682" i="4"/>
  <c r="C1682" i="4"/>
  <c r="B1682" i="4"/>
  <c r="D1681" i="4"/>
  <c r="C1681" i="4"/>
  <c r="B1681" i="4"/>
  <c r="D1680" i="4"/>
  <c r="C1680" i="4"/>
  <c r="B1680" i="4"/>
  <c r="D1679" i="4"/>
  <c r="C1679" i="4"/>
  <c r="B1679" i="4"/>
  <c r="D1678" i="4"/>
  <c r="C1678" i="4"/>
  <c r="B1678" i="4"/>
  <c r="D1677" i="4"/>
  <c r="C1677" i="4"/>
  <c r="B1677" i="4"/>
  <c r="C1676" i="4"/>
  <c r="B1676" i="4"/>
  <c r="D1675" i="4"/>
  <c r="C1675" i="4"/>
  <c r="B1675" i="4"/>
  <c r="D1674" i="4"/>
  <c r="C1674" i="4"/>
  <c r="B1674" i="4"/>
  <c r="D1673" i="4"/>
  <c r="C1673" i="4"/>
  <c r="B1673" i="4"/>
  <c r="D1672" i="4"/>
  <c r="C1672" i="4"/>
  <c r="B1672" i="4"/>
  <c r="D1671" i="4"/>
  <c r="C1671" i="4"/>
  <c r="B1671" i="4"/>
  <c r="D1670" i="4"/>
  <c r="C1670" i="4"/>
  <c r="B1670" i="4"/>
  <c r="D1669" i="4"/>
  <c r="C1669" i="4"/>
  <c r="B1669" i="4"/>
  <c r="D1668" i="4"/>
  <c r="C1668" i="4"/>
  <c r="B1668" i="4"/>
  <c r="C1667" i="4"/>
  <c r="B1667" i="4"/>
  <c r="D1666" i="4"/>
  <c r="C1666" i="4"/>
  <c r="B1666" i="4"/>
  <c r="C1665" i="4"/>
  <c r="B1665" i="4"/>
  <c r="D1663" i="4"/>
  <c r="C1663" i="4"/>
  <c r="B1663" i="4"/>
  <c r="D1662" i="4"/>
  <c r="C1662" i="4"/>
  <c r="B1662" i="4"/>
  <c r="D1661" i="4"/>
  <c r="C1661" i="4"/>
  <c r="B1661" i="4"/>
  <c r="D1660" i="4"/>
  <c r="C1660" i="4"/>
  <c r="B1660" i="4"/>
  <c r="D1659" i="4"/>
  <c r="C1659" i="4"/>
  <c r="B1659" i="4"/>
  <c r="D1658" i="4"/>
  <c r="C1658" i="4"/>
  <c r="B1658" i="4"/>
  <c r="C1657" i="4"/>
  <c r="B1657" i="4"/>
  <c r="C1656" i="4"/>
  <c r="B1656" i="4"/>
  <c r="D1655" i="4"/>
  <c r="C1655" i="4"/>
  <c r="B1655" i="4"/>
  <c r="D1654" i="4"/>
  <c r="C1654" i="4"/>
  <c r="B1654" i="4"/>
  <c r="D1653" i="4"/>
  <c r="C1653" i="4"/>
  <c r="B1653" i="4"/>
  <c r="D1652" i="4"/>
  <c r="C1652" i="4"/>
  <c r="B1652" i="4"/>
  <c r="D1651" i="4"/>
  <c r="C1651" i="4"/>
  <c r="B1651" i="4"/>
  <c r="C1650" i="4"/>
  <c r="B1650" i="4"/>
  <c r="C1649" i="4"/>
  <c r="B1649" i="4"/>
  <c r="D1648" i="4"/>
  <c r="C1648" i="4"/>
  <c r="B1648" i="4"/>
  <c r="D1647" i="4"/>
  <c r="C1647" i="4"/>
  <c r="B1647" i="4"/>
  <c r="D1646" i="4"/>
  <c r="C1646" i="4"/>
  <c r="B1646" i="4"/>
  <c r="D1645" i="4"/>
  <c r="C1645" i="4"/>
  <c r="B1645" i="4"/>
  <c r="C1644" i="4"/>
  <c r="B1644" i="4"/>
  <c r="C1643" i="4"/>
  <c r="B1643" i="4"/>
  <c r="D1642" i="4"/>
  <c r="C1642" i="4"/>
  <c r="B1642" i="4"/>
  <c r="D1641" i="4"/>
  <c r="C1641" i="4"/>
  <c r="B1641" i="4"/>
  <c r="D1640" i="4"/>
  <c r="C1640" i="4"/>
  <c r="B1640" i="4"/>
  <c r="D1639" i="4"/>
  <c r="C1639" i="4"/>
  <c r="B1639" i="4"/>
  <c r="D1638" i="4"/>
  <c r="C1638" i="4"/>
  <c r="B1638" i="4"/>
  <c r="C1637" i="4"/>
  <c r="B1637" i="4"/>
  <c r="D1636" i="4"/>
  <c r="C1636" i="4"/>
  <c r="B1636" i="4"/>
  <c r="D1635" i="4"/>
  <c r="C1635" i="4"/>
  <c r="B1635" i="4"/>
  <c r="D1634" i="4"/>
  <c r="C1634" i="4"/>
  <c r="B1634" i="4"/>
  <c r="C1633" i="4"/>
  <c r="B1633" i="4"/>
  <c r="C1632" i="4"/>
  <c r="B1632" i="4"/>
  <c r="D1631" i="4"/>
  <c r="C1631" i="4"/>
  <c r="B1631" i="4"/>
  <c r="D1630" i="4"/>
  <c r="C1630" i="4"/>
  <c r="B1630" i="4"/>
  <c r="D1629" i="4"/>
  <c r="C1629" i="4"/>
  <c r="B1629" i="4"/>
  <c r="C1628" i="4"/>
  <c r="B1628" i="4"/>
  <c r="D1627" i="4"/>
  <c r="C1627" i="4"/>
  <c r="B1627" i="4"/>
  <c r="C1626" i="4"/>
  <c r="B1626" i="4"/>
  <c r="C1625" i="4"/>
  <c r="B1625" i="4"/>
  <c r="D1624" i="4"/>
  <c r="C1624" i="4"/>
  <c r="B1624" i="4"/>
  <c r="D1623" i="4"/>
  <c r="C1623" i="4"/>
  <c r="B1623" i="4"/>
  <c r="D1622" i="4"/>
  <c r="C1622" i="4"/>
  <c r="B1622" i="4"/>
  <c r="D1621" i="4"/>
  <c r="C1621" i="4"/>
  <c r="B1621" i="4"/>
  <c r="C1620" i="4"/>
  <c r="B1620" i="4"/>
  <c r="C1619" i="4"/>
  <c r="B1619" i="4"/>
  <c r="D1618" i="4"/>
  <c r="C1618" i="4"/>
  <c r="B1618" i="4"/>
  <c r="D1617" i="4"/>
  <c r="C1617" i="4"/>
  <c r="B1617" i="4"/>
  <c r="D1616" i="4"/>
  <c r="C1616" i="4"/>
  <c r="B1616" i="4"/>
  <c r="D1615" i="4"/>
  <c r="C1615" i="4"/>
  <c r="B1615" i="4"/>
  <c r="C1614" i="4"/>
  <c r="B1614" i="4"/>
  <c r="C1613" i="4"/>
  <c r="B1613" i="4"/>
  <c r="C1612" i="4"/>
  <c r="B1612" i="4"/>
  <c r="D1611" i="4"/>
  <c r="C1611" i="4"/>
  <c r="B1611" i="4"/>
  <c r="D1610" i="4"/>
  <c r="C1610" i="4"/>
  <c r="B1610" i="4"/>
  <c r="D1609" i="4"/>
  <c r="C1609" i="4"/>
  <c r="B1609" i="4"/>
  <c r="D1608" i="4"/>
  <c r="C1608" i="4"/>
  <c r="B1608" i="4"/>
  <c r="D1607" i="4"/>
  <c r="C1607" i="4"/>
  <c r="B1607" i="4"/>
  <c r="D1606" i="4"/>
  <c r="C1606" i="4"/>
  <c r="B1606" i="4"/>
  <c r="C1605" i="4"/>
  <c r="B1605" i="4"/>
  <c r="C1604" i="4"/>
  <c r="B1604" i="4"/>
  <c r="D1603" i="4"/>
  <c r="C1603" i="4"/>
  <c r="B1603" i="4"/>
  <c r="D1602" i="4"/>
  <c r="C1602" i="4"/>
  <c r="B1602" i="4"/>
  <c r="D1601" i="4"/>
  <c r="C1601" i="4"/>
  <c r="B1601" i="4"/>
  <c r="D1600" i="4"/>
  <c r="C1600" i="4"/>
  <c r="B1600" i="4"/>
  <c r="D1599" i="4"/>
  <c r="C1599" i="4"/>
  <c r="B1599" i="4"/>
  <c r="D1598" i="4"/>
  <c r="C1598" i="4"/>
  <c r="B1598" i="4"/>
  <c r="D1597" i="4"/>
  <c r="C1597" i="4"/>
  <c r="B1597" i="4"/>
  <c r="D1596" i="4"/>
  <c r="C1596" i="4"/>
  <c r="B1596" i="4"/>
  <c r="D1595" i="4"/>
  <c r="C1595" i="4"/>
  <c r="B1595" i="4"/>
  <c r="D1594" i="4"/>
  <c r="C1594" i="4"/>
  <c r="B1594" i="4"/>
  <c r="C1593" i="4"/>
  <c r="B1593" i="4"/>
  <c r="C1591" i="4"/>
  <c r="B1591" i="4"/>
  <c r="D1590" i="4"/>
  <c r="C1590" i="4"/>
  <c r="B1590" i="4"/>
  <c r="D1589" i="4"/>
  <c r="C1589" i="4"/>
  <c r="B1589" i="4"/>
  <c r="D1588" i="4"/>
  <c r="C1588" i="4"/>
  <c r="B1588" i="4"/>
  <c r="D1587" i="4"/>
  <c r="C1587" i="4"/>
  <c r="B1587" i="4"/>
  <c r="D1586" i="4"/>
  <c r="C1586" i="4"/>
  <c r="B1586" i="4"/>
  <c r="C1585" i="4"/>
  <c r="B1585" i="4"/>
  <c r="C1584" i="4"/>
  <c r="B1584" i="4"/>
  <c r="D1583" i="4"/>
  <c r="C1583" i="4"/>
  <c r="B1583" i="4"/>
  <c r="D1582" i="4"/>
  <c r="C1582" i="4"/>
  <c r="B1582" i="4"/>
  <c r="D1581" i="4"/>
  <c r="C1581" i="4"/>
  <c r="B1581" i="4"/>
  <c r="D1580" i="4"/>
  <c r="C1580" i="4"/>
  <c r="B1580" i="4"/>
  <c r="D1579" i="4"/>
  <c r="C1579" i="4"/>
  <c r="B1579" i="4"/>
  <c r="C1578" i="4"/>
  <c r="B1578" i="4"/>
  <c r="C1577" i="4"/>
  <c r="B1577" i="4"/>
  <c r="D1576" i="4"/>
  <c r="C1576" i="4"/>
  <c r="B1576" i="4"/>
  <c r="D1575" i="4"/>
  <c r="C1575" i="4"/>
  <c r="B1575" i="4"/>
  <c r="D1574" i="4"/>
  <c r="C1574" i="4"/>
  <c r="B1574" i="4"/>
  <c r="D1573" i="4"/>
  <c r="C1573" i="4"/>
  <c r="B1573" i="4"/>
  <c r="C1572" i="4"/>
  <c r="B1572" i="4"/>
  <c r="C1571" i="4"/>
  <c r="B1571" i="4"/>
  <c r="D1570" i="4"/>
  <c r="C1570" i="4"/>
  <c r="B1570" i="4"/>
  <c r="D1569" i="4"/>
  <c r="C1569" i="4"/>
  <c r="B1569" i="4"/>
  <c r="D1568" i="4"/>
  <c r="C1568" i="4"/>
  <c r="B1568" i="4"/>
  <c r="D1567" i="4"/>
  <c r="C1567" i="4"/>
  <c r="B1567" i="4"/>
  <c r="D1566" i="4"/>
  <c r="C1566" i="4"/>
  <c r="B1566" i="4"/>
  <c r="D1565" i="4"/>
  <c r="C1565" i="4"/>
  <c r="B1565" i="4"/>
  <c r="D1564" i="4"/>
  <c r="C1564" i="4"/>
  <c r="B1564" i="4"/>
  <c r="D1563" i="4"/>
  <c r="C1563" i="4"/>
  <c r="B1563" i="4"/>
  <c r="D1562" i="4"/>
  <c r="C1562" i="4"/>
  <c r="B1562" i="4"/>
  <c r="D1561" i="4"/>
  <c r="C1561" i="4"/>
  <c r="B1561" i="4"/>
  <c r="C1560" i="4"/>
  <c r="B1560" i="4"/>
  <c r="D1559" i="4"/>
  <c r="C1559" i="4"/>
  <c r="B1559" i="4"/>
  <c r="D1558" i="4"/>
  <c r="C1558" i="4"/>
  <c r="B1558" i="4"/>
  <c r="D1557" i="4"/>
  <c r="C1557" i="4"/>
  <c r="B1557" i="4"/>
  <c r="D1556" i="4"/>
  <c r="C1556" i="4"/>
  <c r="B1556" i="4"/>
  <c r="C1555" i="4"/>
  <c r="B1555" i="4"/>
  <c r="C1554" i="4"/>
  <c r="B1554" i="4"/>
  <c r="C1553" i="4"/>
  <c r="B1553" i="4"/>
  <c r="D1552" i="4"/>
  <c r="C1552" i="4"/>
  <c r="B1552" i="4"/>
  <c r="D1551" i="4"/>
  <c r="C1551" i="4"/>
  <c r="B1551" i="4"/>
  <c r="D1550" i="4"/>
  <c r="C1550" i="4"/>
  <c r="B1550" i="4"/>
  <c r="D1549" i="4"/>
  <c r="C1549" i="4"/>
  <c r="B1549" i="4"/>
  <c r="C1548" i="4"/>
  <c r="B1548" i="4"/>
  <c r="C1547" i="4"/>
  <c r="B1547" i="4"/>
  <c r="D1546" i="4"/>
  <c r="C1546" i="4"/>
  <c r="B1546" i="4"/>
  <c r="D1545" i="4"/>
  <c r="C1545" i="4"/>
  <c r="B1545" i="4"/>
  <c r="D1544" i="4"/>
  <c r="C1544" i="4"/>
  <c r="B1544" i="4"/>
  <c r="D1543" i="4"/>
  <c r="C1543" i="4"/>
  <c r="B1543" i="4"/>
  <c r="D1542" i="4"/>
  <c r="C1542" i="4"/>
  <c r="B1542" i="4"/>
  <c r="C1541" i="4"/>
  <c r="B1541" i="4"/>
  <c r="C1540" i="4"/>
  <c r="B1540" i="4"/>
  <c r="D1539" i="4"/>
  <c r="C1539" i="4"/>
  <c r="B1539" i="4"/>
  <c r="D1538" i="4"/>
  <c r="C1538" i="4"/>
  <c r="B1538" i="4"/>
  <c r="D1537" i="4"/>
  <c r="C1537" i="4"/>
  <c r="B1537" i="4"/>
  <c r="D1536" i="4"/>
  <c r="C1536" i="4"/>
  <c r="B1536" i="4"/>
  <c r="D1535" i="4"/>
  <c r="C1535" i="4"/>
  <c r="B1535" i="4"/>
  <c r="D1534" i="4"/>
  <c r="C1534" i="4"/>
  <c r="B1534" i="4"/>
  <c r="C1533" i="4"/>
  <c r="B1533" i="4"/>
  <c r="C1532" i="4"/>
  <c r="B1532" i="4"/>
  <c r="D1531" i="4"/>
  <c r="C1531" i="4"/>
  <c r="B1531" i="4"/>
  <c r="D1530" i="4"/>
  <c r="C1530" i="4"/>
  <c r="B1530" i="4"/>
  <c r="D1529" i="4"/>
  <c r="C1529" i="4"/>
  <c r="B1529" i="4"/>
  <c r="D1528" i="4"/>
  <c r="C1528" i="4"/>
  <c r="B1528" i="4"/>
  <c r="D1527" i="4"/>
  <c r="C1527" i="4"/>
  <c r="B1527" i="4"/>
  <c r="D1526" i="4"/>
  <c r="C1526" i="4"/>
  <c r="B1526" i="4"/>
  <c r="D1525" i="4"/>
  <c r="C1525" i="4"/>
  <c r="B1525" i="4"/>
  <c r="D1524" i="4"/>
  <c r="C1524" i="4"/>
  <c r="B1524" i="4"/>
  <c r="C1523" i="4"/>
  <c r="B1523" i="4"/>
  <c r="D1522" i="4"/>
  <c r="C1522" i="4"/>
  <c r="B1522" i="4"/>
  <c r="C1521" i="4"/>
  <c r="B1521" i="4"/>
  <c r="C1519" i="4"/>
  <c r="B1519" i="4"/>
  <c r="D1518" i="4"/>
  <c r="C1518" i="4"/>
  <c r="B1518" i="4"/>
  <c r="D1517" i="4"/>
  <c r="C1517" i="4"/>
  <c r="B1517" i="4"/>
  <c r="D1516" i="4"/>
  <c r="C1516" i="4"/>
  <c r="B1516" i="4"/>
  <c r="D1515" i="4"/>
  <c r="C1515" i="4"/>
  <c r="B1515" i="4"/>
  <c r="D1514" i="4"/>
  <c r="C1514" i="4"/>
  <c r="B1514" i="4"/>
  <c r="C1513" i="4"/>
  <c r="B1513" i="4"/>
  <c r="C1512" i="4"/>
  <c r="B1512" i="4"/>
  <c r="D1511" i="4"/>
  <c r="C1511" i="4"/>
  <c r="B1511" i="4"/>
  <c r="D1510" i="4"/>
  <c r="C1510" i="4"/>
  <c r="B1510" i="4"/>
  <c r="D1509" i="4"/>
  <c r="C1509" i="4"/>
  <c r="B1509" i="4"/>
  <c r="D1508" i="4"/>
  <c r="C1508" i="4"/>
  <c r="B1508" i="4"/>
  <c r="D1507" i="4"/>
  <c r="C1507" i="4"/>
  <c r="B1507" i="4"/>
  <c r="C1506" i="4"/>
  <c r="B1506" i="4"/>
  <c r="C1505" i="4"/>
  <c r="B1505" i="4"/>
  <c r="D1504" i="4"/>
  <c r="C1504" i="4"/>
  <c r="B1504" i="4"/>
  <c r="D1503" i="4"/>
  <c r="C1503" i="4"/>
  <c r="B1503" i="4"/>
  <c r="D1502" i="4"/>
  <c r="C1502" i="4"/>
  <c r="B1502" i="4"/>
  <c r="D1501" i="4"/>
  <c r="C1501" i="4"/>
  <c r="B1501" i="4"/>
  <c r="C1500" i="4"/>
  <c r="B1500" i="4"/>
  <c r="C1499" i="4"/>
  <c r="B1499" i="4"/>
  <c r="D1498" i="4"/>
  <c r="C1498" i="4"/>
  <c r="B1498" i="4"/>
  <c r="D1497" i="4"/>
  <c r="C1497" i="4"/>
  <c r="B1497" i="4"/>
  <c r="D1496" i="4"/>
  <c r="C1496" i="4"/>
  <c r="B1496" i="4"/>
  <c r="D1495" i="4"/>
  <c r="C1495" i="4"/>
  <c r="B1495" i="4"/>
  <c r="D1494" i="4"/>
  <c r="C1494" i="4"/>
  <c r="B1494" i="4"/>
  <c r="D1493" i="4"/>
  <c r="C1493" i="4"/>
  <c r="B1493" i="4"/>
  <c r="D1492" i="4"/>
  <c r="C1492" i="4"/>
  <c r="B1492" i="4"/>
  <c r="D1491" i="4"/>
  <c r="C1491" i="4"/>
  <c r="B1491" i="4"/>
  <c r="D1490" i="4"/>
  <c r="C1490" i="4"/>
  <c r="B1490" i="4"/>
  <c r="C1489" i="4"/>
  <c r="B1489" i="4"/>
  <c r="C1488" i="4"/>
  <c r="B1488" i="4"/>
  <c r="D1487" i="4"/>
  <c r="C1487" i="4"/>
  <c r="B1487" i="4"/>
  <c r="D1486" i="4"/>
  <c r="C1486" i="4"/>
  <c r="B1486" i="4"/>
  <c r="D1485" i="4"/>
  <c r="C1485" i="4"/>
  <c r="B1485" i="4"/>
  <c r="D1484" i="4"/>
  <c r="C1484" i="4"/>
  <c r="B1484" i="4"/>
  <c r="D1483" i="4"/>
  <c r="C1483" i="4"/>
  <c r="B1483" i="4"/>
  <c r="C1482" i="4"/>
  <c r="B1482" i="4"/>
  <c r="C1481" i="4"/>
  <c r="B1481" i="4"/>
  <c r="D1480" i="4"/>
  <c r="C1480" i="4"/>
  <c r="B1480" i="4"/>
  <c r="D1479" i="4"/>
  <c r="C1479" i="4"/>
  <c r="B1479" i="4"/>
  <c r="D1478" i="4"/>
  <c r="C1478" i="4"/>
  <c r="B1478" i="4"/>
  <c r="D1477" i="4"/>
  <c r="C1477" i="4"/>
  <c r="B1477" i="4"/>
  <c r="C1476" i="4"/>
  <c r="B1476" i="4"/>
  <c r="C1475" i="4"/>
  <c r="B1475" i="4"/>
  <c r="D1474" i="4"/>
  <c r="C1474" i="4"/>
  <c r="B1474" i="4"/>
  <c r="D1473" i="4"/>
  <c r="C1473" i="4"/>
  <c r="B1473" i="4"/>
  <c r="D1472" i="4"/>
  <c r="C1472" i="4"/>
  <c r="B1472" i="4"/>
  <c r="D1471" i="4"/>
  <c r="C1471" i="4"/>
  <c r="B1471" i="4"/>
  <c r="D1470" i="4"/>
  <c r="C1470" i="4"/>
  <c r="B1470" i="4"/>
  <c r="D1469" i="4"/>
  <c r="C1469" i="4"/>
  <c r="B1469" i="4"/>
  <c r="C1468" i="4"/>
  <c r="B1468" i="4"/>
  <c r="D1467" i="4"/>
  <c r="C1467" i="4"/>
  <c r="B1467" i="4"/>
  <c r="D1466" i="4"/>
  <c r="C1466" i="4"/>
  <c r="B1466" i="4"/>
  <c r="D1465" i="4"/>
  <c r="C1465" i="4"/>
  <c r="B1465" i="4"/>
  <c r="D1464" i="4"/>
  <c r="C1464" i="4"/>
  <c r="B1464" i="4"/>
  <c r="D1463" i="4"/>
  <c r="C1463" i="4"/>
  <c r="B1463" i="4"/>
  <c r="D1462" i="4"/>
  <c r="C1462" i="4"/>
  <c r="B1462" i="4"/>
  <c r="D1461" i="4"/>
  <c r="C1461" i="4"/>
  <c r="B1461" i="4"/>
  <c r="C1460" i="4"/>
  <c r="B1460" i="4"/>
  <c r="D1459" i="4"/>
  <c r="C1459" i="4"/>
  <c r="B1459" i="4"/>
  <c r="D1458" i="4"/>
  <c r="C1458" i="4"/>
  <c r="B1458" i="4"/>
  <c r="D1457" i="4"/>
  <c r="C1457" i="4"/>
  <c r="B1457" i="4"/>
  <c r="D1456" i="4"/>
  <c r="C1456" i="4"/>
  <c r="B1456" i="4"/>
  <c r="D1455" i="4"/>
  <c r="C1455" i="4"/>
  <c r="B1455" i="4"/>
  <c r="D1454" i="4"/>
  <c r="C1454" i="4"/>
  <c r="B1454" i="4"/>
  <c r="D1453" i="4"/>
  <c r="C1453" i="4"/>
  <c r="B1453" i="4"/>
  <c r="D1452" i="4"/>
  <c r="C1452" i="4"/>
  <c r="B1452" i="4"/>
  <c r="D1451" i="4"/>
  <c r="C1451" i="4"/>
  <c r="B1451" i="4"/>
  <c r="D1450" i="4"/>
  <c r="C1450" i="4"/>
  <c r="B1450" i="4"/>
  <c r="C1449" i="4"/>
  <c r="B1449" i="4"/>
  <c r="C1447" i="4"/>
  <c r="B1447" i="4"/>
  <c r="D1446" i="4"/>
  <c r="C1446" i="4"/>
  <c r="B1446" i="4"/>
  <c r="D1445" i="4"/>
  <c r="C1445" i="4"/>
  <c r="B1445" i="4"/>
  <c r="D1444" i="4"/>
  <c r="C1444" i="4"/>
  <c r="B1444" i="4"/>
  <c r="D1443" i="4"/>
  <c r="C1443" i="4"/>
  <c r="B1443" i="4"/>
  <c r="D1442" i="4"/>
  <c r="C1442" i="4"/>
  <c r="B1442" i="4"/>
  <c r="C1441" i="4"/>
  <c r="B1441" i="4"/>
  <c r="C1440" i="4"/>
  <c r="B1440" i="4"/>
  <c r="D1439" i="4"/>
  <c r="C1439" i="4"/>
  <c r="B1439" i="4"/>
  <c r="D1438" i="4"/>
  <c r="C1438" i="4"/>
  <c r="B1438" i="4"/>
  <c r="D1437" i="4"/>
  <c r="C1437" i="4"/>
  <c r="B1437" i="4"/>
  <c r="D1436" i="4"/>
  <c r="C1436" i="4"/>
  <c r="B1436" i="4"/>
  <c r="D1435" i="4"/>
  <c r="C1435" i="4"/>
  <c r="B1435" i="4"/>
  <c r="C1434" i="4"/>
  <c r="B1434" i="4"/>
  <c r="C1433" i="4"/>
  <c r="B1433" i="4"/>
  <c r="D1432" i="4"/>
  <c r="C1432" i="4"/>
  <c r="B1432" i="4"/>
  <c r="D1431" i="4"/>
  <c r="C1431" i="4"/>
  <c r="B1431" i="4"/>
  <c r="D1430" i="4"/>
  <c r="C1430" i="4"/>
  <c r="B1430" i="4"/>
  <c r="D1429" i="4"/>
  <c r="C1429" i="4"/>
  <c r="B1429" i="4"/>
  <c r="D1428" i="4"/>
  <c r="C1428" i="4"/>
  <c r="B1428" i="4"/>
  <c r="C1427" i="4"/>
  <c r="B1427" i="4"/>
  <c r="D1426" i="4"/>
  <c r="C1426" i="4"/>
  <c r="B1426" i="4"/>
  <c r="D1425" i="4"/>
  <c r="C1425" i="4"/>
  <c r="B1425" i="4"/>
  <c r="D1424" i="4"/>
  <c r="C1424" i="4"/>
  <c r="B1424" i="4"/>
  <c r="D1423" i="4"/>
  <c r="C1423" i="4"/>
  <c r="B1423" i="4"/>
  <c r="D1422" i="4"/>
  <c r="C1422" i="4"/>
  <c r="B1422" i="4"/>
  <c r="D1421" i="4"/>
  <c r="C1421" i="4"/>
  <c r="B1421" i="4"/>
  <c r="D1420" i="4"/>
  <c r="C1420" i="4"/>
  <c r="B1420" i="4"/>
  <c r="D1419" i="4"/>
  <c r="C1419" i="4"/>
  <c r="B1419" i="4"/>
  <c r="D1418" i="4"/>
  <c r="C1418" i="4"/>
  <c r="B1418" i="4"/>
  <c r="C1417" i="4"/>
  <c r="B1417" i="4"/>
  <c r="C1416" i="4"/>
  <c r="B1416" i="4"/>
  <c r="D1415" i="4"/>
  <c r="C1415" i="4"/>
  <c r="B1415" i="4"/>
  <c r="D1414" i="4"/>
  <c r="C1414" i="4"/>
  <c r="B1414" i="4"/>
  <c r="D1413" i="4"/>
  <c r="C1413" i="4"/>
  <c r="B1413" i="4"/>
  <c r="D1412" i="4"/>
  <c r="C1412" i="4"/>
  <c r="B1412" i="4"/>
  <c r="D1411" i="4"/>
  <c r="C1411" i="4"/>
  <c r="B1411" i="4"/>
  <c r="C1410" i="4"/>
  <c r="B1410" i="4"/>
  <c r="C1409" i="4"/>
  <c r="B1409" i="4"/>
  <c r="D1408" i="4"/>
  <c r="C1408" i="4"/>
  <c r="B1408" i="4"/>
  <c r="D1407" i="4"/>
  <c r="C1407" i="4"/>
  <c r="B1407" i="4"/>
  <c r="C1406" i="4"/>
  <c r="B1406" i="4"/>
  <c r="D1405" i="4"/>
  <c r="C1405" i="4"/>
  <c r="B1405" i="4"/>
  <c r="D1404" i="4"/>
  <c r="C1404" i="4"/>
  <c r="B1404" i="4"/>
  <c r="C1403" i="4"/>
  <c r="B1403" i="4"/>
  <c r="D1402" i="4"/>
  <c r="C1402" i="4"/>
  <c r="B1402" i="4"/>
  <c r="D1401" i="4"/>
  <c r="C1401" i="4"/>
  <c r="B1401" i="4"/>
  <c r="D1400" i="4"/>
  <c r="C1400" i="4"/>
  <c r="B1400" i="4"/>
  <c r="D1399" i="4"/>
  <c r="C1399" i="4"/>
  <c r="B1399" i="4"/>
  <c r="D1398" i="4"/>
  <c r="C1398" i="4"/>
  <c r="B1398" i="4"/>
  <c r="C1397" i="4"/>
  <c r="B1397" i="4"/>
  <c r="D1396" i="4"/>
  <c r="C1396" i="4"/>
  <c r="B1396" i="4"/>
  <c r="D1395" i="4"/>
  <c r="C1395" i="4"/>
  <c r="B1395" i="4"/>
  <c r="D1394" i="4"/>
  <c r="C1394" i="4"/>
  <c r="B1394" i="4"/>
  <c r="D1393" i="4"/>
  <c r="C1393" i="4"/>
  <c r="B1393" i="4"/>
  <c r="D1392" i="4"/>
  <c r="C1392" i="4"/>
  <c r="B1392" i="4"/>
  <c r="D1391" i="4"/>
  <c r="C1391" i="4"/>
  <c r="B1391" i="4"/>
  <c r="D1390" i="4"/>
  <c r="C1390" i="4"/>
  <c r="B1390" i="4"/>
  <c r="C1389" i="4"/>
  <c r="B1389" i="4"/>
  <c r="D1388" i="4"/>
  <c r="C1388" i="4"/>
  <c r="B1388" i="4"/>
  <c r="D1387" i="4"/>
  <c r="C1387" i="4"/>
  <c r="B1387" i="4"/>
  <c r="D1386" i="4"/>
  <c r="C1386" i="4"/>
  <c r="B1386" i="4"/>
  <c r="D1385" i="4"/>
  <c r="C1385" i="4"/>
  <c r="B1385" i="4"/>
  <c r="D1384" i="4"/>
  <c r="C1384" i="4"/>
  <c r="B1384" i="4"/>
  <c r="C1383" i="4"/>
  <c r="B1383" i="4"/>
  <c r="D1382" i="4"/>
  <c r="C1382" i="4"/>
  <c r="B1382" i="4"/>
  <c r="D1381" i="4"/>
  <c r="C1381" i="4"/>
  <c r="B1381" i="4"/>
  <c r="D1380" i="4"/>
  <c r="C1380" i="4"/>
  <c r="B1380" i="4"/>
  <c r="C1379" i="4"/>
  <c r="B1379" i="4"/>
  <c r="D1378" i="4"/>
  <c r="C1378" i="4"/>
  <c r="B1378" i="4"/>
  <c r="C1377" i="4"/>
  <c r="B1377" i="4"/>
  <c r="C1375" i="4"/>
  <c r="B1375" i="4"/>
  <c r="D1374" i="4"/>
  <c r="C1374" i="4"/>
  <c r="B1374" i="4"/>
  <c r="D1373" i="4"/>
  <c r="C1373" i="4"/>
  <c r="B1373" i="4"/>
  <c r="D1372" i="4"/>
  <c r="C1372" i="4"/>
  <c r="B1372" i="4"/>
  <c r="D1371" i="4"/>
  <c r="C1371" i="4"/>
  <c r="B1371" i="4"/>
  <c r="D1370" i="4"/>
  <c r="C1370" i="4"/>
  <c r="B1370" i="4"/>
  <c r="C1369" i="4"/>
  <c r="B1369" i="4"/>
  <c r="C1368" i="4"/>
  <c r="B1368" i="4"/>
  <c r="D1367" i="4"/>
  <c r="C1367" i="4"/>
  <c r="B1367" i="4"/>
  <c r="D1366" i="4"/>
  <c r="C1366" i="4"/>
  <c r="B1366" i="4"/>
  <c r="D1365" i="4"/>
  <c r="C1365" i="4"/>
  <c r="B1365" i="4"/>
  <c r="D1364" i="4"/>
  <c r="C1364" i="4"/>
  <c r="B1364" i="4"/>
  <c r="D1363" i="4"/>
  <c r="C1363" i="4"/>
  <c r="B1363" i="4"/>
  <c r="C1362" i="4"/>
  <c r="B1362" i="4"/>
  <c r="C1361" i="4"/>
  <c r="B1361" i="4"/>
  <c r="D1360" i="4"/>
  <c r="C1360" i="4"/>
  <c r="B1360" i="4"/>
  <c r="D1359" i="4"/>
  <c r="C1359" i="4"/>
  <c r="B1359" i="4"/>
  <c r="D1358" i="4"/>
  <c r="C1358" i="4"/>
  <c r="B1358" i="4"/>
  <c r="D1357" i="4"/>
  <c r="C1357" i="4"/>
  <c r="B1357" i="4"/>
  <c r="C1356" i="4"/>
  <c r="B1356" i="4"/>
  <c r="D1355" i="4"/>
  <c r="C1355" i="4"/>
  <c r="B1355" i="4"/>
  <c r="D1354" i="4"/>
  <c r="C1354" i="4"/>
  <c r="B1354" i="4"/>
  <c r="D1353" i="4"/>
  <c r="C1353" i="4"/>
  <c r="B1353" i="4"/>
  <c r="D1352" i="4"/>
  <c r="C1352" i="4"/>
  <c r="B1352" i="4"/>
  <c r="D1351" i="4"/>
  <c r="C1351" i="4"/>
  <c r="B1351" i="4"/>
  <c r="D1350" i="4"/>
  <c r="C1350" i="4"/>
  <c r="B1350" i="4"/>
  <c r="D1349" i="4"/>
  <c r="C1349" i="4"/>
  <c r="B1349" i="4"/>
  <c r="D1348" i="4"/>
  <c r="C1348" i="4"/>
  <c r="B1348" i="4"/>
  <c r="D1347" i="4"/>
  <c r="C1347" i="4"/>
  <c r="B1347" i="4"/>
  <c r="D1346" i="4"/>
  <c r="C1346" i="4"/>
  <c r="B1346" i="4"/>
  <c r="C1345" i="4"/>
  <c r="B1345" i="4"/>
  <c r="C1344" i="4"/>
  <c r="B1344" i="4"/>
  <c r="D1343" i="4"/>
  <c r="C1343" i="4"/>
  <c r="B1343" i="4"/>
  <c r="D1342" i="4"/>
  <c r="C1342" i="4"/>
  <c r="B1342" i="4"/>
  <c r="D1341" i="4"/>
  <c r="C1341" i="4"/>
  <c r="B1341" i="4"/>
  <c r="D1340" i="4"/>
  <c r="C1340" i="4"/>
  <c r="B1340" i="4"/>
  <c r="D1339" i="4"/>
  <c r="C1339" i="4"/>
  <c r="B1339" i="4"/>
  <c r="C1338" i="4"/>
  <c r="B1338" i="4"/>
  <c r="C1337" i="4"/>
  <c r="B1337" i="4"/>
  <c r="D1336" i="4"/>
  <c r="C1336" i="4"/>
  <c r="B1336" i="4"/>
  <c r="D1335" i="4"/>
  <c r="C1335" i="4"/>
  <c r="B1335" i="4"/>
  <c r="D1334" i="4"/>
  <c r="C1334" i="4"/>
  <c r="B1334" i="4"/>
  <c r="D1333" i="4"/>
  <c r="C1333" i="4"/>
  <c r="B1333" i="4"/>
  <c r="C1332" i="4"/>
  <c r="B1332" i="4"/>
  <c r="D1331" i="4"/>
  <c r="C1331" i="4"/>
  <c r="B1331" i="4"/>
  <c r="D1330" i="4"/>
  <c r="C1330" i="4"/>
  <c r="B1330" i="4"/>
  <c r="D1329" i="4"/>
  <c r="C1329" i="4"/>
  <c r="B1329" i="4"/>
  <c r="D1328" i="4"/>
  <c r="C1328" i="4"/>
  <c r="B1328" i="4"/>
  <c r="D1327" i="4"/>
  <c r="C1327" i="4"/>
  <c r="B1327" i="4"/>
  <c r="D1326" i="4"/>
  <c r="C1326" i="4"/>
  <c r="B1326" i="4"/>
  <c r="C1325" i="4"/>
  <c r="B1325" i="4"/>
  <c r="C1324" i="4"/>
  <c r="B1324" i="4"/>
  <c r="D1323" i="4"/>
  <c r="C1323" i="4"/>
  <c r="B1323" i="4"/>
  <c r="D1322" i="4"/>
  <c r="C1322" i="4"/>
  <c r="B1322" i="4"/>
  <c r="D1321" i="4"/>
  <c r="C1321" i="4"/>
  <c r="B1321" i="4"/>
  <c r="D1320" i="4"/>
  <c r="C1320" i="4"/>
  <c r="B1320" i="4"/>
  <c r="D1319" i="4"/>
  <c r="C1319" i="4"/>
  <c r="B1319" i="4"/>
  <c r="D1318" i="4"/>
  <c r="C1318" i="4"/>
  <c r="B1318" i="4"/>
  <c r="C1317" i="4"/>
  <c r="B1317" i="4"/>
  <c r="C1316" i="4"/>
  <c r="B1316" i="4"/>
  <c r="D1315" i="4"/>
  <c r="C1315" i="4"/>
  <c r="B1315" i="4"/>
  <c r="D1314" i="4"/>
  <c r="C1314" i="4"/>
  <c r="B1314" i="4"/>
  <c r="D1313" i="4"/>
  <c r="C1313" i="4"/>
  <c r="B1313" i="4"/>
  <c r="D1312" i="4"/>
  <c r="C1312" i="4"/>
  <c r="B1312" i="4"/>
  <c r="D1311" i="4"/>
  <c r="C1311" i="4"/>
  <c r="B1311" i="4"/>
  <c r="D1310" i="4"/>
  <c r="C1310" i="4"/>
  <c r="B1310" i="4"/>
  <c r="D1309" i="4"/>
  <c r="C1309" i="4"/>
  <c r="B1309" i="4"/>
  <c r="D1308" i="4"/>
  <c r="C1308" i="4"/>
  <c r="B1308" i="4"/>
  <c r="D1307" i="4"/>
  <c r="C1307" i="4"/>
  <c r="B1307" i="4"/>
  <c r="D1306" i="4"/>
  <c r="C1306" i="4"/>
  <c r="B1306" i="4"/>
  <c r="C1305" i="4"/>
  <c r="B1305" i="4"/>
  <c r="C1303" i="4"/>
  <c r="B1303" i="4"/>
  <c r="D1302" i="4"/>
  <c r="C1302" i="4"/>
  <c r="B1302" i="4"/>
  <c r="D1301" i="4"/>
  <c r="C1301" i="4"/>
  <c r="B1301" i="4"/>
  <c r="D1300" i="4"/>
  <c r="C1300" i="4"/>
  <c r="B1300" i="4"/>
  <c r="D1299" i="4"/>
  <c r="C1299" i="4"/>
  <c r="B1299" i="4"/>
  <c r="D1298" i="4"/>
  <c r="C1298" i="4"/>
  <c r="B1298" i="4"/>
  <c r="C1297" i="4"/>
  <c r="B1297" i="4"/>
  <c r="D1296" i="4"/>
  <c r="C1296" i="4"/>
  <c r="B1296" i="4"/>
  <c r="D1295" i="4"/>
  <c r="C1295" i="4"/>
  <c r="B1295" i="4"/>
  <c r="D1294" i="4"/>
  <c r="C1294" i="4"/>
  <c r="B1294" i="4"/>
  <c r="D1293" i="4"/>
  <c r="C1293" i="4"/>
  <c r="B1293" i="4"/>
  <c r="D1292" i="4"/>
  <c r="C1292" i="4"/>
  <c r="B1292" i="4"/>
  <c r="D1291" i="4"/>
  <c r="C1291" i="4"/>
  <c r="B1291" i="4"/>
  <c r="D1290" i="4"/>
  <c r="C1290" i="4"/>
  <c r="B1290" i="4"/>
  <c r="C1289" i="4"/>
  <c r="B1289" i="4"/>
  <c r="D1288" i="4"/>
  <c r="C1288" i="4"/>
  <c r="B1288" i="4"/>
  <c r="D1287" i="4"/>
  <c r="C1287" i="4"/>
  <c r="B1287" i="4"/>
  <c r="D1286" i="4"/>
  <c r="C1286" i="4"/>
  <c r="B1286" i="4"/>
  <c r="D1285" i="4"/>
  <c r="C1285" i="4"/>
  <c r="B1285" i="4"/>
  <c r="C1284" i="4"/>
  <c r="B1284" i="4"/>
  <c r="C1283" i="4"/>
  <c r="B1283" i="4"/>
  <c r="D1282" i="4"/>
  <c r="C1282" i="4"/>
  <c r="B1282" i="4"/>
  <c r="D1281" i="4"/>
  <c r="C1281" i="4"/>
  <c r="B1281" i="4"/>
  <c r="D1280" i="4"/>
  <c r="C1280" i="4"/>
  <c r="B1280" i="4"/>
  <c r="D1279" i="4"/>
  <c r="C1279" i="4"/>
  <c r="B1279" i="4"/>
  <c r="D1278" i="4"/>
  <c r="C1278" i="4"/>
  <c r="B1278" i="4"/>
  <c r="D1277" i="4"/>
  <c r="C1277" i="4"/>
  <c r="B1277" i="4"/>
  <c r="D1276" i="4"/>
  <c r="C1276" i="4"/>
  <c r="B1276" i="4"/>
  <c r="D1275" i="4"/>
  <c r="C1275" i="4"/>
  <c r="B1275" i="4"/>
  <c r="D1274" i="4"/>
  <c r="C1274" i="4"/>
  <c r="B1274" i="4"/>
  <c r="C1273" i="4"/>
  <c r="B1273" i="4"/>
  <c r="C1272" i="4"/>
  <c r="B1272" i="4"/>
  <c r="D1271" i="4"/>
  <c r="C1271" i="4"/>
  <c r="B1271" i="4"/>
  <c r="D1270" i="4"/>
  <c r="C1270" i="4"/>
  <c r="B1270" i="4"/>
  <c r="D1269" i="4"/>
  <c r="C1269" i="4"/>
  <c r="B1269" i="4"/>
  <c r="D1268" i="4"/>
  <c r="C1268" i="4"/>
  <c r="B1268" i="4"/>
  <c r="C1267" i="4"/>
  <c r="B1267" i="4"/>
  <c r="C1266" i="4"/>
  <c r="B1266" i="4"/>
  <c r="C1265" i="4"/>
  <c r="B1265" i="4"/>
  <c r="D1264" i="4"/>
  <c r="C1264" i="4"/>
  <c r="B1264" i="4"/>
  <c r="D1263" i="4"/>
  <c r="C1263" i="4"/>
  <c r="B1263" i="4"/>
  <c r="C1262" i="4"/>
  <c r="B1262" i="4"/>
  <c r="D1261" i="4"/>
  <c r="C1261" i="4"/>
  <c r="B1261" i="4"/>
  <c r="C1260" i="4"/>
  <c r="B1260" i="4"/>
  <c r="C1259" i="4"/>
  <c r="B1259" i="4"/>
  <c r="D1258" i="4"/>
  <c r="C1258" i="4"/>
  <c r="B1258" i="4"/>
  <c r="D1257" i="4"/>
  <c r="C1257" i="4"/>
  <c r="B1257" i="4"/>
  <c r="D1256" i="4"/>
  <c r="C1256" i="4"/>
  <c r="B1256" i="4"/>
  <c r="D1255" i="4"/>
  <c r="C1255" i="4"/>
  <c r="B1255" i="4"/>
  <c r="D1254" i="4"/>
  <c r="C1254" i="4"/>
  <c r="B1254" i="4"/>
  <c r="C1253" i="4"/>
  <c r="B1253" i="4"/>
  <c r="C1252" i="4"/>
  <c r="B1252" i="4"/>
  <c r="D1251" i="4"/>
  <c r="C1251" i="4"/>
  <c r="B1251" i="4"/>
  <c r="D1250" i="4"/>
  <c r="C1250" i="4"/>
  <c r="B1250" i="4"/>
  <c r="D1249" i="4"/>
  <c r="C1249" i="4"/>
  <c r="B1249" i="4"/>
  <c r="D1248" i="4"/>
  <c r="C1248" i="4"/>
  <c r="B1248" i="4"/>
  <c r="C1247" i="4"/>
  <c r="B1247" i="4"/>
  <c r="D1246" i="4"/>
  <c r="C1246" i="4"/>
  <c r="B1246" i="4"/>
  <c r="C1245" i="4"/>
  <c r="B1245" i="4"/>
  <c r="C1244" i="4"/>
  <c r="B1244" i="4"/>
  <c r="D1243" i="4"/>
  <c r="C1243" i="4"/>
  <c r="B1243" i="4"/>
  <c r="C1242" i="4"/>
  <c r="B1242" i="4"/>
  <c r="C1241" i="4"/>
  <c r="B1241" i="4"/>
  <c r="D1240" i="4"/>
  <c r="C1240" i="4"/>
  <c r="B1240" i="4"/>
  <c r="D1239" i="4"/>
  <c r="C1239" i="4"/>
  <c r="B1239" i="4"/>
  <c r="C1238" i="4"/>
  <c r="B1238" i="4"/>
  <c r="C1237" i="4"/>
  <c r="B1237" i="4"/>
  <c r="D1236" i="4"/>
  <c r="C1236" i="4"/>
  <c r="B1236" i="4"/>
  <c r="C1235" i="4"/>
  <c r="B1235" i="4"/>
  <c r="C1234" i="4"/>
  <c r="B1234" i="4"/>
  <c r="C1233" i="4"/>
  <c r="B1233" i="4"/>
  <c r="C1231" i="4"/>
  <c r="B1231" i="4"/>
  <c r="D1230" i="4"/>
  <c r="C1230" i="4"/>
  <c r="B1230" i="4"/>
  <c r="D1229" i="4"/>
  <c r="C1229" i="4"/>
  <c r="B1229" i="4"/>
  <c r="D1228" i="4"/>
  <c r="C1228" i="4"/>
  <c r="B1228" i="4"/>
  <c r="D1227" i="4"/>
  <c r="C1227" i="4"/>
  <c r="B1227" i="4"/>
  <c r="D1226" i="4"/>
  <c r="C1226" i="4"/>
  <c r="B1226" i="4"/>
  <c r="C1225" i="4"/>
  <c r="B1225" i="4"/>
  <c r="C1224" i="4"/>
  <c r="B1224" i="4"/>
  <c r="D1223" i="4"/>
  <c r="C1223" i="4"/>
  <c r="B1223" i="4"/>
  <c r="D1222" i="4"/>
  <c r="C1222" i="4"/>
  <c r="B1222" i="4"/>
  <c r="D1221" i="4"/>
  <c r="C1221" i="4"/>
  <c r="B1221" i="4"/>
  <c r="D1220" i="4"/>
  <c r="C1220" i="4"/>
  <c r="B1220" i="4"/>
  <c r="D1219" i="4"/>
  <c r="C1219" i="4"/>
  <c r="B1219" i="4"/>
  <c r="C1218" i="4"/>
  <c r="B1218" i="4"/>
  <c r="C1217" i="4"/>
  <c r="B1217" i="4"/>
  <c r="D1216" i="4"/>
  <c r="C1216" i="4"/>
  <c r="B1216" i="4"/>
  <c r="D1215" i="4"/>
  <c r="C1215" i="4"/>
  <c r="B1215" i="4"/>
  <c r="D1214" i="4"/>
  <c r="C1214" i="4"/>
  <c r="B1214" i="4"/>
  <c r="D1213" i="4"/>
  <c r="C1213" i="4"/>
  <c r="B1213" i="4"/>
  <c r="C1212" i="4"/>
  <c r="B1212" i="4"/>
  <c r="C1211" i="4"/>
  <c r="B1211" i="4"/>
  <c r="D1210" i="4"/>
  <c r="C1210" i="4"/>
  <c r="B1210" i="4"/>
  <c r="D1209" i="4"/>
  <c r="C1209" i="4"/>
  <c r="B1209" i="4"/>
  <c r="D1208" i="4"/>
  <c r="C1208" i="4"/>
  <c r="B1208" i="4"/>
  <c r="D1207" i="4"/>
  <c r="C1207" i="4"/>
  <c r="B1207" i="4"/>
  <c r="D1206" i="4"/>
  <c r="C1206" i="4"/>
  <c r="B1206" i="4"/>
  <c r="D1205" i="4"/>
  <c r="C1205" i="4"/>
  <c r="B1205" i="4"/>
  <c r="D1204" i="4"/>
  <c r="C1204" i="4"/>
  <c r="B1204" i="4"/>
  <c r="D1203" i="4"/>
  <c r="C1203" i="4"/>
  <c r="B1203" i="4"/>
  <c r="D1202" i="4"/>
  <c r="C1202" i="4"/>
  <c r="B1202" i="4"/>
  <c r="C1201" i="4"/>
  <c r="B1201" i="4"/>
  <c r="C1200" i="4"/>
  <c r="B1200" i="4"/>
  <c r="D1199" i="4"/>
  <c r="C1199" i="4"/>
  <c r="B1199" i="4"/>
  <c r="D1198" i="4"/>
  <c r="C1198" i="4"/>
  <c r="B1198" i="4"/>
  <c r="D1197" i="4"/>
  <c r="C1197" i="4"/>
  <c r="B1197" i="4"/>
  <c r="D1196" i="4"/>
  <c r="C1196" i="4"/>
  <c r="B1196" i="4"/>
  <c r="D1195" i="4"/>
  <c r="C1195" i="4"/>
  <c r="B1195" i="4"/>
  <c r="C1194" i="4"/>
  <c r="B1194" i="4"/>
  <c r="C1193" i="4"/>
  <c r="B1193" i="4"/>
  <c r="D1192" i="4"/>
  <c r="C1192" i="4"/>
  <c r="B1192" i="4"/>
  <c r="D1191" i="4"/>
  <c r="C1191" i="4"/>
  <c r="B1191" i="4"/>
  <c r="D1190" i="4"/>
  <c r="C1190" i="4"/>
  <c r="B1190" i="4"/>
  <c r="D1189" i="4"/>
  <c r="C1189" i="4"/>
  <c r="B1189" i="4"/>
  <c r="C1188" i="4"/>
  <c r="B1188" i="4"/>
  <c r="C1187" i="4"/>
  <c r="B1187" i="4"/>
  <c r="D1186" i="4"/>
  <c r="C1186" i="4"/>
  <c r="B1186" i="4"/>
  <c r="D1185" i="4"/>
  <c r="C1185" i="4"/>
  <c r="B1185" i="4"/>
  <c r="D1184" i="4"/>
  <c r="C1184" i="4"/>
  <c r="B1184" i="4"/>
  <c r="D1183" i="4"/>
  <c r="C1183" i="4"/>
  <c r="B1183" i="4"/>
  <c r="D1182" i="4"/>
  <c r="C1182" i="4"/>
  <c r="B1182" i="4"/>
  <c r="C1181" i="4"/>
  <c r="B1181" i="4"/>
  <c r="C1180" i="4"/>
  <c r="B1180" i="4"/>
  <c r="D1179" i="4"/>
  <c r="C1179" i="4"/>
  <c r="B1179" i="4"/>
  <c r="D1178" i="4"/>
  <c r="C1178" i="4"/>
  <c r="B1178" i="4"/>
  <c r="D1177" i="4"/>
  <c r="C1177" i="4"/>
  <c r="B1177" i="4"/>
  <c r="D1176" i="4"/>
  <c r="C1176" i="4"/>
  <c r="B1176" i="4"/>
  <c r="D1175" i="4"/>
  <c r="C1175" i="4"/>
  <c r="B1175" i="4"/>
  <c r="D1174" i="4"/>
  <c r="C1174" i="4"/>
  <c r="B1174" i="4"/>
  <c r="C1173" i="4"/>
  <c r="B1173" i="4"/>
  <c r="C1172" i="4"/>
  <c r="B1172" i="4"/>
  <c r="D1171" i="4"/>
  <c r="C1171" i="4"/>
  <c r="B1171" i="4"/>
  <c r="D1170" i="4"/>
  <c r="C1170" i="4"/>
  <c r="B1170" i="4"/>
  <c r="D1169" i="4"/>
  <c r="C1169" i="4"/>
  <c r="B1169" i="4"/>
  <c r="D1168" i="4"/>
  <c r="C1168" i="4"/>
  <c r="B1168" i="4"/>
  <c r="D1167" i="4"/>
  <c r="C1167" i="4"/>
  <c r="B1167" i="4"/>
  <c r="D1166" i="4"/>
  <c r="C1166" i="4"/>
  <c r="B1166" i="4"/>
  <c r="D1165" i="4"/>
  <c r="C1165" i="4"/>
  <c r="B1165" i="4"/>
  <c r="D1164" i="4"/>
  <c r="C1164" i="4"/>
  <c r="B1164" i="4"/>
  <c r="D1163" i="4"/>
  <c r="C1163" i="4"/>
  <c r="B1163" i="4"/>
  <c r="D1162" i="4"/>
  <c r="C1162" i="4"/>
  <c r="B1162" i="4"/>
  <c r="C1161" i="4"/>
  <c r="B1161" i="4"/>
  <c r="C1159" i="4"/>
  <c r="B1159" i="4"/>
  <c r="D1158" i="4"/>
  <c r="C1158" i="4"/>
  <c r="B1158" i="4"/>
  <c r="D1157" i="4"/>
  <c r="C1157" i="4"/>
  <c r="B1157" i="4"/>
  <c r="D1156" i="4"/>
  <c r="C1156" i="4"/>
  <c r="B1156" i="4"/>
  <c r="D1155" i="4"/>
  <c r="C1155" i="4"/>
  <c r="B1155" i="4"/>
  <c r="D1154" i="4"/>
  <c r="C1154" i="4"/>
  <c r="B1154" i="4"/>
  <c r="C1153" i="4"/>
  <c r="B1153" i="4"/>
  <c r="C1152" i="4"/>
  <c r="B1152" i="4"/>
  <c r="D1151" i="4"/>
  <c r="C1151" i="4"/>
  <c r="B1151" i="4"/>
  <c r="D1150" i="4"/>
  <c r="C1150" i="4"/>
  <c r="B1150" i="4"/>
  <c r="D1149" i="4"/>
  <c r="C1149" i="4"/>
  <c r="B1149" i="4"/>
  <c r="D1148" i="4"/>
  <c r="C1148" i="4"/>
  <c r="B1148" i="4"/>
  <c r="D1147" i="4"/>
  <c r="C1147" i="4"/>
  <c r="B1147" i="4"/>
  <c r="C1146" i="4"/>
  <c r="B1146" i="4"/>
  <c r="C1145" i="4"/>
  <c r="B1145" i="4"/>
  <c r="D1144" i="4"/>
  <c r="C1144" i="4"/>
  <c r="B1144" i="4"/>
  <c r="D1143" i="4"/>
  <c r="C1143" i="4"/>
  <c r="B1143" i="4"/>
  <c r="D1142" i="4"/>
  <c r="C1142" i="4"/>
  <c r="B1142" i="4"/>
  <c r="D1141" i="4"/>
  <c r="C1141" i="4"/>
  <c r="B1141" i="4"/>
  <c r="C1140" i="4"/>
  <c r="B1140" i="4"/>
  <c r="C1139" i="4"/>
  <c r="B1139" i="4"/>
  <c r="D1138" i="4"/>
  <c r="C1138" i="4"/>
  <c r="B1138" i="4"/>
  <c r="D1137" i="4"/>
  <c r="C1137" i="4"/>
  <c r="B1137" i="4"/>
  <c r="D1136" i="4"/>
  <c r="C1136" i="4"/>
  <c r="B1136" i="4"/>
  <c r="D1135" i="4"/>
  <c r="C1135" i="4"/>
  <c r="B1135" i="4"/>
  <c r="D1134" i="4"/>
  <c r="C1134" i="4"/>
  <c r="B1134" i="4"/>
  <c r="D1133" i="4"/>
  <c r="C1133" i="4"/>
  <c r="B1133" i="4"/>
  <c r="D1132" i="4"/>
  <c r="C1132" i="4"/>
  <c r="B1132" i="4"/>
  <c r="C1131" i="4"/>
  <c r="B1131" i="4"/>
  <c r="D1130" i="4"/>
  <c r="C1130" i="4"/>
  <c r="B1130" i="4"/>
  <c r="C1129" i="4"/>
  <c r="B1129" i="4"/>
  <c r="C1128" i="4"/>
  <c r="B1128" i="4"/>
  <c r="D1127" i="4"/>
  <c r="C1127" i="4"/>
  <c r="B1127" i="4"/>
  <c r="D1126" i="4"/>
  <c r="C1126" i="4"/>
  <c r="B1126" i="4"/>
  <c r="D1125" i="4"/>
  <c r="C1125" i="4"/>
  <c r="B1125" i="4"/>
  <c r="D1124" i="4"/>
  <c r="C1124" i="4"/>
  <c r="B1124" i="4"/>
  <c r="C1123" i="4"/>
  <c r="B1123" i="4"/>
  <c r="C1122" i="4"/>
  <c r="B1122" i="4"/>
  <c r="C1121" i="4"/>
  <c r="B1121" i="4"/>
  <c r="D1120" i="4"/>
  <c r="C1120" i="4"/>
  <c r="B1120" i="4"/>
  <c r="D1119" i="4"/>
  <c r="C1119" i="4"/>
  <c r="B1119" i="4"/>
  <c r="C1118" i="4"/>
  <c r="B1118" i="4"/>
  <c r="C1117" i="4"/>
  <c r="B1117" i="4"/>
  <c r="C1116" i="4"/>
  <c r="B1116" i="4"/>
  <c r="C1115" i="4"/>
  <c r="B1115" i="4"/>
  <c r="D1114" i="4"/>
  <c r="C1114" i="4"/>
  <c r="B1114" i="4"/>
  <c r="D1113" i="4"/>
  <c r="C1113" i="4"/>
  <c r="B1113" i="4"/>
  <c r="D1112" i="4"/>
  <c r="C1112" i="4"/>
  <c r="B1112" i="4"/>
  <c r="D1111" i="4"/>
  <c r="C1111" i="4"/>
  <c r="B1111" i="4"/>
  <c r="D1110" i="4"/>
  <c r="C1110" i="4"/>
  <c r="B1110" i="4"/>
  <c r="D1109" i="4"/>
  <c r="C1109" i="4"/>
  <c r="B1109" i="4"/>
  <c r="C1108" i="4"/>
  <c r="B1108" i="4"/>
  <c r="D1107" i="4"/>
  <c r="C1107" i="4"/>
  <c r="B1107" i="4"/>
  <c r="D1106" i="4"/>
  <c r="C1106" i="4"/>
  <c r="B1106" i="4"/>
  <c r="D1105" i="4"/>
  <c r="C1105" i="4"/>
  <c r="B1105" i="4"/>
  <c r="D1104" i="4"/>
  <c r="C1104" i="4"/>
  <c r="B1104" i="4"/>
  <c r="C1103" i="4"/>
  <c r="B1103" i="4"/>
  <c r="D1102" i="4"/>
  <c r="C1102" i="4"/>
  <c r="B1102" i="4"/>
  <c r="C1101" i="4"/>
  <c r="B1101" i="4"/>
  <c r="C1100" i="4"/>
  <c r="B1100" i="4"/>
  <c r="D1099" i="4"/>
  <c r="C1099" i="4"/>
  <c r="B1099" i="4"/>
  <c r="C1098" i="4"/>
  <c r="B1098" i="4"/>
  <c r="C1097" i="4"/>
  <c r="B1097" i="4"/>
  <c r="D1096" i="4"/>
  <c r="C1096" i="4"/>
  <c r="B1096" i="4"/>
  <c r="C1095" i="4"/>
  <c r="B1095" i="4"/>
  <c r="C1094" i="4"/>
  <c r="B1094" i="4"/>
  <c r="C1093" i="4"/>
  <c r="B1093" i="4"/>
  <c r="D1092" i="4"/>
  <c r="C1092" i="4"/>
  <c r="B1092" i="4"/>
  <c r="C1091" i="4"/>
  <c r="B1091" i="4"/>
  <c r="C1090" i="4"/>
  <c r="B1090" i="4"/>
  <c r="C1089" i="4"/>
  <c r="B1089" i="4"/>
  <c r="C1087" i="4"/>
  <c r="B1087" i="4"/>
  <c r="D1086" i="4"/>
  <c r="C1086" i="4"/>
  <c r="B1086" i="4"/>
  <c r="D1085" i="4"/>
  <c r="C1085" i="4"/>
  <c r="B1085" i="4"/>
  <c r="D1084" i="4"/>
  <c r="C1084" i="4"/>
  <c r="B1084" i="4"/>
  <c r="D1083" i="4"/>
  <c r="C1083" i="4"/>
  <c r="B1083" i="4"/>
  <c r="D1082" i="4"/>
  <c r="C1082" i="4"/>
  <c r="B1082" i="4"/>
  <c r="C1081" i="4"/>
  <c r="B1081" i="4"/>
  <c r="C1080" i="4"/>
  <c r="B1080" i="4"/>
  <c r="D1079" i="4"/>
  <c r="C1079" i="4"/>
  <c r="B1079" i="4"/>
  <c r="D1078" i="4"/>
  <c r="C1078" i="4"/>
  <c r="B1078" i="4"/>
  <c r="D1077" i="4"/>
  <c r="C1077" i="4"/>
  <c r="B1077" i="4"/>
  <c r="D1076" i="4"/>
  <c r="C1076" i="4"/>
  <c r="B1076" i="4"/>
  <c r="D1075" i="4"/>
  <c r="C1075" i="4"/>
  <c r="B1075" i="4"/>
  <c r="C1074" i="4"/>
  <c r="B1074" i="4"/>
  <c r="C1073" i="4"/>
  <c r="B1073" i="4"/>
  <c r="D1072" i="4"/>
  <c r="C1072" i="4"/>
  <c r="B1072" i="4"/>
  <c r="D1071" i="4"/>
  <c r="C1071" i="4"/>
  <c r="B1071" i="4"/>
  <c r="D1070" i="4"/>
  <c r="C1070" i="4"/>
  <c r="B1070" i="4"/>
  <c r="C1069" i="4"/>
  <c r="B1069" i="4"/>
  <c r="D1068" i="4"/>
  <c r="C1068" i="4"/>
  <c r="B1068" i="4"/>
  <c r="C1067" i="4"/>
  <c r="B1067" i="4"/>
  <c r="D1066" i="4"/>
  <c r="C1066" i="4"/>
  <c r="B1066" i="4"/>
  <c r="D1065" i="4"/>
  <c r="C1065" i="4"/>
  <c r="B1065" i="4"/>
  <c r="D1064" i="4"/>
  <c r="C1064" i="4"/>
  <c r="B1064" i="4"/>
  <c r="D1063" i="4"/>
  <c r="C1063" i="4"/>
  <c r="B1063" i="4"/>
  <c r="D1062" i="4"/>
  <c r="C1062" i="4"/>
  <c r="B1062" i="4"/>
  <c r="D1061" i="4"/>
  <c r="C1061" i="4"/>
  <c r="B1061" i="4"/>
  <c r="D1060" i="4"/>
  <c r="C1060" i="4"/>
  <c r="B1060" i="4"/>
  <c r="D1059" i="4"/>
  <c r="C1059" i="4"/>
  <c r="B1059" i="4"/>
  <c r="D1058" i="4"/>
  <c r="C1058" i="4"/>
  <c r="B1058" i="4"/>
  <c r="C1057" i="4"/>
  <c r="B1057" i="4"/>
  <c r="C1056" i="4"/>
  <c r="B1056" i="4"/>
  <c r="D1055" i="4"/>
  <c r="C1055" i="4"/>
  <c r="B1055" i="4"/>
  <c r="D1054" i="4"/>
  <c r="C1054" i="4"/>
  <c r="B1054" i="4"/>
  <c r="D1053" i="4"/>
  <c r="C1053" i="4"/>
  <c r="B1053" i="4"/>
  <c r="D1052" i="4"/>
  <c r="C1052" i="4"/>
  <c r="B1052" i="4"/>
  <c r="D1051" i="4"/>
  <c r="C1051" i="4"/>
  <c r="B1051" i="4"/>
  <c r="C1050" i="4"/>
  <c r="B1050" i="4"/>
  <c r="C1049" i="4"/>
  <c r="B1049" i="4"/>
  <c r="D1048" i="4"/>
  <c r="C1048" i="4"/>
  <c r="B1048" i="4"/>
  <c r="D1047" i="4"/>
  <c r="C1047" i="4"/>
  <c r="B1047" i="4"/>
  <c r="D1046" i="4"/>
  <c r="C1046" i="4"/>
  <c r="B1046" i="4"/>
  <c r="D1045" i="4"/>
  <c r="C1045" i="4"/>
  <c r="B1045" i="4"/>
  <c r="D1044" i="4"/>
  <c r="C1044" i="4"/>
  <c r="B1044" i="4"/>
  <c r="C1043" i="4"/>
  <c r="B1043" i="4"/>
  <c r="D1042" i="4"/>
  <c r="C1042" i="4"/>
  <c r="B1042" i="4"/>
  <c r="D1041" i="4"/>
  <c r="C1041" i="4"/>
  <c r="B1041" i="4"/>
  <c r="D1040" i="4"/>
  <c r="C1040" i="4"/>
  <c r="B1040" i="4"/>
  <c r="D1039" i="4"/>
  <c r="C1039" i="4"/>
  <c r="B1039" i="4"/>
  <c r="D1038" i="4"/>
  <c r="C1038" i="4"/>
  <c r="B1038" i="4"/>
  <c r="C1037" i="4"/>
  <c r="B1037" i="4"/>
  <c r="C1036" i="4"/>
  <c r="B1036" i="4"/>
  <c r="D1035" i="4"/>
  <c r="C1035" i="4"/>
  <c r="B1035" i="4"/>
  <c r="D1034" i="4"/>
  <c r="C1034" i="4"/>
  <c r="B1034" i="4"/>
  <c r="D1033" i="4"/>
  <c r="C1033" i="4"/>
  <c r="B1033" i="4"/>
  <c r="D1032" i="4"/>
  <c r="C1032" i="4"/>
  <c r="B1032" i="4"/>
  <c r="D1031" i="4"/>
  <c r="C1031" i="4"/>
  <c r="B1031" i="4"/>
  <c r="D1030" i="4"/>
  <c r="C1030" i="4"/>
  <c r="B1030" i="4"/>
  <c r="C1029" i="4"/>
  <c r="B1029" i="4"/>
  <c r="C1028" i="4"/>
  <c r="B1028" i="4"/>
  <c r="D1027" i="4"/>
  <c r="C1027" i="4"/>
  <c r="B1027" i="4"/>
  <c r="D1026" i="4"/>
  <c r="C1026" i="4"/>
  <c r="B1026" i="4"/>
  <c r="D1025" i="4"/>
  <c r="C1025" i="4"/>
  <c r="B1025" i="4"/>
  <c r="D1024" i="4"/>
  <c r="C1024" i="4"/>
  <c r="B1024" i="4"/>
  <c r="D1023" i="4"/>
  <c r="C1023" i="4"/>
  <c r="B1023" i="4"/>
  <c r="D1022" i="4"/>
  <c r="C1022" i="4"/>
  <c r="B1022" i="4"/>
  <c r="D1021" i="4"/>
  <c r="C1021" i="4"/>
  <c r="B1021" i="4"/>
  <c r="D1020" i="4"/>
  <c r="C1020" i="4"/>
  <c r="B1020" i="4"/>
  <c r="D1019" i="4"/>
  <c r="C1019" i="4"/>
  <c r="B1019" i="4"/>
  <c r="D1018" i="4"/>
  <c r="C1018" i="4"/>
  <c r="B1018" i="4"/>
  <c r="C1017" i="4"/>
  <c r="B1017" i="4"/>
  <c r="C1015" i="4"/>
  <c r="B1015" i="4"/>
  <c r="D1014" i="4"/>
  <c r="C1014" i="4"/>
  <c r="B1014" i="4"/>
  <c r="D1013" i="4"/>
  <c r="C1013" i="4"/>
  <c r="B1013" i="4"/>
  <c r="D1012" i="4"/>
  <c r="C1012" i="4"/>
  <c r="B1012" i="4"/>
  <c r="D1011" i="4"/>
  <c r="C1011" i="4"/>
  <c r="B1011" i="4"/>
  <c r="D1010" i="4"/>
  <c r="C1010" i="4"/>
  <c r="B1010" i="4"/>
  <c r="C1009" i="4"/>
  <c r="B1009" i="4"/>
  <c r="C1008" i="4"/>
  <c r="B1008" i="4"/>
  <c r="D1007" i="4"/>
  <c r="C1007" i="4"/>
  <c r="B1007" i="4"/>
  <c r="D1006" i="4"/>
  <c r="C1006" i="4"/>
  <c r="B1006" i="4"/>
  <c r="D1005" i="4"/>
  <c r="C1005" i="4"/>
  <c r="B1005" i="4"/>
  <c r="D1004" i="4"/>
  <c r="C1004" i="4"/>
  <c r="B1004" i="4"/>
  <c r="D1003" i="4"/>
  <c r="C1003" i="4"/>
  <c r="B1003" i="4"/>
  <c r="C1002" i="4"/>
  <c r="B1002" i="4"/>
  <c r="C1001" i="4"/>
  <c r="B1001" i="4"/>
  <c r="D1000" i="4"/>
  <c r="C1000" i="4"/>
  <c r="B1000" i="4"/>
  <c r="D999" i="4"/>
  <c r="C999" i="4"/>
  <c r="B999" i="4"/>
  <c r="D998" i="4"/>
  <c r="C998" i="4"/>
  <c r="B998" i="4"/>
  <c r="D997" i="4"/>
  <c r="C997" i="4"/>
  <c r="B997" i="4"/>
  <c r="C996" i="4"/>
  <c r="B996" i="4"/>
  <c r="C995" i="4"/>
  <c r="B995" i="4"/>
  <c r="D994" i="4"/>
  <c r="C994" i="4"/>
  <c r="B994" i="4"/>
  <c r="D993" i="4"/>
  <c r="C993" i="4"/>
  <c r="B993" i="4"/>
  <c r="D992" i="4"/>
  <c r="C992" i="4"/>
  <c r="B992" i="4"/>
  <c r="D991" i="4"/>
  <c r="C991" i="4"/>
  <c r="B991" i="4"/>
  <c r="D990" i="4"/>
  <c r="C990" i="4"/>
  <c r="B990" i="4"/>
  <c r="D989" i="4"/>
  <c r="C989" i="4"/>
  <c r="B989" i="4"/>
  <c r="D988" i="4"/>
  <c r="C988" i="4"/>
  <c r="B988" i="4"/>
  <c r="D987" i="4"/>
  <c r="C987" i="4"/>
  <c r="B987" i="4"/>
  <c r="D986" i="4"/>
  <c r="C986" i="4"/>
  <c r="B986" i="4"/>
  <c r="C985" i="4"/>
  <c r="B985" i="4"/>
  <c r="C984" i="4"/>
  <c r="B984" i="4"/>
  <c r="D983" i="4"/>
  <c r="C983" i="4"/>
  <c r="B983" i="4"/>
  <c r="D982" i="4"/>
  <c r="C982" i="4"/>
  <c r="B982" i="4"/>
  <c r="D981" i="4"/>
  <c r="C981" i="4"/>
  <c r="B981" i="4"/>
  <c r="D980" i="4"/>
  <c r="C980" i="4"/>
  <c r="B980" i="4"/>
  <c r="C979" i="4"/>
  <c r="B979" i="4"/>
  <c r="C978" i="4"/>
  <c r="B978" i="4"/>
  <c r="C977" i="4"/>
  <c r="B977" i="4"/>
  <c r="D976" i="4"/>
  <c r="C976" i="4"/>
  <c r="B976" i="4"/>
  <c r="D975" i="4"/>
  <c r="C975" i="4"/>
  <c r="B975" i="4"/>
  <c r="D974" i="4"/>
  <c r="C974" i="4"/>
  <c r="B974" i="4"/>
  <c r="D973" i="4"/>
  <c r="C973" i="4"/>
  <c r="B973" i="4"/>
  <c r="C972" i="4"/>
  <c r="B972" i="4"/>
  <c r="D971" i="4"/>
  <c r="C971" i="4"/>
  <c r="B971" i="4"/>
  <c r="D970" i="4"/>
  <c r="C970" i="4"/>
  <c r="B970" i="4"/>
  <c r="D969" i="4"/>
  <c r="C969" i="4"/>
  <c r="B969" i="4"/>
  <c r="D968" i="4"/>
  <c r="C968" i="4"/>
  <c r="B968" i="4"/>
  <c r="D967" i="4"/>
  <c r="C967" i="4"/>
  <c r="B967" i="4"/>
  <c r="D966" i="4"/>
  <c r="C966" i="4"/>
  <c r="B966" i="4"/>
  <c r="C965" i="4"/>
  <c r="B965" i="4"/>
  <c r="C964" i="4"/>
  <c r="B964" i="4"/>
  <c r="D963" i="4"/>
  <c r="C963" i="4"/>
  <c r="B963" i="4"/>
  <c r="D962" i="4"/>
  <c r="C962" i="4"/>
  <c r="B962" i="4"/>
  <c r="D961" i="4"/>
  <c r="C961" i="4"/>
  <c r="B961" i="4"/>
  <c r="D960" i="4"/>
  <c r="C960" i="4"/>
  <c r="B960" i="4"/>
  <c r="D959" i="4"/>
  <c r="C959" i="4"/>
  <c r="B959" i="4"/>
  <c r="D958" i="4"/>
  <c r="C958" i="4"/>
  <c r="B958" i="4"/>
  <c r="C957" i="4"/>
  <c r="B957" i="4"/>
  <c r="C956" i="4"/>
  <c r="B956" i="4"/>
  <c r="D955" i="4"/>
  <c r="C955" i="4"/>
  <c r="B955" i="4"/>
  <c r="D954" i="4"/>
  <c r="C954" i="4"/>
  <c r="B954" i="4"/>
  <c r="D953" i="4"/>
  <c r="C953" i="4"/>
  <c r="B953" i="4"/>
  <c r="D952" i="4"/>
  <c r="C952" i="4"/>
  <c r="B952" i="4"/>
  <c r="D951" i="4"/>
  <c r="C951" i="4"/>
  <c r="B951" i="4"/>
  <c r="D950" i="4"/>
  <c r="C950" i="4"/>
  <c r="B950" i="4"/>
  <c r="D949" i="4"/>
  <c r="C949" i="4"/>
  <c r="B949" i="4"/>
  <c r="D948" i="4"/>
  <c r="C948" i="4"/>
  <c r="B948" i="4"/>
  <c r="C947" i="4"/>
  <c r="B947" i="4"/>
  <c r="D946" i="4"/>
  <c r="C946" i="4"/>
  <c r="B946" i="4"/>
  <c r="C945" i="4"/>
  <c r="B945" i="4"/>
  <c r="C943" i="4"/>
  <c r="B943" i="4"/>
  <c r="D942" i="4"/>
  <c r="C942" i="4"/>
  <c r="B942" i="4"/>
  <c r="D941" i="4"/>
  <c r="C941" i="4"/>
  <c r="B941" i="4"/>
  <c r="D940" i="4"/>
  <c r="C940" i="4"/>
  <c r="B940" i="4"/>
  <c r="D939" i="4"/>
  <c r="C939" i="4"/>
  <c r="B939" i="4"/>
  <c r="D938" i="4"/>
  <c r="C938" i="4"/>
  <c r="B938" i="4"/>
  <c r="C937" i="4"/>
  <c r="B937" i="4"/>
  <c r="C936" i="4"/>
  <c r="B936" i="4"/>
  <c r="D935" i="4"/>
  <c r="C935" i="4"/>
  <c r="B935" i="4"/>
  <c r="D934" i="4"/>
  <c r="C934" i="4"/>
  <c r="B934" i="4"/>
  <c r="D933" i="4"/>
  <c r="C933" i="4"/>
  <c r="B933" i="4"/>
  <c r="D932" i="4"/>
  <c r="C932" i="4"/>
  <c r="B932" i="4"/>
  <c r="D931" i="4"/>
  <c r="C931" i="4"/>
  <c r="B931" i="4"/>
  <c r="D930" i="4"/>
  <c r="C930" i="4"/>
  <c r="B930" i="4"/>
  <c r="C929" i="4"/>
  <c r="B929" i="4"/>
  <c r="D928" i="4"/>
  <c r="C928" i="4"/>
  <c r="B928" i="4"/>
  <c r="D927" i="4"/>
  <c r="C927" i="4"/>
  <c r="B927" i="4"/>
  <c r="D926" i="4"/>
  <c r="C926" i="4"/>
  <c r="B926" i="4"/>
  <c r="C925" i="4"/>
  <c r="B925" i="4"/>
  <c r="C924" i="4"/>
  <c r="B924" i="4"/>
  <c r="C923" i="4"/>
  <c r="B923" i="4"/>
  <c r="D922" i="4"/>
  <c r="C922" i="4"/>
  <c r="B922" i="4"/>
  <c r="D921" i="4"/>
  <c r="C921" i="4"/>
  <c r="B921" i="4"/>
  <c r="D920" i="4"/>
  <c r="C920" i="4"/>
  <c r="B920" i="4"/>
  <c r="D919" i="4"/>
  <c r="C919" i="4"/>
  <c r="B919" i="4"/>
  <c r="D918" i="4"/>
  <c r="C918" i="4"/>
  <c r="B918" i="4"/>
  <c r="D917" i="4"/>
  <c r="C917" i="4"/>
  <c r="B917" i="4"/>
  <c r="D916" i="4"/>
  <c r="C916" i="4"/>
  <c r="B916" i="4"/>
  <c r="D915" i="4"/>
  <c r="C915" i="4"/>
  <c r="B915" i="4"/>
  <c r="D914" i="4"/>
  <c r="C914" i="4"/>
  <c r="B914" i="4"/>
  <c r="C913" i="4"/>
  <c r="B913" i="4"/>
  <c r="C912" i="4"/>
  <c r="B912" i="4"/>
  <c r="D911" i="4"/>
  <c r="C911" i="4"/>
  <c r="B911" i="4"/>
  <c r="D910" i="4"/>
  <c r="C910" i="4"/>
  <c r="B910" i="4"/>
  <c r="D909" i="4"/>
  <c r="C909" i="4"/>
  <c r="B909" i="4"/>
  <c r="D908" i="4"/>
  <c r="C908" i="4"/>
  <c r="B908" i="4"/>
  <c r="D907" i="4"/>
  <c r="C907" i="4"/>
  <c r="B907" i="4"/>
  <c r="D906" i="4"/>
  <c r="C906" i="4"/>
  <c r="B906" i="4"/>
  <c r="C905" i="4"/>
  <c r="B905" i="4"/>
  <c r="D904" i="4"/>
  <c r="C904" i="4"/>
  <c r="B904" i="4"/>
  <c r="D903" i="4"/>
  <c r="C903" i="4"/>
  <c r="B903" i="4"/>
  <c r="D902" i="4"/>
  <c r="C902" i="4"/>
  <c r="B902" i="4"/>
  <c r="D901" i="4"/>
  <c r="C901" i="4"/>
  <c r="B901" i="4"/>
  <c r="C900" i="4"/>
  <c r="B900" i="4"/>
  <c r="C899" i="4"/>
  <c r="B899" i="4"/>
  <c r="D898" i="4"/>
  <c r="C898" i="4"/>
  <c r="B898" i="4"/>
  <c r="D897" i="4"/>
  <c r="C897" i="4"/>
  <c r="B897" i="4"/>
  <c r="D896" i="4"/>
  <c r="C896" i="4"/>
  <c r="B896" i="4"/>
  <c r="D895" i="4"/>
  <c r="C895" i="4"/>
  <c r="B895" i="4"/>
  <c r="D894" i="4"/>
  <c r="C894" i="4"/>
  <c r="B894" i="4"/>
  <c r="C893" i="4"/>
  <c r="B893" i="4"/>
  <c r="C892" i="4"/>
  <c r="B892" i="4"/>
  <c r="D891" i="4"/>
  <c r="C891" i="4"/>
  <c r="B891" i="4"/>
  <c r="D890" i="4"/>
  <c r="C890" i="4"/>
  <c r="B890" i="4"/>
  <c r="D889" i="4"/>
  <c r="C889" i="4"/>
  <c r="B889" i="4"/>
  <c r="D888" i="4"/>
  <c r="C888" i="4"/>
  <c r="B888" i="4"/>
  <c r="D887" i="4"/>
  <c r="C887" i="4"/>
  <c r="B887" i="4"/>
  <c r="D886" i="4"/>
  <c r="C886" i="4"/>
  <c r="B886" i="4"/>
  <c r="C885" i="4"/>
  <c r="B885" i="4"/>
  <c r="C884" i="4"/>
  <c r="B884" i="4"/>
  <c r="D883" i="4"/>
  <c r="C883" i="4"/>
  <c r="B883" i="4"/>
  <c r="D882" i="4"/>
  <c r="C882" i="4"/>
  <c r="B882" i="4"/>
  <c r="D881" i="4"/>
  <c r="C881" i="4"/>
  <c r="B881" i="4"/>
  <c r="D880" i="4"/>
  <c r="C880" i="4"/>
  <c r="B880" i="4"/>
  <c r="D879" i="4"/>
  <c r="C879" i="4"/>
  <c r="B879" i="4"/>
  <c r="D878" i="4"/>
  <c r="C878" i="4"/>
  <c r="B878" i="4"/>
  <c r="D877" i="4"/>
  <c r="C877" i="4"/>
  <c r="B877" i="4"/>
  <c r="D876" i="4"/>
  <c r="C876" i="4"/>
  <c r="B876" i="4"/>
  <c r="D875" i="4"/>
  <c r="C875" i="4"/>
  <c r="B875" i="4"/>
  <c r="D874" i="4"/>
  <c r="C874" i="4"/>
  <c r="B874" i="4"/>
  <c r="C873" i="4"/>
  <c r="B873" i="4"/>
  <c r="C871" i="4"/>
  <c r="B871" i="4"/>
  <c r="D870" i="4"/>
  <c r="C870" i="4"/>
  <c r="B870" i="4"/>
  <c r="D869" i="4"/>
  <c r="C869" i="4"/>
  <c r="B869" i="4"/>
  <c r="D868" i="4"/>
  <c r="C868" i="4"/>
  <c r="B868" i="4"/>
  <c r="D867" i="4"/>
  <c r="C867" i="4"/>
  <c r="B867" i="4"/>
  <c r="D866" i="4"/>
  <c r="C866" i="4"/>
  <c r="B866" i="4"/>
  <c r="C865" i="4"/>
  <c r="B865" i="4"/>
  <c r="C864" i="4"/>
  <c r="B864" i="4"/>
  <c r="D863" i="4"/>
  <c r="C863" i="4"/>
  <c r="B863" i="4"/>
  <c r="D862" i="4"/>
  <c r="C862" i="4"/>
  <c r="B862" i="4"/>
  <c r="D861" i="4"/>
  <c r="C861" i="4"/>
  <c r="B861" i="4"/>
  <c r="D860" i="4"/>
  <c r="C860" i="4"/>
  <c r="B860" i="4"/>
  <c r="D859" i="4"/>
  <c r="C859" i="4"/>
  <c r="B859" i="4"/>
  <c r="C858" i="4"/>
  <c r="B858" i="4"/>
  <c r="D857" i="4"/>
  <c r="C857" i="4"/>
  <c r="B857" i="4"/>
  <c r="D856" i="4"/>
  <c r="C856" i="4"/>
  <c r="B856" i="4"/>
  <c r="D855" i="4"/>
  <c r="C855" i="4"/>
  <c r="B855" i="4"/>
  <c r="D854" i="4"/>
  <c r="C854" i="4"/>
  <c r="B854" i="4"/>
  <c r="D853" i="4"/>
  <c r="C853" i="4"/>
  <c r="B853" i="4"/>
  <c r="C852" i="4"/>
  <c r="B852" i="4"/>
  <c r="C851" i="4"/>
  <c r="B851" i="4"/>
  <c r="D850" i="4"/>
  <c r="C850" i="4"/>
  <c r="B850" i="4"/>
  <c r="D849" i="4"/>
  <c r="C849" i="4"/>
  <c r="B849" i="4"/>
  <c r="D848" i="4"/>
  <c r="C848" i="4"/>
  <c r="B848" i="4"/>
  <c r="D847" i="4"/>
  <c r="C847" i="4"/>
  <c r="B847" i="4"/>
  <c r="D846" i="4"/>
  <c r="C846" i="4"/>
  <c r="B846" i="4"/>
  <c r="D845" i="4"/>
  <c r="C845" i="4"/>
  <c r="B845" i="4"/>
  <c r="D844" i="4"/>
  <c r="C844" i="4"/>
  <c r="B844" i="4"/>
  <c r="D843" i="4"/>
  <c r="C843" i="4"/>
  <c r="B843" i="4"/>
  <c r="D842" i="4"/>
  <c r="C842" i="4"/>
  <c r="B842" i="4"/>
  <c r="D841" i="4"/>
  <c r="C841" i="4"/>
  <c r="B841" i="4"/>
  <c r="C840" i="4"/>
  <c r="B840" i="4"/>
  <c r="D839" i="4"/>
  <c r="C839" i="4"/>
  <c r="B839" i="4"/>
  <c r="D838" i="4"/>
  <c r="C838" i="4"/>
  <c r="B838" i="4"/>
  <c r="D837" i="4"/>
  <c r="C837" i="4"/>
  <c r="B837" i="4"/>
  <c r="D836" i="4"/>
  <c r="C836" i="4"/>
  <c r="B836" i="4"/>
  <c r="C835" i="4"/>
  <c r="B835" i="4"/>
  <c r="C834" i="4"/>
  <c r="B834" i="4"/>
  <c r="D833" i="4"/>
  <c r="C833" i="4"/>
  <c r="B833" i="4"/>
  <c r="D832" i="4"/>
  <c r="C832" i="4"/>
  <c r="B832" i="4"/>
  <c r="D831" i="4"/>
  <c r="C831" i="4"/>
  <c r="B831" i="4"/>
  <c r="C830" i="4"/>
  <c r="B830" i="4"/>
  <c r="D829" i="4"/>
  <c r="C829" i="4"/>
  <c r="B829" i="4"/>
  <c r="C828" i="4"/>
  <c r="B828" i="4"/>
  <c r="C827" i="4"/>
  <c r="B827" i="4"/>
  <c r="D826" i="4"/>
  <c r="C826" i="4"/>
  <c r="B826" i="4"/>
  <c r="D825" i="4"/>
  <c r="C825" i="4"/>
  <c r="B825" i="4"/>
  <c r="D824" i="4"/>
  <c r="C824" i="4"/>
  <c r="B824" i="4"/>
  <c r="D823" i="4"/>
  <c r="C823" i="4"/>
  <c r="B823" i="4"/>
  <c r="D822" i="4"/>
  <c r="C822" i="4"/>
  <c r="B822" i="4"/>
  <c r="C821" i="4"/>
  <c r="B821" i="4"/>
  <c r="C820" i="4"/>
  <c r="B820" i="4"/>
  <c r="D819" i="4"/>
  <c r="C819" i="4"/>
  <c r="B819" i="4"/>
  <c r="D818" i="4"/>
  <c r="C818" i="4"/>
  <c r="B818" i="4"/>
  <c r="D817" i="4"/>
  <c r="C817" i="4"/>
  <c r="B817" i="4"/>
  <c r="D816" i="4"/>
  <c r="C816" i="4"/>
  <c r="B816" i="4"/>
  <c r="D815" i="4"/>
  <c r="C815" i="4"/>
  <c r="B815" i="4"/>
  <c r="D814" i="4"/>
  <c r="C814" i="4"/>
  <c r="B814" i="4"/>
  <c r="C813" i="4"/>
  <c r="B813" i="4"/>
  <c r="C812" i="4"/>
  <c r="B812" i="4"/>
  <c r="D811" i="4"/>
  <c r="C811" i="4"/>
  <c r="B811" i="4"/>
  <c r="D810" i="4"/>
  <c r="C810" i="4"/>
  <c r="B810" i="4"/>
  <c r="D809" i="4"/>
  <c r="C809" i="4"/>
  <c r="B809" i="4"/>
  <c r="D808" i="4"/>
  <c r="C808" i="4"/>
  <c r="B808" i="4"/>
  <c r="D807" i="4"/>
  <c r="C807" i="4"/>
  <c r="B807" i="4"/>
  <c r="D806" i="4"/>
  <c r="C806" i="4"/>
  <c r="B806" i="4"/>
  <c r="D805" i="4"/>
  <c r="C805" i="4"/>
  <c r="B805" i="4"/>
  <c r="D804" i="4"/>
  <c r="C804" i="4"/>
  <c r="B804" i="4"/>
  <c r="C803" i="4"/>
  <c r="B803" i="4"/>
  <c r="D802" i="4"/>
  <c r="C802" i="4"/>
  <c r="B802" i="4"/>
  <c r="C801" i="4"/>
  <c r="B801" i="4"/>
  <c r="C799" i="4"/>
  <c r="B799" i="4"/>
  <c r="D798" i="4"/>
  <c r="C798" i="4"/>
  <c r="B798" i="4"/>
  <c r="D797" i="4"/>
  <c r="C797" i="4"/>
  <c r="B797" i="4"/>
  <c r="D796" i="4"/>
  <c r="C796" i="4"/>
  <c r="B796" i="4"/>
  <c r="D795" i="4"/>
  <c r="C795" i="4"/>
  <c r="B795" i="4"/>
  <c r="D794" i="4"/>
  <c r="C794" i="4"/>
  <c r="B794" i="4"/>
  <c r="C793" i="4"/>
  <c r="B793" i="4"/>
  <c r="D792" i="4"/>
  <c r="C792" i="4"/>
  <c r="B792" i="4"/>
  <c r="D791" i="4"/>
  <c r="C791" i="4"/>
  <c r="B791" i="4"/>
  <c r="D790" i="4"/>
  <c r="C790" i="4"/>
  <c r="B790" i="4"/>
  <c r="D789" i="4"/>
  <c r="C789" i="4"/>
  <c r="B789" i="4"/>
  <c r="D788" i="4"/>
  <c r="C788" i="4"/>
  <c r="B788" i="4"/>
  <c r="D787" i="4"/>
  <c r="C787" i="4"/>
  <c r="B787" i="4"/>
  <c r="C786" i="4"/>
  <c r="B786" i="4"/>
  <c r="C785" i="4"/>
  <c r="B785" i="4"/>
  <c r="D784" i="4"/>
  <c r="C784" i="4"/>
  <c r="B784" i="4"/>
  <c r="D783" i="4"/>
  <c r="C783" i="4"/>
  <c r="B783" i="4"/>
  <c r="D782" i="4"/>
  <c r="C782" i="4"/>
  <c r="B782" i="4"/>
  <c r="D781" i="4"/>
  <c r="C781" i="4"/>
  <c r="B781" i="4"/>
  <c r="C780" i="4"/>
  <c r="B780" i="4"/>
  <c r="C779" i="4"/>
  <c r="B779" i="4"/>
  <c r="D778" i="4"/>
  <c r="C778" i="4"/>
  <c r="B778" i="4"/>
  <c r="D777" i="4"/>
  <c r="C777" i="4"/>
  <c r="B777" i="4"/>
  <c r="D776" i="4"/>
  <c r="C776" i="4"/>
  <c r="B776" i="4"/>
  <c r="D775" i="4"/>
  <c r="C775" i="4"/>
  <c r="B775" i="4"/>
  <c r="D774" i="4"/>
  <c r="C774" i="4"/>
  <c r="B774" i="4"/>
  <c r="D773" i="4"/>
  <c r="C773" i="4"/>
  <c r="B773" i="4"/>
  <c r="D772" i="4"/>
  <c r="C772" i="4"/>
  <c r="B772" i="4"/>
  <c r="D771" i="4"/>
  <c r="C771" i="4"/>
  <c r="B771" i="4"/>
  <c r="D770" i="4"/>
  <c r="C770" i="4"/>
  <c r="B770" i="4"/>
  <c r="C769" i="4"/>
  <c r="B769" i="4"/>
  <c r="D768" i="4"/>
  <c r="C768" i="4"/>
  <c r="B768" i="4"/>
  <c r="D767" i="4"/>
  <c r="C767" i="4"/>
  <c r="B767" i="4"/>
  <c r="D766" i="4"/>
  <c r="C766" i="4"/>
  <c r="B766" i="4"/>
  <c r="D765" i="4"/>
  <c r="C765" i="4"/>
  <c r="B765" i="4"/>
  <c r="D764" i="4"/>
  <c r="C764" i="4"/>
  <c r="B764" i="4"/>
  <c r="D763" i="4"/>
  <c r="C763" i="4"/>
  <c r="B763" i="4"/>
  <c r="C762" i="4"/>
  <c r="B762" i="4"/>
  <c r="C761" i="4"/>
  <c r="B761" i="4"/>
  <c r="D760" i="4"/>
  <c r="C760" i="4"/>
  <c r="B760" i="4"/>
  <c r="D759" i="4"/>
  <c r="C759" i="4"/>
  <c r="B759" i="4"/>
  <c r="D758" i="4"/>
  <c r="C758" i="4"/>
  <c r="B758" i="4"/>
  <c r="D757" i="4"/>
  <c r="C757" i="4"/>
  <c r="B757" i="4"/>
  <c r="C756" i="4"/>
  <c r="B756" i="4"/>
  <c r="C755" i="4"/>
  <c r="B755" i="4"/>
  <c r="D754" i="4"/>
  <c r="C754" i="4"/>
  <c r="B754" i="4"/>
  <c r="D753" i="4"/>
  <c r="C753" i="4"/>
  <c r="B753" i="4"/>
  <c r="D752" i="4"/>
  <c r="C752" i="4"/>
  <c r="B752" i="4"/>
  <c r="D751" i="4"/>
  <c r="C751" i="4"/>
  <c r="B751" i="4"/>
  <c r="D750" i="4"/>
  <c r="C750" i="4"/>
  <c r="B750" i="4"/>
  <c r="C749" i="4"/>
  <c r="B749" i="4"/>
  <c r="C748" i="4"/>
  <c r="B748" i="4"/>
  <c r="D747" i="4"/>
  <c r="C747" i="4"/>
  <c r="B747" i="4"/>
  <c r="D746" i="4"/>
  <c r="C746" i="4"/>
  <c r="B746" i="4"/>
  <c r="D745" i="4"/>
  <c r="C745" i="4"/>
  <c r="B745" i="4"/>
  <c r="D744" i="4"/>
  <c r="C744" i="4"/>
  <c r="B744" i="4"/>
  <c r="D743" i="4"/>
  <c r="C743" i="4"/>
  <c r="B743" i="4"/>
  <c r="D742" i="4"/>
  <c r="C742" i="4"/>
  <c r="B742" i="4"/>
  <c r="C741" i="4"/>
  <c r="B741" i="4"/>
  <c r="C740" i="4"/>
  <c r="B740" i="4"/>
  <c r="D739" i="4"/>
  <c r="C739" i="4"/>
  <c r="B739" i="4"/>
  <c r="D738" i="4"/>
  <c r="C738" i="4"/>
  <c r="B738" i="4"/>
  <c r="D737" i="4"/>
  <c r="C737" i="4"/>
  <c r="B737" i="4"/>
  <c r="D736" i="4"/>
  <c r="C736" i="4"/>
  <c r="B736" i="4"/>
  <c r="D735" i="4"/>
  <c r="C735" i="4"/>
  <c r="B735" i="4"/>
  <c r="D734" i="4"/>
  <c r="C734" i="4"/>
  <c r="B734" i="4"/>
  <c r="D733" i="4"/>
  <c r="C733" i="4"/>
  <c r="B733" i="4"/>
  <c r="D732" i="4"/>
  <c r="C732" i="4"/>
  <c r="B732" i="4"/>
  <c r="D731" i="4"/>
  <c r="C731" i="4"/>
  <c r="B731" i="4"/>
  <c r="D730" i="4"/>
  <c r="C730" i="4"/>
  <c r="B730" i="4"/>
  <c r="C729" i="4"/>
  <c r="B729" i="4"/>
  <c r="D727" i="4"/>
  <c r="C727" i="4"/>
  <c r="B727" i="4"/>
  <c r="D726" i="4"/>
  <c r="C726" i="4"/>
  <c r="B726" i="4"/>
  <c r="D725" i="4"/>
  <c r="C725" i="4"/>
  <c r="B725" i="4"/>
  <c r="D724" i="4"/>
  <c r="C724" i="4"/>
  <c r="B724" i="4"/>
  <c r="D723" i="4"/>
  <c r="C723" i="4"/>
  <c r="B723" i="4"/>
  <c r="D722" i="4"/>
  <c r="C722" i="4"/>
  <c r="B722" i="4"/>
  <c r="C721" i="4"/>
  <c r="B721" i="4"/>
  <c r="C720" i="4"/>
  <c r="B720" i="4"/>
  <c r="D719" i="4"/>
  <c r="C719" i="4"/>
  <c r="B719" i="4"/>
  <c r="D718" i="4"/>
  <c r="C718" i="4"/>
  <c r="B718" i="4"/>
  <c r="D717" i="4"/>
  <c r="C717" i="4"/>
  <c r="B717" i="4"/>
  <c r="D716" i="4"/>
  <c r="C716" i="4"/>
  <c r="B716" i="4"/>
  <c r="D715" i="4"/>
  <c r="C715" i="4"/>
  <c r="B715" i="4"/>
  <c r="C714" i="4"/>
  <c r="B714" i="4"/>
  <c r="C713" i="4"/>
  <c r="B713" i="4"/>
  <c r="D712" i="4"/>
  <c r="C712" i="4"/>
  <c r="B712" i="4"/>
  <c r="D711" i="4"/>
  <c r="C711" i="4"/>
  <c r="B711" i="4"/>
  <c r="D710" i="4"/>
  <c r="C710" i="4"/>
  <c r="B710" i="4"/>
  <c r="D709" i="4"/>
  <c r="C709" i="4"/>
  <c r="B709" i="4"/>
  <c r="D708" i="4"/>
  <c r="C708" i="4"/>
  <c r="B708" i="4"/>
  <c r="C707" i="4"/>
  <c r="B707" i="4"/>
  <c r="D706" i="4"/>
  <c r="C706" i="4"/>
  <c r="B706" i="4"/>
  <c r="D705" i="4"/>
  <c r="C705" i="4"/>
  <c r="B705" i="4"/>
  <c r="D704" i="4"/>
  <c r="C704" i="4"/>
  <c r="B704" i="4"/>
  <c r="D703" i="4"/>
  <c r="C703" i="4"/>
  <c r="B703" i="4"/>
  <c r="D702" i="4"/>
  <c r="C702" i="4"/>
  <c r="B702" i="4"/>
  <c r="D701" i="4"/>
  <c r="C701" i="4"/>
  <c r="B701" i="4"/>
  <c r="D700" i="4"/>
  <c r="C700" i="4"/>
  <c r="B700" i="4"/>
  <c r="D699" i="4"/>
  <c r="C699" i="4"/>
  <c r="B699" i="4"/>
  <c r="D698" i="4"/>
  <c r="C698" i="4"/>
  <c r="B698" i="4"/>
  <c r="C697" i="4"/>
  <c r="B697" i="4"/>
  <c r="C696" i="4"/>
  <c r="B696" i="4"/>
  <c r="D695" i="4"/>
  <c r="C695" i="4"/>
  <c r="B695" i="4"/>
  <c r="D694" i="4"/>
  <c r="C694" i="4"/>
  <c r="B694" i="4"/>
  <c r="D693" i="4"/>
  <c r="C693" i="4"/>
  <c r="B693" i="4"/>
  <c r="D692" i="4"/>
  <c r="C692" i="4"/>
  <c r="B692" i="4"/>
  <c r="C691" i="4"/>
  <c r="B691" i="4"/>
  <c r="C690" i="4"/>
  <c r="B690" i="4"/>
  <c r="C689" i="4"/>
  <c r="B689" i="4"/>
  <c r="D688" i="4"/>
  <c r="C688" i="4"/>
  <c r="B688" i="4"/>
  <c r="D687" i="4"/>
  <c r="C687" i="4"/>
  <c r="B687" i="4"/>
  <c r="C686" i="4"/>
  <c r="B686" i="4"/>
  <c r="D685" i="4"/>
  <c r="C685" i="4"/>
  <c r="B685" i="4"/>
  <c r="C684" i="4"/>
  <c r="B684" i="4"/>
  <c r="C683" i="4"/>
  <c r="B683" i="4"/>
  <c r="D682" i="4"/>
  <c r="C682" i="4"/>
  <c r="B682" i="4"/>
  <c r="D681" i="4"/>
  <c r="C681" i="4"/>
  <c r="B681" i="4"/>
  <c r="D680" i="4"/>
  <c r="C680" i="4"/>
  <c r="B680" i="4"/>
  <c r="D679" i="4"/>
  <c r="C679" i="4"/>
  <c r="B679" i="4"/>
  <c r="D678" i="4"/>
  <c r="C678" i="4"/>
  <c r="B678" i="4"/>
  <c r="C677" i="4"/>
  <c r="B677" i="4"/>
  <c r="C676" i="4"/>
  <c r="B676" i="4"/>
  <c r="D675" i="4"/>
  <c r="C675" i="4"/>
  <c r="B675" i="4"/>
  <c r="D674" i="4"/>
  <c r="C674" i="4"/>
  <c r="B674" i="4"/>
  <c r="D673" i="4"/>
  <c r="C673" i="4"/>
  <c r="B673" i="4"/>
  <c r="D672" i="4"/>
  <c r="C672" i="4"/>
  <c r="B672" i="4"/>
  <c r="D671" i="4"/>
  <c r="C671" i="4"/>
  <c r="B671" i="4"/>
  <c r="D670" i="4"/>
  <c r="C670" i="4"/>
  <c r="B670" i="4"/>
  <c r="C669" i="4"/>
  <c r="B669" i="4"/>
  <c r="D668" i="4"/>
  <c r="C668" i="4"/>
  <c r="B668" i="4"/>
  <c r="D667" i="4"/>
  <c r="C667" i="4"/>
  <c r="B667" i="4"/>
  <c r="D666" i="4"/>
  <c r="C666" i="4"/>
  <c r="B666" i="4"/>
  <c r="D665" i="4"/>
  <c r="C665" i="4"/>
  <c r="B665" i="4"/>
  <c r="D664" i="4"/>
  <c r="C664" i="4"/>
  <c r="B664" i="4"/>
  <c r="D663" i="4"/>
  <c r="C663" i="4"/>
  <c r="B663" i="4"/>
  <c r="D662" i="4"/>
  <c r="C662" i="4"/>
  <c r="B662" i="4"/>
  <c r="D661" i="4"/>
  <c r="C661" i="4"/>
  <c r="B661" i="4"/>
  <c r="D660" i="4"/>
  <c r="C660" i="4"/>
  <c r="B660" i="4"/>
  <c r="C659" i="4"/>
  <c r="B659" i="4"/>
  <c r="D658" i="4"/>
  <c r="C658" i="4"/>
  <c r="B658" i="4"/>
  <c r="C657" i="4"/>
  <c r="B657" i="4"/>
  <c r="C655" i="4"/>
  <c r="B655" i="4"/>
  <c r="D654" i="4"/>
  <c r="C654" i="4"/>
  <c r="B654" i="4"/>
  <c r="D653" i="4"/>
  <c r="C653" i="4"/>
  <c r="B653" i="4"/>
  <c r="D652" i="4"/>
  <c r="C652" i="4"/>
  <c r="B652" i="4"/>
  <c r="D651" i="4"/>
  <c r="C651" i="4"/>
  <c r="B651" i="4"/>
  <c r="D650" i="4"/>
  <c r="C650" i="4"/>
  <c r="B650" i="4"/>
  <c r="C649" i="4"/>
  <c r="B649" i="4"/>
  <c r="C648" i="4"/>
  <c r="B648" i="4"/>
  <c r="D647" i="4"/>
  <c r="C647" i="4"/>
  <c r="B647" i="4"/>
  <c r="D646" i="4"/>
  <c r="C646" i="4"/>
  <c r="B646" i="4"/>
  <c r="D645" i="4"/>
  <c r="C645" i="4"/>
  <c r="B645" i="4"/>
  <c r="D644" i="4"/>
  <c r="C644" i="4"/>
  <c r="B644" i="4"/>
  <c r="D643" i="4"/>
  <c r="C643" i="4"/>
  <c r="B643" i="4"/>
  <c r="C642" i="4"/>
  <c r="B642" i="4"/>
  <c r="C641" i="4"/>
  <c r="B641" i="4"/>
  <c r="D640" i="4"/>
  <c r="C640" i="4"/>
  <c r="B640" i="4"/>
  <c r="D639" i="4"/>
  <c r="C639" i="4"/>
  <c r="B639" i="4"/>
  <c r="D638" i="4"/>
  <c r="C638" i="4"/>
  <c r="B638" i="4"/>
  <c r="D637" i="4"/>
  <c r="C637" i="4"/>
  <c r="B637" i="4"/>
  <c r="C636" i="4"/>
  <c r="B636" i="4"/>
  <c r="C635" i="4"/>
  <c r="B635" i="4"/>
  <c r="D634" i="4"/>
  <c r="C634" i="4"/>
  <c r="B634" i="4"/>
  <c r="D633" i="4"/>
  <c r="C633" i="4"/>
  <c r="B633" i="4"/>
  <c r="D632" i="4"/>
  <c r="C632" i="4"/>
  <c r="B632" i="4"/>
  <c r="D631" i="4"/>
  <c r="C631" i="4"/>
  <c r="B631" i="4"/>
  <c r="D630" i="4"/>
  <c r="C630" i="4"/>
  <c r="B630" i="4"/>
  <c r="D629" i="4"/>
  <c r="C629" i="4"/>
  <c r="B629" i="4"/>
  <c r="D628" i="4"/>
  <c r="C628" i="4"/>
  <c r="B628" i="4"/>
  <c r="D627" i="4"/>
  <c r="C627" i="4"/>
  <c r="B627" i="4"/>
  <c r="D626" i="4"/>
  <c r="C626" i="4"/>
  <c r="B626" i="4"/>
  <c r="C625" i="4"/>
  <c r="B625" i="4"/>
  <c r="C624" i="4"/>
  <c r="B624" i="4"/>
  <c r="D623" i="4"/>
  <c r="C623" i="4"/>
  <c r="B623" i="4"/>
  <c r="D622" i="4"/>
  <c r="C622" i="4"/>
  <c r="B622" i="4"/>
  <c r="D621" i="4"/>
  <c r="C621" i="4"/>
  <c r="B621" i="4"/>
  <c r="D620" i="4"/>
  <c r="C620" i="4"/>
  <c r="B620" i="4"/>
  <c r="D619" i="4"/>
  <c r="C619" i="4"/>
  <c r="B619" i="4"/>
  <c r="C618" i="4"/>
  <c r="B618" i="4"/>
  <c r="C617" i="4"/>
  <c r="B617" i="4"/>
  <c r="D616" i="4"/>
  <c r="C616" i="4"/>
  <c r="B616" i="4"/>
  <c r="D615" i="4"/>
  <c r="C615" i="4"/>
  <c r="B615" i="4"/>
  <c r="D614" i="4"/>
  <c r="C614" i="4"/>
  <c r="B614" i="4"/>
  <c r="D613" i="4"/>
  <c r="C613" i="4"/>
  <c r="B613" i="4"/>
  <c r="C612" i="4"/>
  <c r="B612" i="4"/>
  <c r="C611" i="4"/>
  <c r="B611" i="4"/>
  <c r="D610" i="4"/>
  <c r="C610" i="4"/>
  <c r="B610" i="4"/>
  <c r="D609" i="4"/>
  <c r="C609" i="4"/>
  <c r="B609" i="4"/>
  <c r="D608" i="4"/>
  <c r="C608" i="4"/>
  <c r="B608" i="4"/>
  <c r="D607" i="4"/>
  <c r="C607" i="4"/>
  <c r="B607" i="4"/>
  <c r="D606" i="4"/>
  <c r="C606" i="4"/>
  <c r="B606" i="4"/>
  <c r="C605" i="4"/>
  <c r="B605" i="4"/>
  <c r="C604" i="4"/>
  <c r="B604" i="4"/>
  <c r="D603" i="4"/>
  <c r="C603" i="4"/>
  <c r="B603" i="4"/>
  <c r="D602" i="4"/>
  <c r="C602" i="4"/>
  <c r="B602" i="4"/>
  <c r="D601" i="4"/>
  <c r="C601" i="4"/>
  <c r="B601" i="4"/>
  <c r="D600" i="4"/>
  <c r="C600" i="4"/>
  <c r="B600" i="4"/>
  <c r="D599" i="4"/>
  <c r="C599" i="4"/>
  <c r="B599" i="4"/>
  <c r="D598" i="4"/>
  <c r="C598" i="4"/>
  <c r="B598" i="4"/>
  <c r="C597" i="4"/>
  <c r="B597" i="4"/>
  <c r="C596" i="4"/>
  <c r="B596" i="4"/>
  <c r="D595" i="4"/>
  <c r="C595" i="4"/>
  <c r="B595" i="4"/>
  <c r="D594" i="4"/>
  <c r="C594" i="4"/>
  <c r="B594" i="4"/>
  <c r="D593" i="4"/>
  <c r="C593" i="4"/>
  <c r="B593" i="4"/>
  <c r="D592" i="4"/>
  <c r="C592" i="4"/>
  <c r="B592" i="4"/>
  <c r="D591" i="4"/>
  <c r="C591" i="4"/>
  <c r="B591" i="4"/>
  <c r="D590" i="4"/>
  <c r="C590" i="4"/>
  <c r="B590" i="4"/>
  <c r="D589" i="4"/>
  <c r="C589" i="4"/>
  <c r="B589" i="4"/>
  <c r="D588" i="4"/>
  <c r="C588" i="4"/>
  <c r="B588" i="4"/>
  <c r="D587" i="4"/>
  <c r="C587" i="4"/>
  <c r="B587" i="4"/>
  <c r="D586" i="4"/>
  <c r="C586" i="4"/>
  <c r="B586" i="4"/>
  <c r="C585" i="4"/>
  <c r="B585" i="4"/>
  <c r="C583" i="4"/>
  <c r="B583" i="4"/>
  <c r="D582" i="4"/>
  <c r="C582" i="4"/>
  <c r="B582" i="4"/>
  <c r="D581" i="4"/>
  <c r="C581" i="4"/>
  <c r="B581" i="4"/>
  <c r="D580" i="4"/>
  <c r="C580" i="4"/>
  <c r="B580" i="4"/>
  <c r="D579" i="4"/>
  <c r="C579" i="4"/>
  <c r="B579" i="4"/>
  <c r="D578" i="4"/>
  <c r="C578" i="4"/>
  <c r="B578" i="4"/>
  <c r="C577" i="4"/>
  <c r="B577" i="4"/>
  <c r="C576" i="4"/>
  <c r="B576" i="4"/>
  <c r="D575" i="4"/>
  <c r="C575" i="4"/>
  <c r="B575" i="4"/>
  <c r="D574" i="4"/>
  <c r="C574" i="4"/>
  <c r="B574" i="4"/>
  <c r="D573" i="4"/>
  <c r="C573" i="4"/>
  <c r="B573" i="4"/>
  <c r="D572" i="4"/>
  <c r="C572" i="4"/>
  <c r="B572" i="4"/>
  <c r="D571" i="4"/>
  <c r="C571" i="4"/>
  <c r="B571" i="4"/>
  <c r="C570" i="4"/>
  <c r="B570" i="4"/>
  <c r="C569" i="4"/>
  <c r="B569" i="4"/>
  <c r="D568" i="4"/>
  <c r="C568" i="4"/>
  <c r="B568" i="4"/>
  <c r="D567" i="4"/>
  <c r="C567" i="4"/>
  <c r="B567" i="4"/>
  <c r="D566" i="4"/>
  <c r="C566" i="4"/>
  <c r="B566" i="4"/>
  <c r="D565" i="4"/>
  <c r="C565" i="4"/>
  <c r="B565" i="4"/>
  <c r="C564" i="4"/>
  <c r="B564" i="4"/>
  <c r="C563" i="4"/>
  <c r="B563" i="4"/>
  <c r="D562" i="4"/>
  <c r="C562" i="4"/>
  <c r="B562" i="4"/>
  <c r="D561" i="4"/>
  <c r="C561" i="4"/>
  <c r="B561" i="4"/>
  <c r="D560" i="4"/>
  <c r="C560" i="4"/>
  <c r="B560" i="4"/>
  <c r="D559" i="4"/>
  <c r="C559" i="4"/>
  <c r="B559" i="4"/>
  <c r="D558" i="4"/>
  <c r="C558" i="4"/>
  <c r="B558" i="4"/>
  <c r="D557" i="4"/>
  <c r="C557" i="4"/>
  <c r="B557" i="4"/>
  <c r="D556" i="4"/>
  <c r="C556" i="4"/>
  <c r="B556" i="4"/>
  <c r="D555" i="4"/>
  <c r="C555" i="4"/>
  <c r="B555" i="4"/>
  <c r="D554" i="4"/>
  <c r="C554" i="4"/>
  <c r="B554" i="4"/>
  <c r="C553" i="4"/>
  <c r="B553" i="4"/>
  <c r="C552" i="4"/>
  <c r="B552" i="4"/>
  <c r="D551" i="4"/>
  <c r="C551" i="4"/>
  <c r="B551" i="4"/>
  <c r="D550" i="4"/>
  <c r="C550" i="4"/>
  <c r="B550" i="4"/>
  <c r="D549" i="4"/>
  <c r="C549" i="4"/>
  <c r="B549" i="4"/>
  <c r="D548" i="4"/>
  <c r="C548" i="4"/>
  <c r="B548" i="4"/>
  <c r="C547" i="4"/>
  <c r="B547" i="4"/>
  <c r="C546" i="4"/>
  <c r="B546" i="4"/>
  <c r="C545" i="4"/>
  <c r="B545" i="4"/>
  <c r="D544" i="4"/>
  <c r="C544" i="4"/>
  <c r="B544" i="4"/>
  <c r="D543" i="4"/>
  <c r="C543" i="4"/>
  <c r="B543" i="4"/>
  <c r="C542" i="4"/>
  <c r="B542" i="4"/>
  <c r="D541" i="4"/>
  <c r="C541" i="4"/>
  <c r="B541" i="4"/>
  <c r="C540" i="4"/>
  <c r="B540" i="4"/>
  <c r="C539" i="4"/>
  <c r="B539" i="4"/>
  <c r="D538" i="4"/>
  <c r="C538" i="4"/>
  <c r="B538" i="4"/>
  <c r="D537" i="4"/>
  <c r="C537" i="4"/>
  <c r="B537" i="4"/>
  <c r="D536" i="4"/>
  <c r="C536" i="4"/>
  <c r="B536" i="4"/>
  <c r="D535" i="4"/>
  <c r="C535" i="4"/>
  <c r="B535" i="4"/>
  <c r="D534" i="4"/>
  <c r="C534" i="4"/>
  <c r="B534" i="4"/>
  <c r="C533" i="4"/>
  <c r="B533" i="4"/>
  <c r="C532" i="4"/>
  <c r="B532" i="4"/>
  <c r="D531" i="4"/>
  <c r="C531" i="4"/>
  <c r="B531" i="4"/>
  <c r="D530" i="4"/>
  <c r="C530" i="4"/>
  <c r="B530" i="4"/>
  <c r="D529" i="4"/>
  <c r="C529" i="4"/>
  <c r="B529" i="4"/>
  <c r="D528" i="4"/>
  <c r="C528" i="4"/>
  <c r="B528" i="4"/>
  <c r="D527" i="4"/>
  <c r="C527" i="4"/>
  <c r="B527" i="4"/>
  <c r="D526" i="4"/>
  <c r="C526" i="4"/>
  <c r="B526" i="4"/>
  <c r="D525" i="4"/>
  <c r="C525" i="4"/>
  <c r="B525" i="4"/>
  <c r="C524" i="4"/>
  <c r="B524" i="4"/>
  <c r="D523" i="4"/>
  <c r="C523" i="4"/>
  <c r="B523" i="4"/>
  <c r="D522" i="4"/>
  <c r="C522" i="4"/>
  <c r="B522" i="4"/>
  <c r="D521" i="4"/>
  <c r="C521" i="4"/>
  <c r="B521" i="4"/>
  <c r="D520" i="4"/>
  <c r="C520" i="4"/>
  <c r="B520" i="4"/>
  <c r="D519" i="4"/>
  <c r="C519" i="4"/>
  <c r="B519" i="4"/>
  <c r="D518" i="4"/>
  <c r="C518" i="4"/>
  <c r="B518" i="4"/>
  <c r="D517" i="4"/>
  <c r="C517" i="4"/>
  <c r="B517" i="4"/>
  <c r="D516" i="4"/>
  <c r="C516" i="4"/>
  <c r="B516" i="4"/>
  <c r="C515" i="4"/>
  <c r="B515" i="4"/>
  <c r="D514" i="4"/>
  <c r="C514" i="4"/>
  <c r="B514" i="4"/>
  <c r="C513" i="4"/>
  <c r="B513" i="4"/>
  <c r="C511" i="4"/>
  <c r="B511" i="4"/>
  <c r="D510" i="4"/>
  <c r="C510" i="4"/>
  <c r="B510" i="4"/>
  <c r="D509" i="4"/>
  <c r="C509" i="4"/>
  <c r="B509" i="4"/>
  <c r="D508" i="4"/>
  <c r="C508" i="4"/>
  <c r="B508" i="4"/>
  <c r="D507" i="4"/>
  <c r="C507" i="4"/>
  <c r="B507" i="4"/>
  <c r="D506" i="4"/>
  <c r="C506" i="4"/>
  <c r="B506" i="4"/>
  <c r="C505" i="4"/>
  <c r="B505" i="4"/>
  <c r="C504" i="4"/>
  <c r="B504" i="4"/>
  <c r="D503" i="4"/>
  <c r="C503" i="4"/>
  <c r="B503" i="4"/>
  <c r="D502" i="4"/>
  <c r="C502" i="4"/>
  <c r="B502" i="4"/>
  <c r="D501" i="4"/>
  <c r="C501" i="4"/>
  <c r="B501" i="4"/>
  <c r="D500" i="4"/>
  <c r="C500" i="4"/>
  <c r="B500" i="4"/>
  <c r="D499" i="4"/>
  <c r="C499" i="4"/>
  <c r="B499" i="4"/>
  <c r="C498" i="4"/>
  <c r="B498" i="4"/>
  <c r="C497" i="4"/>
  <c r="B497" i="4"/>
  <c r="D496" i="4"/>
  <c r="C496" i="4"/>
  <c r="B496" i="4"/>
  <c r="D495" i="4"/>
  <c r="C495" i="4"/>
  <c r="B495" i="4"/>
  <c r="D494" i="4"/>
  <c r="C494" i="4"/>
  <c r="B494" i="4"/>
  <c r="D493" i="4"/>
  <c r="C493" i="4"/>
  <c r="B493" i="4"/>
  <c r="D492" i="4"/>
  <c r="C492" i="4"/>
  <c r="B492" i="4"/>
  <c r="C491" i="4"/>
  <c r="B491" i="4"/>
  <c r="D490" i="4"/>
  <c r="C490" i="4"/>
  <c r="B490" i="4"/>
  <c r="D489" i="4"/>
  <c r="C489" i="4"/>
  <c r="B489" i="4"/>
  <c r="D488" i="4"/>
  <c r="C488" i="4"/>
  <c r="B488" i="4"/>
  <c r="D487" i="4"/>
  <c r="C487" i="4"/>
  <c r="B487" i="4"/>
  <c r="D486" i="4"/>
  <c r="C486" i="4"/>
  <c r="B486" i="4"/>
  <c r="D485" i="4"/>
  <c r="C485" i="4"/>
  <c r="B485" i="4"/>
  <c r="D484" i="4"/>
  <c r="C484" i="4"/>
  <c r="B484" i="4"/>
  <c r="D483" i="4"/>
  <c r="C483" i="4"/>
  <c r="B483" i="4"/>
  <c r="D482" i="4"/>
  <c r="C482" i="4"/>
  <c r="B482" i="4"/>
  <c r="C481" i="4"/>
  <c r="B481" i="4"/>
  <c r="C480" i="4"/>
  <c r="B480" i="4"/>
  <c r="D479" i="4"/>
  <c r="C479" i="4"/>
  <c r="B479" i="4"/>
  <c r="D478" i="4"/>
  <c r="C478" i="4"/>
  <c r="B478" i="4"/>
  <c r="D477" i="4"/>
  <c r="C477" i="4"/>
  <c r="B477" i="4"/>
  <c r="D476" i="4"/>
  <c r="C476" i="4"/>
  <c r="B476" i="4"/>
  <c r="D475" i="4"/>
  <c r="C475" i="4"/>
  <c r="B475" i="4"/>
  <c r="C474" i="4"/>
  <c r="B474" i="4"/>
  <c r="C473" i="4"/>
  <c r="B473" i="4"/>
  <c r="D472" i="4"/>
  <c r="C472" i="4"/>
  <c r="B472" i="4"/>
  <c r="D471" i="4"/>
  <c r="C471" i="4"/>
  <c r="B471" i="4"/>
  <c r="D470" i="4"/>
  <c r="C470" i="4"/>
  <c r="B470" i="4"/>
  <c r="D469" i="4"/>
  <c r="C469" i="4"/>
  <c r="B469" i="4"/>
  <c r="D468" i="4"/>
  <c r="C468" i="4"/>
  <c r="B468" i="4"/>
  <c r="C467" i="4"/>
  <c r="B467" i="4"/>
  <c r="D466" i="4"/>
  <c r="C466" i="4"/>
  <c r="B466" i="4"/>
  <c r="D465" i="4"/>
  <c r="C465" i="4"/>
  <c r="B465" i="4"/>
  <c r="D464" i="4"/>
  <c r="C464" i="4"/>
  <c r="B464" i="4"/>
  <c r="D463" i="4"/>
  <c r="C463" i="4"/>
  <c r="B463" i="4"/>
  <c r="D462" i="4"/>
  <c r="C462" i="4"/>
  <c r="B462" i="4"/>
  <c r="D461" i="4"/>
  <c r="C461" i="4"/>
  <c r="B461" i="4"/>
  <c r="D460" i="4"/>
  <c r="C460" i="4"/>
  <c r="B460" i="4"/>
  <c r="D459" i="4"/>
  <c r="C459" i="4"/>
  <c r="B459" i="4"/>
  <c r="D458" i="4"/>
  <c r="C458" i="4"/>
  <c r="B458" i="4"/>
  <c r="D457" i="4"/>
  <c r="C457" i="4"/>
  <c r="B457" i="4"/>
  <c r="D456" i="4"/>
  <c r="C456" i="4"/>
  <c r="B456" i="4"/>
  <c r="D455" i="4"/>
  <c r="C455" i="4"/>
  <c r="B455" i="4"/>
  <c r="D454" i="4"/>
  <c r="C454" i="4"/>
  <c r="B454" i="4"/>
  <c r="C453" i="4"/>
  <c r="B453" i="4"/>
  <c r="D452" i="4"/>
  <c r="C452" i="4"/>
  <c r="B452" i="4"/>
  <c r="D451" i="4"/>
  <c r="C451" i="4"/>
  <c r="B451" i="4"/>
  <c r="D450" i="4"/>
  <c r="C450" i="4"/>
  <c r="B450" i="4"/>
  <c r="D449" i="4"/>
  <c r="C449" i="4"/>
  <c r="B449" i="4"/>
  <c r="D448" i="4"/>
  <c r="C448" i="4"/>
  <c r="B448" i="4"/>
  <c r="D447" i="4"/>
  <c r="C447" i="4"/>
  <c r="B447" i="4"/>
  <c r="D446" i="4"/>
  <c r="C446" i="4"/>
  <c r="B446" i="4"/>
  <c r="D445" i="4"/>
  <c r="C445" i="4"/>
  <c r="B445" i="4"/>
  <c r="D444" i="4"/>
  <c r="C444" i="4"/>
  <c r="B444" i="4"/>
  <c r="D443" i="4"/>
  <c r="C443" i="4"/>
  <c r="B443" i="4"/>
  <c r="D442" i="4"/>
  <c r="C442" i="4"/>
  <c r="B442" i="4"/>
  <c r="C441" i="4"/>
  <c r="B441" i="4"/>
  <c r="C439" i="4"/>
  <c r="B439" i="4"/>
  <c r="D438" i="4"/>
  <c r="C438" i="4"/>
  <c r="B438" i="4"/>
  <c r="D437" i="4"/>
  <c r="C437" i="4"/>
  <c r="B437" i="4"/>
  <c r="D436" i="4"/>
  <c r="C436" i="4"/>
  <c r="B436" i="4"/>
  <c r="D435" i="4"/>
  <c r="C435" i="4"/>
  <c r="B435" i="4"/>
  <c r="D434" i="4"/>
  <c r="C434" i="4"/>
  <c r="B434" i="4"/>
  <c r="C433" i="4"/>
  <c r="B433" i="4"/>
  <c r="C432" i="4"/>
  <c r="B432" i="4"/>
  <c r="D431" i="4"/>
  <c r="C431" i="4"/>
  <c r="B431" i="4"/>
  <c r="D430" i="4"/>
  <c r="C430" i="4"/>
  <c r="B430" i="4"/>
  <c r="D429" i="4"/>
  <c r="C429" i="4"/>
  <c r="B429" i="4"/>
  <c r="D428" i="4"/>
  <c r="C428" i="4"/>
  <c r="B428" i="4"/>
  <c r="D427" i="4"/>
  <c r="C427" i="4"/>
  <c r="B427" i="4"/>
  <c r="C426" i="4"/>
  <c r="B426" i="4"/>
  <c r="C425" i="4"/>
  <c r="B425" i="4"/>
  <c r="D424" i="4"/>
  <c r="C424" i="4"/>
  <c r="B424" i="4"/>
  <c r="D423" i="4"/>
  <c r="C423" i="4"/>
  <c r="B423" i="4"/>
  <c r="D422" i="4"/>
  <c r="C422" i="4"/>
  <c r="B422" i="4"/>
  <c r="D421" i="4"/>
  <c r="C421" i="4"/>
  <c r="B421" i="4"/>
  <c r="C420" i="4"/>
  <c r="B420" i="4"/>
  <c r="D419" i="4"/>
  <c r="C419" i="4"/>
  <c r="B419" i="4"/>
  <c r="D418" i="4"/>
  <c r="C418" i="4"/>
  <c r="B418" i="4"/>
  <c r="D417" i="4"/>
  <c r="C417" i="4"/>
  <c r="B417" i="4"/>
  <c r="D416" i="4"/>
  <c r="C416" i="4"/>
  <c r="B416" i="4"/>
  <c r="D415" i="4"/>
  <c r="C415" i="4"/>
  <c r="B415" i="4"/>
  <c r="D414" i="4"/>
  <c r="C414" i="4"/>
  <c r="B414" i="4"/>
  <c r="D413" i="4"/>
  <c r="C413" i="4"/>
  <c r="B413" i="4"/>
  <c r="D412" i="4"/>
  <c r="C412" i="4"/>
  <c r="B412" i="4"/>
  <c r="D411" i="4"/>
  <c r="C411" i="4"/>
  <c r="B411" i="4"/>
  <c r="D410" i="4"/>
  <c r="C410" i="4"/>
  <c r="B410" i="4"/>
  <c r="C409" i="4"/>
  <c r="B409" i="4"/>
  <c r="C408" i="4"/>
  <c r="B408" i="4"/>
  <c r="D407" i="4"/>
  <c r="C407" i="4"/>
  <c r="B407" i="4"/>
  <c r="D406" i="4"/>
  <c r="C406" i="4"/>
  <c r="B406" i="4"/>
  <c r="D405" i="4"/>
  <c r="C405" i="4"/>
  <c r="B405" i="4"/>
  <c r="D404" i="4"/>
  <c r="C404" i="4"/>
  <c r="B404" i="4"/>
  <c r="D403" i="4"/>
  <c r="C403" i="4"/>
  <c r="B403" i="4"/>
  <c r="C402" i="4"/>
  <c r="B402" i="4"/>
  <c r="C401" i="4"/>
  <c r="B401" i="4"/>
  <c r="D400" i="4"/>
  <c r="C400" i="4"/>
  <c r="B400" i="4"/>
  <c r="D399" i="4"/>
  <c r="C399" i="4"/>
  <c r="B399" i="4"/>
  <c r="D398" i="4"/>
  <c r="C398" i="4"/>
  <c r="B398" i="4"/>
  <c r="D397" i="4"/>
  <c r="C397" i="4"/>
  <c r="B397" i="4"/>
  <c r="C396" i="4"/>
  <c r="B396" i="4"/>
  <c r="D395" i="4"/>
  <c r="C395" i="4"/>
  <c r="B395" i="4"/>
  <c r="D394" i="4"/>
  <c r="C394" i="4"/>
  <c r="B394" i="4"/>
  <c r="D393" i="4"/>
  <c r="C393" i="4"/>
  <c r="B393" i="4"/>
  <c r="D392" i="4"/>
  <c r="C392" i="4"/>
  <c r="B392" i="4"/>
  <c r="D391" i="4"/>
  <c r="C391" i="4"/>
  <c r="B391" i="4"/>
  <c r="D390" i="4"/>
  <c r="C390" i="4"/>
  <c r="B390" i="4"/>
  <c r="C389" i="4"/>
  <c r="B389" i="4"/>
  <c r="C388" i="4"/>
  <c r="B388" i="4"/>
  <c r="D387" i="4"/>
  <c r="C387" i="4"/>
  <c r="B387" i="4"/>
  <c r="D386" i="4"/>
  <c r="C386" i="4"/>
  <c r="B386" i="4"/>
  <c r="D385" i="4"/>
  <c r="C385" i="4"/>
  <c r="B385" i="4"/>
  <c r="D384" i="4"/>
  <c r="C384" i="4"/>
  <c r="B384" i="4"/>
  <c r="D383" i="4"/>
  <c r="C383" i="4"/>
  <c r="B383" i="4"/>
  <c r="D382" i="4"/>
  <c r="C382" i="4"/>
  <c r="B382" i="4"/>
  <c r="C381" i="4"/>
  <c r="B381" i="4"/>
  <c r="C380" i="4"/>
  <c r="B380" i="4"/>
  <c r="D379" i="4"/>
  <c r="C379" i="4"/>
  <c r="B379" i="4"/>
  <c r="D378" i="4"/>
  <c r="C378" i="4"/>
  <c r="B378" i="4"/>
  <c r="D377" i="4"/>
  <c r="C377" i="4"/>
  <c r="B377" i="4"/>
  <c r="D376" i="4"/>
  <c r="C376" i="4"/>
  <c r="B376" i="4"/>
  <c r="D375" i="4"/>
  <c r="C375" i="4"/>
  <c r="B375" i="4"/>
  <c r="D374" i="4"/>
  <c r="C374" i="4"/>
  <c r="B374" i="4"/>
  <c r="D373" i="4"/>
  <c r="C373" i="4"/>
  <c r="B373" i="4"/>
  <c r="D372" i="4"/>
  <c r="C372" i="4"/>
  <c r="B372" i="4"/>
  <c r="D371" i="4"/>
  <c r="C371" i="4"/>
  <c r="B371" i="4"/>
  <c r="D370" i="4"/>
  <c r="C370" i="4"/>
  <c r="B370" i="4"/>
  <c r="C369" i="4"/>
  <c r="B369" i="4"/>
  <c r="C367" i="4"/>
  <c r="B367" i="4"/>
  <c r="D366" i="4"/>
  <c r="C366" i="4"/>
  <c r="B366" i="4"/>
  <c r="D365" i="4"/>
  <c r="C365" i="4"/>
  <c r="B365" i="4"/>
  <c r="D364" i="4"/>
  <c r="C364" i="4"/>
  <c r="B364" i="4"/>
  <c r="D363" i="4"/>
  <c r="C363" i="4"/>
  <c r="B363" i="4"/>
  <c r="D362" i="4"/>
  <c r="C362" i="4"/>
  <c r="B362" i="4"/>
  <c r="C361" i="4"/>
  <c r="B361" i="4"/>
  <c r="C360" i="4"/>
  <c r="B360" i="4"/>
  <c r="D359" i="4"/>
  <c r="C359" i="4"/>
  <c r="B359" i="4"/>
  <c r="D358" i="4"/>
  <c r="C358" i="4"/>
  <c r="B358" i="4"/>
  <c r="D357" i="4"/>
  <c r="C357" i="4"/>
  <c r="B357" i="4"/>
  <c r="D356" i="4"/>
  <c r="C356" i="4"/>
  <c r="B356" i="4"/>
  <c r="D355" i="4"/>
  <c r="C355" i="4"/>
  <c r="B355" i="4"/>
  <c r="C354" i="4"/>
  <c r="B354" i="4"/>
  <c r="C353" i="4"/>
  <c r="B353" i="4"/>
  <c r="D352" i="4"/>
  <c r="C352" i="4"/>
  <c r="B352" i="4"/>
  <c r="D351" i="4"/>
  <c r="C351" i="4"/>
  <c r="B351" i="4"/>
  <c r="D350" i="4"/>
  <c r="C350" i="4"/>
  <c r="B350" i="4"/>
  <c r="C349" i="4"/>
  <c r="B349" i="4"/>
  <c r="C348" i="4"/>
  <c r="B348" i="4"/>
  <c r="C347" i="4"/>
  <c r="B347" i="4"/>
  <c r="D346" i="4"/>
  <c r="C346" i="4"/>
  <c r="B346" i="4"/>
  <c r="D345" i="4"/>
  <c r="C345" i="4"/>
  <c r="B345" i="4"/>
  <c r="D344" i="4"/>
  <c r="C344" i="4"/>
  <c r="B344" i="4"/>
  <c r="D343" i="4"/>
  <c r="C343" i="4"/>
  <c r="B343" i="4"/>
  <c r="D342" i="4"/>
  <c r="C342" i="4"/>
  <c r="B342" i="4"/>
  <c r="D341" i="4"/>
  <c r="C341" i="4"/>
  <c r="B341" i="4"/>
  <c r="D340" i="4"/>
  <c r="C340" i="4"/>
  <c r="B340" i="4"/>
  <c r="D339" i="4"/>
  <c r="C339" i="4"/>
  <c r="B339" i="4"/>
  <c r="D338" i="4"/>
  <c r="C338" i="4"/>
  <c r="B338" i="4"/>
  <c r="C337" i="4"/>
  <c r="B337" i="4"/>
  <c r="C336" i="4"/>
  <c r="B336" i="4"/>
  <c r="D335" i="4"/>
  <c r="C335" i="4"/>
  <c r="B335" i="4"/>
  <c r="D334" i="4"/>
  <c r="C334" i="4"/>
  <c r="B334" i="4"/>
  <c r="D333" i="4"/>
  <c r="C333" i="4"/>
  <c r="B333" i="4"/>
  <c r="D332" i="4"/>
  <c r="C332" i="4"/>
  <c r="B332" i="4"/>
  <c r="C331" i="4"/>
  <c r="B331" i="4"/>
  <c r="D330" i="4"/>
  <c r="C330" i="4"/>
  <c r="B330" i="4"/>
  <c r="C329" i="4"/>
  <c r="B329" i="4"/>
  <c r="D328" i="4"/>
  <c r="C328" i="4"/>
  <c r="B328" i="4"/>
  <c r="D327" i="4"/>
  <c r="C327" i="4"/>
  <c r="B327" i="4"/>
  <c r="D326" i="4"/>
  <c r="C326" i="4"/>
  <c r="B326" i="4"/>
  <c r="D325" i="4"/>
  <c r="C325" i="4"/>
  <c r="B325" i="4"/>
  <c r="C324" i="4"/>
  <c r="B324" i="4"/>
  <c r="C323" i="4"/>
  <c r="B323" i="4"/>
  <c r="D322" i="4"/>
  <c r="C322" i="4"/>
  <c r="B322" i="4"/>
  <c r="D321" i="4"/>
  <c r="C321" i="4"/>
  <c r="B321" i="4"/>
  <c r="D320" i="4"/>
  <c r="C320" i="4"/>
  <c r="B320" i="4"/>
  <c r="D319" i="4"/>
  <c r="C319" i="4"/>
  <c r="B319" i="4"/>
  <c r="D318" i="4"/>
  <c r="C318" i="4"/>
  <c r="B318" i="4"/>
  <c r="C317" i="4"/>
  <c r="B317" i="4"/>
  <c r="C316" i="4"/>
  <c r="B316" i="4"/>
  <c r="D315" i="4"/>
  <c r="C315" i="4"/>
  <c r="B315" i="4"/>
  <c r="D314" i="4"/>
  <c r="C314" i="4"/>
  <c r="B314" i="4"/>
  <c r="D313" i="4"/>
  <c r="C313" i="4"/>
  <c r="B313" i="4"/>
  <c r="D312" i="4"/>
  <c r="C312" i="4"/>
  <c r="B312" i="4"/>
  <c r="D311" i="4"/>
  <c r="C311" i="4"/>
  <c r="B311" i="4"/>
  <c r="D310" i="4"/>
  <c r="C310" i="4"/>
  <c r="B310" i="4"/>
  <c r="C309" i="4"/>
  <c r="B309" i="4"/>
  <c r="C308" i="4"/>
  <c r="B308" i="4"/>
  <c r="D307" i="4"/>
  <c r="C307" i="4"/>
  <c r="B307" i="4"/>
  <c r="D306" i="4"/>
  <c r="C306" i="4"/>
  <c r="B306" i="4"/>
  <c r="D305" i="4"/>
  <c r="C305" i="4"/>
  <c r="B305" i="4"/>
  <c r="D304" i="4"/>
  <c r="C304" i="4"/>
  <c r="B304" i="4"/>
  <c r="D303" i="4"/>
  <c r="C303" i="4"/>
  <c r="B303" i="4"/>
  <c r="D302" i="4"/>
  <c r="C302" i="4"/>
  <c r="B302" i="4"/>
  <c r="D301" i="4"/>
  <c r="C301" i="4"/>
  <c r="B301" i="4"/>
  <c r="D300" i="4"/>
  <c r="C300" i="4"/>
  <c r="B300" i="4"/>
  <c r="D299" i="4"/>
  <c r="C299" i="4"/>
  <c r="B299" i="4"/>
  <c r="D298" i="4"/>
  <c r="C298" i="4"/>
  <c r="B298" i="4"/>
  <c r="C297" i="4"/>
  <c r="B297" i="4"/>
  <c r="C295" i="4"/>
  <c r="B295" i="4"/>
  <c r="D294" i="4"/>
  <c r="C294" i="4"/>
  <c r="B294" i="4"/>
  <c r="D293" i="4"/>
  <c r="C293" i="4"/>
  <c r="B293" i="4"/>
  <c r="D292" i="4"/>
  <c r="C292" i="4"/>
  <c r="B292" i="4"/>
  <c r="D291" i="4"/>
  <c r="C291" i="4"/>
  <c r="B291" i="4"/>
  <c r="D290" i="4"/>
  <c r="C290" i="4"/>
  <c r="B290" i="4"/>
  <c r="D289" i="4"/>
  <c r="C289" i="4"/>
  <c r="B289" i="4"/>
  <c r="C288" i="4"/>
  <c r="B288" i="4"/>
  <c r="D287" i="4"/>
  <c r="C287" i="4"/>
  <c r="B287" i="4"/>
  <c r="D286" i="4"/>
  <c r="C286" i="4"/>
  <c r="B286" i="4"/>
  <c r="D285" i="4"/>
  <c r="C285" i="4"/>
  <c r="B285" i="4"/>
  <c r="D284" i="4"/>
  <c r="C284" i="4"/>
  <c r="B284" i="4"/>
  <c r="D283" i="4"/>
  <c r="C283" i="4"/>
  <c r="B283" i="4"/>
  <c r="C282" i="4"/>
  <c r="B282" i="4"/>
  <c r="D281" i="4"/>
  <c r="C281" i="4"/>
  <c r="B281" i="4"/>
  <c r="D280" i="4"/>
  <c r="C280" i="4"/>
  <c r="B280" i="4"/>
  <c r="D279" i="4"/>
  <c r="C279" i="4"/>
  <c r="B279" i="4"/>
  <c r="D278" i="4"/>
  <c r="C278" i="4"/>
  <c r="B278" i="4"/>
  <c r="D277" i="4"/>
  <c r="C277" i="4"/>
  <c r="B277" i="4"/>
  <c r="D276" i="4"/>
  <c r="C276" i="4"/>
  <c r="B276" i="4"/>
  <c r="C275" i="4"/>
  <c r="B275" i="4"/>
  <c r="D274" i="4"/>
  <c r="C274" i="4"/>
  <c r="B274" i="4"/>
  <c r="D273" i="4"/>
  <c r="C273" i="4"/>
  <c r="B273" i="4"/>
  <c r="D272" i="4"/>
  <c r="C272" i="4"/>
  <c r="B272" i="4"/>
  <c r="D271" i="4"/>
  <c r="C271" i="4"/>
  <c r="B271" i="4"/>
  <c r="D270" i="4"/>
  <c r="C270" i="4"/>
  <c r="B270" i="4"/>
  <c r="D269" i="4"/>
  <c r="C269" i="4"/>
  <c r="B269" i="4"/>
  <c r="D268" i="4"/>
  <c r="C268" i="4"/>
  <c r="B268" i="4"/>
  <c r="D267" i="4"/>
  <c r="C267" i="4"/>
  <c r="B267" i="4"/>
  <c r="D266" i="4"/>
  <c r="C266" i="4"/>
  <c r="B266" i="4"/>
  <c r="D265" i="4"/>
  <c r="C265" i="4"/>
  <c r="B265" i="4"/>
  <c r="C264" i="4"/>
  <c r="B264" i="4"/>
  <c r="D263" i="4"/>
  <c r="C263" i="4"/>
  <c r="B263" i="4"/>
  <c r="D262" i="4"/>
  <c r="C262" i="4"/>
  <c r="B262" i="4"/>
  <c r="D261" i="4"/>
  <c r="C261" i="4"/>
  <c r="B261" i="4"/>
  <c r="D260" i="4"/>
  <c r="C260" i="4"/>
  <c r="B260" i="4"/>
  <c r="C259" i="4"/>
  <c r="B259" i="4"/>
  <c r="C258" i="4"/>
  <c r="B258" i="4"/>
  <c r="D257" i="4"/>
  <c r="C257" i="4"/>
  <c r="B257" i="4"/>
  <c r="D256" i="4"/>
  <c r="C256" i="4"/>
  <c r="B256" i="4"/>
  <c r="D255" i="4"/>
  <c r="C255" i="4"/>
  <c r="B255" i="4"/>
  <c r="C254" i="4"/>
  <c r="B254" i="4"/>
  <c r="D253" i="4"/>
  <c r="C253" i="4"/>
  <c r="B253" i="4"/>
  <c r="C252" i="4"/>
  <c r="B252" i="4"/>
  <c r="C251" i="4"/>
  <c r="B251" i="4"/>
  <c r="D250" i="4"/>
  <c r="C250" i="4"/>
  <c r="B250" i="4"/>
  <c r="D249" i="4"/>
  <c r="C249" i="4"/>
  <c r="B249" i="4"/>
  <c r="D248" i="4"/>
  <c r="C248" i="4"/>
  <c r="B248" i="4"/>
  <c r="D247" i="4"/>
  <c r="C247" i="4"/>
  <c r="B247" i="4"/>
  <c r="D246" i="4"/>
  <c r="C246" i="4"/>
  <c r="B246" i="4"/>
  <c r="C245" i="4"/>
  <c r="B245" i="4"/>
  <c r="C244" i="4"/>
  <c r="B244" i="4"/>
  <c r="D243" i="4"/>
  <c r="C243" i="4"/>
  <c r="B243" i="4"/>
  <c r="D242" i="4"/>
  <c r="C242" i="4"/>
  <c r="B242" i="4"/>
  <c r="D241" i="4"/>
  <c r="C241" i="4"/>
  <c r="B241" i="4"/>
  <c r="D240" i="4"/>
  <c r="C240" i="4"/>
  <c r="B240" i="4"/>
  <c r="D239" i="4"/>
  <c r="C239" i="4"/>
  <c r="B239" i="4"/>
  <c r="D238" i="4"/>
  <c r="C238" i="4"/>
  <c r="B238" i="4"/>
  <c r="C237" i="4"/>
  <c r="B237" i="4"/>
  <c r="C236" i="4"/>
  <c r="B236" i="4"/>
  <c r="D235" i="4"/>
  <c r="C235" i="4"/>
  <c r="B235" i="4"/>
  <c r="D234" i="4"/>
  <c r="C234" i="4"/>
  <c r="B234" i="4"/>
  <c r="D233" i="4"/>
  <c r="C233" i="4"/>
  <c r="B233" i="4"/>
  <c r="D232" i="4"/>
  <c r="C232" i="4"/>
  <c r="B232" i="4"/>
  <c r="D231" i="4"/>
  <c r="C231" i="4"/>
  <c r="B231" i="4"/>
  <c r="D230" i="4"/>
  <c r="C230" i="4"/>
  <c r="B230" i="4"/>
  <c r="D229" i="4"/>
  <c r="C229" i="4"/>
  <c r="B229" i="4"/>
  <c r="D228" i="4"/>
  <c r="C228" i="4"/>
  <c r="B228" i="4"/>
  <c r="C227" i="4"/>
  <c r="B227" i="4"/>
  <c r="D226" i="4"/>
  <c r="C226" i="4"/>
  <c r="B226" i="4"/>
  <c r="C225" i="4"/>
  <c r="B225" i="4"/>
  <c r="C223" i="4"/>
  <c r="B223" i="4"/>
  <c r="D222" i="4"/>
  <c r="C222" i="4"/>
  <c r="B222" i="4"/>
  <c r="D221" i="4"/>
  <c r="C221" i="4"/>
  <c r="B221" i="4"/>
  <c r="D220" i="4"/>
  <c r="C220" i="4"/>
  <c r="B220" i="4"/>
  <c r="D219" i="4"/>
  <c r="C219" i="4"/>
  <c r="B219" i="4"/>
  <c r="D218" i="4"/>
  <c r="C218" i="4"/>
  <c r="B218" i="4"/>
  <c r="C217" i="4"/>
  <c r="B217" i="4"/>
  <c r="C216" i="4"/>
  <c r="B216" i="4"/>
  <c r="D215" i="4"/>
  <c r="C215" i="4"/>
  <c r="B215" i="4"/>
  <c r="D214" i="4"/>
  <c r="C214" i="4"/>
  <c r="B214" i="4"/>
  <c r="D213" i="4"/>
  <c r="C213" i="4"/>
  <c r="B213" i="4"/>
  <c r="D212" i="4"/>
  <c r="C212" i="4"/>
  <c r="B212" i="4"/>
  <c r="D211" i="4"/>
  <c r="C211" i="4"/>
  <c r="B211" i="4"/>
  <c r="C210" i="4"/>
  <c r="B210" i="4"/>
  <c r="D209" i="4"/>
  <c r="C209" i="4"/>
  <c r="B209" i="4"/>
  <c r="D208" i="4"/>
  <c r="C208" i="4"/>
  <c r="B208" i="4"/>
  <c r="D207" i="4"/>
  <c r="C207" i="4"/>
  <c r="B207" i="4"/>
  <c r="D206" i="4"/>
  <c r="C206" i="4"/>
  <c r="B206" i="4"/>
  <c r="D205" i="4"/>
  <c r="C205" i="4"/>
  <c r="B205" i="4"/>
  <c r="C204" i="4"/>
  <c r="B204" i="4"/>
  <c r="C203" i="4"/>
  <c r="B203" i="4"/>
  <c r="D202" i="4"/>
  <c r="C202" i="4"/>
  <c r="B202" i="4"/>
  <c r="D201" i="4"/>
  <c r="C201" i="4"/>
  <c r="B201" i="4"/>
  <c r="D200" i="4"/>
  <c r="C200" i="4"/>
  <c r="B200" i="4"/>
  <c r="D199" i="4"/>
  <c r="C199" i="4"/>
  <c r="B199" i="4"/>
  <c r="D198" i="4"/>
  <c r="C198" i="4"/>
  <c r="B198" i="4"/>
  <c r="D197" i="4"/>
  <c r="C197" i="4"/>
  <c r="B197" i="4"/>
  <c r="D196" i="4"/>
  <c r="C196" i="4"/>
  <c r="B196" i="4"/>
  <c r="D195" i="4"/>
  <c r="C195" i="4"/>
  <c r="B195" i="4"/>
  <c r="D194" i="4"/>
  <c r="C194" i="4"/>
  <c r="B194" i="4"/>
  <c r="C193" i="4"/>
  <c r="B193" i="4"/>
  <c r="D192" i="4"/>
  <c r="C192" i="4"/>
  <c r="B192" i="4"/>
  <c r="D191" i="4"/>
  <c r="C191" i="4"/>
  <c r="B191" i="4"/>
  <c r="D190" i="4"/>
  <c r="C190" i="4"/>
  <c r="B190" i="4"/>
  <c r="D189" i="4"/>
  <c r="C189" i="4"/>
  <c r="B189" i="4"/>
  <c r="D188" i="4"/>
  <c r="C188" i="4"/>
  <c r="B188" i="4"/>
  <c r="D187" i="4"/>
  <c r="C187" i="4"/>
  <c r="B187" i="4"/>
  <c r="C186" i="4"/>
  <c r="B186" i="4"/>
  <c r="C185" i="4"/>
  <c r="B185" i="4"/>
  <c r="D184" i="4"/>
  <c r="C184" i="4"/>
  <c r="B184" i="4"/>
  <c r="D183" i="4"/>
  <c r="C183" i="4"/>
  <c r="B183" i="4"/>
  <c r="D182" i="4"/>
  <c r="C182" i="4"/>
  <c r="B182" i="4"/>
  <c r="D181" i="4"/>
  <c r="C181" i="4"/>
  <c r="B181" i="4"/>
  <c r="C180" i="4"/>
  <c r="B180" i="4"/>
  <c r="C179" i="4"/>
  <c r="B179" i="4"/>
  <c r="D178" i="4"/>
  <c r="C178" i="4"/>
  <c r="B178" i="4"/>
  <c r="D177" i="4"/>
  <c r="C177" i="4"/>
  <c r="B177" i="4"/>
  <c r="D176" i="4"/>
  <c r="C176" i="4"/>
  <c r="B176" i="4"/>
  <c r="D175" i="4"/>
  <c r="C175" i="4"/>
  <c r="B175" i="4"/>
  <c r="D174" i="4"/>
  <c r="C174" i="4"/>
  <c r="B174" i="4"/>
  <c r="C173" i="4"/>
  <c r="B173" i="4"/>
  <c r="C172" i="4"/>
  <c r="B172" i="4"/>
  <c r="D171" i="4"/>
  <c r="C171" i="4"/>
  <c r="B171" i="4"/>
  <c r="D170" i="4"/>
  <c r="C170" i="4"/>
  <c r="B170" i="4"/>
  <c r="D169" i="4"/>
  <c r="C169" i="4"/>
  <c r="B169" i="4"/>
  <c r="D168" i="4"/>
  <c r="C168" i="4"/>
  <c r="B168" i="4"/>
  <c r="D167" i="4"/>
  <c r="C167" i="4"/>
  <c r="B167" i="4"/>
  <c r="D166" i="4"/>
  <c r="C166" i="4"/>
  <c r="B166" i="4"/>
  <c r="D165" i="4"/>
  <c r="C165" i="4"/>
  <c r="B165" i="4"/>
  <c r="C164" i="4"/>
  <c r="B164" i="4"/>
  <c r="D163" i="4"/>
  <c r="C163" i="4"/>
  <c r="B163" i="4"/>
  <c r="D162" i="4"/>
  <c r="C162" i="4"/>
  <c r="B162" i="4"/>
  <c r="D161" i="4"/>
  <c r="C161" i="4"/>
  <c r="B161" i="4"/>
  <c r="D160" i="4"/>
  <c r="C160" i="4"/>
  <c r="B160" i="4"/>
  <c r="D159" i="4"/>
  <c r="C159" i="4"/>
  <c r="B159" i="4"/>
  <c r="D158" i="4"/>
  <c r="C158" i="4"/>
  <c r="B158" i="4"/>
  <c r="D157" i="4"/>
  <c r="C157" i="4"/>
  <c r="B157" i="4"/>
  <c r="D156" i="4"/>
  <c r="C156" i="4"/>
  <c r="B156" i="4"/>
  <c r="D155" i="4"/>
  <c r="C155" i="4"/>
  <c r="B155" i="4"/>
  <c r="D154" i="4"/>
  <c r="C154" i="4"/>
  <c r="B154" i="4"/>
  <c r="C153" i="4"/>
  <c r="B153" i="4"/>
  <c r="D1735" i="4"/>
  <c r="D1729" i="4"/>
  <c r="D1657" i="4"/>
  <c r="D1656" i="4"/>
  <c r="D1722" i="4"/>
  <c r="D1650" i="4"/>
  <c r="D1721" i="4"/>
  <c r="D1649" i="4"/>
  <c r="D1716" i="4"/>
  <c r="D1644" i="4"/>
  <c r="D1715" i="4"/>
  <c r="D1643" i="4"/>
  <c r="D1705" i="4"/>
  <c r="D1632" i="4"/>
  <c r="D1698" i="4"/>
  <c r="D1626" i="4"/>
  <c r="D1697" i="4"/>
  <c r="D1625" i="4"/>
  <c r="D1692" i="4"/>
  <c r="D1620" i="4"/>
  <c r="D1691" i="4"/>
  <c r="D1619" i="4"/>
  <c r="D1685" i="4"/>
  <c r="D1613" i="4"/>
  <c r="D1684" i="4"/>
  <c r="D1612" i="4"/>
  <c r="D1605" i="4"/>
  <c r="D1676" i="4"/>
  <c r="D1604" i="4"/>
  <c r="D1665" i="4"/>
  <c r="D1593" i="4"/>
  <c r="D1591" i="4"/>
  <c r="D1519" i="4"/>
  <c r="D1585" i="4"/>
  <c r="D1513" i="4"/>
  <c r="D1584" i="4"/>
  <c r="D1512" i="4"/>
  <c r="D1578" i="4"/>
  <c r="D1506" i="4"/>
  <c r="D1577" i="4"/>
  <c r="D1505" i="4"/>
  <c r="D1572" i="4"/>
  <c r="D1500" i="4"/>
  <c r="D1571" i="4"/>
  <c r="D1499" i="4"/>
  <c r="D1489" i="4"/>
  <c r="D1560" i="4"/>
  <c r="D1488" i="4"/>
  <c r="D1554" i="4"/>
  <c r="D1482" i="4"/>
  <c r="D1553" i="4"/>
  <c r="D1481" i="4"/>
  <c r="D1548" i="4"/>
  <c r="D1476" i="4"/>
  <c r="D1547" i="4"/>
  <c r="D1475" i="4"/>
  <c r="D1541" i="4"/>
  <c r="D1540" i="4"/>
  <c r="D1468" i="4"/>
  <c r="D1532" i="4"/>
  <c r="D1460" i="4"/>
  <c r="D1521" i="4"/>
  <c r="D1449" i="4"/>
  <c r="D1447" i="4"/>
  <c r="D1375" i="4"/>
  <c r="D1441" i="4"/>
  <c r="D1369" i="4"/>
  <c r="D1440" i="4"/>
  <c r="D1368" i="4"/>
  <c r="D1434" i="4"/>
  <c r="D1362" i="4"/>
  <c r="D1433" i="4"/>
  <c r="D1361" i="4"/>
  <c r="D1356" i="4"/>
  <c r="D1427" i="4"/>
  <c r="D1417" i="4"/>
  <c r="D1345" i="4"/>
  <c r="D1416" i="4"/>
  <c r="D1344" i="4"/>
  <c r="D1410" i="4"/>
  <c r="D1338" i="4"/>
  <c r="D1409" i="4"/>
  <c r="D1337" i="4"/>
  <c r="D1332" i="4"/>
  <c r="D1403" i="4"/>
  <c r="D1397" i="4"/>
  <c r="D1325" i="4"/>
  <c r="D1324" i="4"/>
  <c r="D1389" i="4"/>
  <c r="D1317" i="4"/>
  <c r="D1316" i="4"/>
  <c r="D1305" i="4"/>
  <c r="D1303" i="4"/>
  <c r="D1231" i="4"/>
  <c r="D1297" i="4"/>
  <c r="D1225" i="4"/>
  <c r="D1224" i="4"/>
  <c r="D1218" i="4"/>
  <c r="D1289" i="4"/>
  <c r="D1217" i="4"/>
  <c r="D1284" i="4"/>
  <c r="D1212" i="4"/>
  <c r="D1283" i="4"/>
  <c r="D1211" i="4"/>
  <c r="D1273" i="4"/>
  <c r="D1272" i="4"/>
  <c r="D1200" i="4"/>
  <c r="D1265" i="4"/>
  <c r="D1193" i="4"/>
  <c r="D1260" i="4"/>
  <c r="D1188" i="4"/>
  <c r="D1259" i="4"/>
  <c r="D1187" i="4"/>
  <c r="D1253" i="4"/>
  <c r="D1181" i="4"/>
  <c r="D1252" i="4"/>
  <c r="D1180" i="4"/>
  <c r="D1173" i="4"/>
  <c r="D1244" i="4"/>
  <c r="D1172" i="4"/>
  <c r="D1161" i="4"/>
  <c r="D1159" i="4"/>
  <c r="D1087" i="4"/>
  <c r="D1153" i="4"/>
  <c r="D1081" i="4"/>
  <c r="D1152" i="4"/>
  <c r="D1080" i="4"/>
  <c r="D1146" i="4"/>
  <c r="D1074" i="4"/>
  <c r="D1145" i="4"/>
  <c r="D1073" i="4"/>
  <c r="D1140" i="4"/>
  <c r="D1139" i="4"/>
  <c r="D1067" i="4"/>
  <c r="D1129" i="4"/>
  <c r="D1128" i="4"/>
  <c r="D1056" i="4"/>
  <c r="D1050" i="4"/>
  <c r="D1121" i="4"/>
  <c r="D1049" i="4"/>
  <c r="D1116" i="4"/>
  <c r="D1115" i="4"/>
  <c r="D1043" i="4"/>
  <c r="D1037" i="4"/>
  <c r="D1108" i="4"/>
  <c r="D1036" i="4"/>
  <c r="D1029" i="4"/>
  <c r="D1100" i="4"/>
  <c r="D1028" i="4"/>
  <c r="D1017" i="4"/>
  <c r="D1015" i="4"/>
  <c r="D943" i="4"/>
  <c r="D1009" i="4"/>
  <c r="D937" i="4"/>
  <c r="D1008" i="4"/>
  <c r="D936" i="4"/>
  <c r="D1002" i="4"/>
  <c r="D1001" i="4"/>
  <c r="D929" i="4"/>
  <c r="D996" i="4"/>
  <c r="D924" i="4"/>
  <c r="D995" i="4"/>
  <c r="D923" i="4"/>
  <c r="D985" i="4"/>
  <c r="D913" i="4"/>
  <c r="D984" i="4"/>
  <c r="D912" i="4"/>
  <c r="D978" i="4"/>
  <c r="D977" i="4"/>
  <c r="D905" i="4"/>
  <c r="D972" i="4"/>
  <c r="D900" i="4"/>
  <c r="D899" i="4"/>
  <c r="D965" i="4"/>
  <c r="D893" i="4"/>
  <c r="D964" i="4"/>
  <c r="D892" i="4"/>
  <c r="D957" i="4"/>
  <c r="D885" i="4"/>
  <c r="D956" i="4"/>
  <c r="D884" i="4"/>
  <c r="D873" i="4"/>
  <c r="D871" i="4"/>
  <c r="D799" i="4"/>
  <c r="D865" i="4"/>
  <c r="D793" i="4"/>
  <c r="D864" i="4"/>
  <c r="D858" i="4"/>
  <c r="D786" i="4"/>
  <c r="D785" i="4"/>
  <c r="D852" i="4"/>
  <c r="D780" i="4"/>
  <c r="D851" i="4"/>
  <c r="D779" i="4"/>
  <c r="D769" i="4"/>
  <c r="D840" i="4"/>
  <c r="D834" i="4"/>
  <c r="D762" i="4"/>
  <c r="D761" i="4"/>
  <c r="D828" i="4"/>
  <c r="D756" i="4"/>
  <c r="D827" i="4"/>
  <c r="D755" i="4"/>
  <c r="D821" i="4"/>
  <c r="D749" i="4"/>
  <c r="D820" i="4"/>
  <c r="D748" i="4"/>
  <c r="D813" i="4"/>
  <c r="D741" i="4"/>
  <c r="D812" i="4"/>
  <c r="D740" i="4"/>
  <c r="D729" i="4"/>
  <c r="D655" i="4"/>
  <c r="D721" i="4"/>
  <c r="D649" i="4"/>
  <c r="D720" i="4"/>
  <c r="D648" i="4"/>
  <c r="D714" i="4"/>
  <c r="D642" i="4"/>
  <c r="D713" i="4"/>
  <c r="D641" i="4"/>
  <c r="D636" i="4"/>
  <c r="D707" i="4"/>
  <c r="D635" i="4"/>
  <c r="D697" i="4"/>
  <c r="D625" i="4"/>
  <c r="D696" i="4"/>
  <c r="D624" i="4"/>
  <c r="D690" i="4"/>
  <c r="D618" i="4"/>
  <c r="D689" i="4"/>
  <c r="D617" i="4"/>
  <c r="D684" i="4"/>
  <c r="D612" i="4"/>
  <c r="D683" i="4"/>
  <c r="D611" i="4"/>
  <c r="D677" i="4"/>
  <c r="D605" i="4"/>
  <c r="D676" i="4"/>
  <c r="D604" i="4"/>
  <c r="D669" i="4"/>
  <c r="D597" i="4"/>
  <c r="D596" i="4"/>
  <c r="D585" i="4"/>
  <c r="D583" i="4"/>
  <c r="D511" i="4"/>
  <c r="D577" i="4"/>
  <c r="D505" i="4"/>
  <c r="D576" i="4"/>
  <c r="D504" i="4"/>
  <c r="D570" i="4"/>
  <c r="D498" i="4"/>
  <c r="D569" i="4"/>
  <c r="D497" i="4"/>
  <c r="D564" i="4"/>
  <c r="D563" i="4"/>
  <c r="D491" i="4"/>
  <c r="D553" i="4"/>
  <c r="D481" i="4"/>
  <c r="D552" i="4"/>
  <c r="D480" i="4"/>
  <c r="D546" i="4"/>
  <c r="D474" i="4"/>
  <c r="D545" i="4"/>
  <c r="D473" i="4"/>
  <c r="D540" i="4"/>
  <c r="D539" i="4"/>
  <c r="D467" i="4"/>
  <c r="D533" i="4"/>
  <c r="D532" i="4"/>
  <c r="D453" i="4"/>
  <c r="D524" i="4"/>
  <c r="D513" i="4"/>
  <c r="D441" i="4"/>
  <c r="D439" i="4"/>
  <c r="D367" i="4"/>
  <c r="D433" i="4"/>
  <c r="D361" i="4"/>
  <c r="D432" i="4"/>
  <c r="D360" i="4"/>
  <c r="D426" i="4"/>
  <c r="D354" i="4"/>
  <c r="D425" i="4"/>
  <c r="D353" i="4"/>
  <c r="D420" i="4"/>
  <c r="D348" i="4"/>
  <c r="D347" i="4"/>
  <c r="D409" i="4"/>
  <c r="D337" i="4"/>
  <c r="D408" i="4"/>
  <c r="D336" i="4"/>
  <c r="D402" i="4"/>
  <c r="D401" i="4"/>
  <c r="D329" i="4"/>
  <c r="D396" i="4"/>
  <c r="D324" i="4"/>
  <c r="D323" i="4"/>
  <c r="D389" i="4"/>
  <c r="D317" i="4"/>
  <c r="D388" i="4"/>
  <c r="D316" i="4"/>
  <c r="D381" i="4"/>
  <c r="D309" i="4"/>
  <c r="D380" i="4"/>
  <c r="D308" i="4"/>
  <c r="D369" i="4"/>
  <c r="D297" i="4"/>
  <c r="D295" i="4"/>
  <c r="D223" i="4"/>
  <c r="D217" i="4"/>
  <c r="D288" i="4"/>
  <c r="D216" i="4"/>
  <c r="D282" i="4"/>
  <c r="D210" i="4"/>
  <c r="D204" i="4"/>
  <c r="D275" i="4"/>
  <c r="D203" i="4"/>
  <c r="D193" i="4"/>
  <c r="D264" i="4"/>
  <c r="D258" i="4"/>
  <c r="D186" i="4"/>
  <c r="D185" i="4"/>
  <c r="D252" i="4"/>
  <c r="D180" i="4"/>
  <c r="D251" i="4"/>
  <c r="D179" i="4"/>
  <c r="D245" i="4"/>
  <c r="D173" i="4"/>
  <c r="D244" i="4"/>
  <c r="D172" i="4"/>
  <c r="D237" i="4"/>
  <c r="D236" i="4"/>
  <c r="D164" i="4"/>
  <c r="D153" i="4"/>
  <c r="D73" i="4"/>
  <c r="B145" i="4"/>
  <c r="C145" i="4"/>
  <c r="D145" i="4"/>
  <c r="B146" i="4"/>
  <c r="C146" i="4"/>
  <c r="D146" i="4"/>
  <c r="B147" i="4"/>
  <c r="C147" i="4"/>
  <c r="B148" i="4"/>
  <c r="C148" i="4"/>
  <c r="D148" i="4"/>
  <c r="B149" i="4"/>
  <c r="C149" i="4"/>
  <c r="D149" i="4"/>
  <c r="B150" i="4"/>
  <c r="C150" i="4"/>
  <c r="D150" i="4"/>
  <c r="B151" i="4"/>
  <c r="C151" i="4"/>
  <c r="B87" i="4"/>
  <c r="C87" i="4"/>
  <c r="B88" i="4"/>
  <c r="C88" i="4"/>
  <c r="B89" i="4"/>
  <c r="C89" i="4"/>
  <c r="D89" i="4"/>
  <c r="B90" i="4"/>
  <c r="C90" i="4"/>
  <c r="B91" i="4"/>
  <c r="C91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72" i="4"/>
  <c r="C72" i="4"/>
  <c r="D72" i="4"/>
  <c r="B45" i="4"/>
  <c r="C45" i="4"/>
  <c r="D45" i="4"/>
  <c r="B46" i="4"/>
  <c r="C46" i="4"/>
  <c r="D46" i="4"/>
  <c r="B47" i="4"/>
  <c r="C47" i="4"/>
  <c r="D47" i="4"/>
  <c r="B48" i="4"/>
  <c r="C48" i="4"/>
  <c r="B33" i="4"/>
  <c r="C33" i="4"/>
  <c r="D33" i="4"/>
  <c r="B34" i="4"/>
  <c r="C34" i="4"/>
  <c r="D34" i="4"/>
  <c r="B35" i="4"/>
  <c r="C35" i="4"/>
  <c r="B56" i="4"/>
  <c r="C56" i="4"/>
  <c r="D56" i="4"/>
  <c r="B57" i="4"/>
  <c r="C57" i="4"/>
  <c r="D57" i="4"/>
  <c r="B58" i="4"/>
  <c r="C58" i="4"/>
  <c r="D58" i="4"/>
  <c r="B59" i="4"/>
  <c r="C59" i="4"/>
  <c r="D59" i="4"/>
  <c r="B139" i="4"/>
  <c r="C139" i="4"/>
  <c r="D139" i="4"/>
  <c r="B140" i="4"/>
  <c r="C140" i="4"/>
  <c r="D140" i="4"/>
  <c r="B141" i="4"/>
  <c r="C141" i="4"/>
  <c r="D141" i="4"/>
  <c r="B142" i="4"/>
  <c r="C142" i="4"/>
  <c r="B143" i="4"/>
  <c r="C143" i="4"/>
  <c r="D143" i="4"/>
  <c r="B144" i="4"/>
  <c r="C144" i="4"/>
  <c r="C138" i="4"/>
  <c r="B138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2" i="4"/>
  <c r="C132" i="4"/>
  <c r="B132" i="4"/>
  <c r="B122" i="4"/>
  <c r="C122" i="4"/>
  <c r="D122" i="4"/>
  <c r="B123" i="4"/>
  <c r="C123" i="4"/>
  <c r="D123" i="4"/>
  <c r="B124" i="4"/>
  <c r="C124" i="4"/>
  <c r="B125" i="4"/>
  <c r="C125" i="4"/>
  <c r="D125" i="4"/>
  <c r="B126" i="4"/>
  <c r="C126" i="4"/>
  <c r="D126" i="4"/>
  <c r="B127" i="4"/>
  <c r="C127" i="4"/>
  <c r="D127" i="4"/>
  <c r="B128" i="4"/>
  <c r="C128" i="4"/>
  <c r="B129" i="4"/>
  <c r="C129" i="4"/>
  <c r="D129" i="4"/>
  <c r="B130" i="4"/>
  <c r="C130" i="4"/>
  <c r="D130" i="4"/>
  <c r="B131" i="4"/>
  <c r="C131" i="4"/>
  <c r="B121" i="4"/>
  <c r="B115" i="4"/>
  <c r="C115" i="4"/>
  <c r="B116" i="4"/>
  <c r="C116" i="4"/>
  <c r="D116" i="4"/>
  <c r="B117" i="4"/>
  <c r="C117" i="4"/>
  <c r="D117" i="4"/>
  <c r="B118" i="4"/>
  <c r="C118" i="4"/>
  <c r="D118" i="4"/>
  <c r="B119" i="4"/>
  <c r="C119" i="4"/>
  <c r="B120" i="4"/>
  <c r="C120" i="4"/>
  <c r="D120" i="4"/>
  <c r="C114" i="4"/>
  <c r="B114" i="4"/>
  <c r="B113" i="4"/>
  <c r="C113" i="4"/>
  <c r="B109" i="4"/>
  <c r="C109" i="4"/>
  <c r="D109" i="4"/>
  <c r="B110" i="4"/>
  <c r="C110" i="4"/>
  <c r="B111" i="4"/>
  <c r="C111" i="4"/>
  <c r="D111" i="4"/>
  <c r="B112" i="4"/>
  <c r="C112" i="4"/>
  <c r="D112" i="4"/>
  <c r="D108" i="4"/>
  <c r="C108" i="4"/>
  <c r="B108" i="4"/>
  <c r="B107" i="4"/>
  <c r="C107" i="4"/>
  <c r="D107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C101" i="4"/>
  <c r="B101" i="4"/>
  <c r="B98" i="4"/>
  <c r="C98" i="4"/>
  <c r="D98" i="4"/>
  <c r="B99" i="4"/>
  <c r="C99" i="4"/>
  <c r="D99" i="4"/>
  <c r="B100" i="4"/>
  <c r="C100" i="4"/>
  <c r="B94" i="4"/>
  <c r="C94" i="4"/>
  <c r="D94" i="4"/>
  <c r="B95" i="4"/>
  <c r="C95" i="4"/>
  <c r="B96" i="4"/>
  <c r="C96" i="4"/>
  <c r="D96" i="4"/>
  <c r="B97" i="4"/>
  <c r="C97" i="4"/>
  <c r="D97" i="4"/>
  <c r="C93" i="4"/>
  <c r="B93" i="4"/>
  <c r="B92" i="4"/>
  <c r="C92" i="4"/>
  <c r="D92" i="4"/>
  <c r="B82" i="4"/>
  <c r="C82" i="4"/>
  <c r="B83" i="4"/>
  <c r="C83" i="4"/>
  <c r="B84" i="4"/>
  <c r="C84" i="4"/>
  <c r="B85" i="4"/>
  <c r="C85" i="4"/>
  <c r="B86" i="4"/>
  <c r="C86" i="4"/>
  <c r="D86" i="4"/>
  <c r="C81" i="4"/>
  <c r="B81" i="4"/>
  <c r="C73" i="4"/>
  <c r="B73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D66" i="4"/>
  <c r="C66" i="4"/>
  <c r="B66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0" i="4"/>
  <c r="C60" i="4"/>
  <c r="B60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D49" i="4"/>
  <c r="C49" i="4"/>
  <c r="B49" i="4"/>
  <c r="B43" i="4"/>
  <c r="C43" i="4"/>
  <c r="D43" i="4"/>
  <c r="B44" i="4"/>
  <c r="C44" i="4"/>
  <c r="D42" i="4"/>
  <c r="C42" i="4"/>
  <c r="B42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D36" i="4"/>
  <c r="C36" i="4"/>
  <c r="B36" i="4"/>
  <c r="B30" i="4"/>
  <c r="C30" i="4"/>
  <c r="D30" i="4"/>
  <c r="B31" i="4"/>
  <c r="C31" i="4"/>
  <c r="D31" i="4"/>
  <c r="B32" i="4"/>
  <c r="C32" i="4"/>
  <c r="D32" i="4"/>
  <c r="D29" i="4"/>
  <c r="C29" i="4"/>
  <c r="B29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C21" i="4"/>
  <c r="B21" i="4"/>
  <c r="B18" i="4"/>
  <c r="C18" i="4"/>
  <c r="D18" i="4"/>
  <c r="B19" i="4"/>
  <c r="C19" i="4"/>
  <c r="D19" i="4"/>
  <c r="B20" i="4"/>
  <c r="C20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D9" i="4"/>
  <c r="C9" i="4"/>
  <c r="B9" i="4"/>
  <c r="D144" i="4"/>
  <c r="D137" i="4"/>
  <c r="D65" i="4"/>
  <c r="D131" i="4"/>
  <c r="D48" i="4"/>
  <c r="D114" i="4"/>
  <c r="D113" i="4"/>
  <c r="D35" i="4"/>
  <c r="D21" i="4"/>
  <c r="D20" i="4"/>
  <c r="B4" i="4"/>
  <c r="C121" i="4"/>
  <c r="D121" i="4"/>
  <c r="L88" i="29" l="1"/>
  <c r="F98" i="29"/>
  <c r="F55" i="29"/>
  <c r="L46" i="29"/>
  <c r="L36" i="29"/>
  <c r="L25" i="30"/>
  <c r="F65" i="29"/>
  <c r="L98" i="29"/>
  <c r="L79" i="29"/>
  <c r="L65" i="29"/>
  <c r="L55" i="29"/>
  <c r="F108" i="29"/>
  <c r="F79" i="29"/>
  <c r="F25" i="29"/>
  <c r="F79" i="28"/>
  <c r="K10" i="28"/>
  <c r="M10" i="28" s="1"/>
  <c r="F25" i="28"/>
  <c r="F55" i="28"/>
  <c r="L108" i="28"/>
  <c r="F88" i="27"/>
  <c r="L36" i="27"/>
  <c r="L46" i="27"/>
  <c r="L25" i="27"/>
  <c r="L108" i="27"/>
  <c r="F108" i="26"/>
  <c r="F79" i="26"/>
  <c r="L108" i="25"/>
  <c r="L46" i="25"/>
  <c r="L98" i="25"/>
  <c r="F25" i="24"/>
  <c r="F65" i="24"/>
  <c r="L25" i="24"/>
  <c r="L98" i="24"/>
  <c r="L65" i="24"/>
  <c r="F25" i="23"/>
  <c r="L46" i="23"/>
  <c r="L55" i="23"/>
  <c r="F65" i="23"/>
  <c r="L98" i="23"/>
  <c r="F108" i="23"/>
  <c r="F36" i="23"/>
  <c r="F88" i="23"/>
  <c r="K10" i="23"/>
  <c r="M10" i="23" s="1"/>
  <c r="F55" i="22"/>
  <c r="F79" i="22"/>
  <c r="K10" i="22"/>
  <c r="M10" i="22" s="1"/>
  <c r="L36" i="22"/>
  <c r="L79" i="22"/>
  <c r="L88" i="22"/>
  <c r="L98" i="21"/>
  <c r="F79" i="21"/>
  <c r="L108" i="32"/>
  <c r="L65" i="32"/>
  <c r="L79" i="32"/>
  <c r="L88" i="32"/>
  <c r="L36" i="32"/>
  <c r="F25" i="32"/>
  <c r="L55" i="32"/>
  <c r="F65" i="32"/>
  <c r="L98" i="32"/>
  <c r="F25" i="31"/>
  <c r="F55" i="31"/>
  <c r="F65" i="31"/>
  <c r="F108" i="31"/>
  <c r="L46" i="30"/>
  <c r="F36" i="30"/>
  <c r="F88" i="30"/>
  <c r="L36" i="33"/>
  <c r="F55" i="33"/>
  <c r="F25" i="33"/>
  <c r="L46" i="33"/>
  <c r="L25" i="33"/>
  <c r="L98" i="33"/>
  <c r="F79" i="33"/>
  <c r="F88" i="33"/>
  <c r="L25" i="29"/>
  <c r="F36" i="29"/>
  <c r="F88" i="29"/>
  <c r="K10" i="29"/>
  <c r="M10" i="29" s="1"/>
  <c r="L108" i="29"/>
  <c r="F46" i="29"/>
  <c r="F98" i="40"/>
  <c r="F79" i="40"/>
  <c r="F88" i="40"/>
  <c r="F46" i="40"/>
  <c r="F55" i="40"/>
  <c r="F36" i="40"/>
  <c r="L55" i="40"/>
  <c r="L65" i="40"/>
  <c r="L36" i="40"/>
  <c r="F108" i="40"/>
  <c r="L108" i="40"/>
  <c r="L25" i="40"/>
  <c r="L79" i="40"/>
  <c r="K10" i="40"/>
  <c r="M10" i="40" s="1"/>
  <c r="K10" i="33"/>
  <c r="M10" i="33" s="1"/>
  <c r="D44" i="4"/>
  <c r="D1266" i="4"/>
  <c r="D1101" i="4"/>
  <c r="D1122" i="4"/>
  <c r="C20" i="39"/>
  <c r="D95" i="4" l="1"/>
</calcChain>
</file>

<file path=xl/sharedStrings.xml><?xml version="1.0" encoding="utf-8"?>
<sst xmlns="http://schemas.openxmlformats.org/spreadsheetml/2006/main" count="4820" uniqueCount="182">
  <si>
    <t>TOTAL</t>
  </si>
  <si>
    <t>Diferencia</t>
  </si>
  <si>
    <t>Suma de MONTO</t>
  </si>
  <si>
    <t>MES</t>
  </si>
  <si>
    <t>CATEGORIA</t>
  </si>
  <si>
    <t>SUB CATEGORIA</t>
  </si>
  <si>
    <t>1 A Limpiar</t>
  </si>
  <si>
    <t>Total</t>
  </si>
  <si>
    <t>AHORROS</t>
  </si>
  <si>
    <t>Aporte a Capital</t>
  </si>
  <si>
    <t>Cuota Inicial Casa</t>
  </si>
  <si>
    <t>Fondo de Educación</t>
  </si>
  <si>
    <t>Fondo de Pensión</t>
  </si>
  <si>
    <t>Fondo de Emergencia</t>
  </si>
  <si>
    <t xml:space="preserve"> AHORROS</t>
  </si>
  <si>
    <t>REGALOS/ CARIDAD</t>
  </si>
  <si>
    <t>Caridad</t>
  </si>
  <si>
    <t>Regalos cumpleaños</t>
  </si>
  <si>
    <t>Regalos Navidad</t>
  </si>
  <si>
    <t xml:space="preserve"> REGALOS/ CARIDAD</t>
  </si>
  <si>
    <t>CASA</t>
  </si>
  <si>
    <t>Mantenimiento</t>
  </si>
  <si>
    <t>SEGUROS</t>
  </si>
  <si>
    <t>Carro</t>
  </si>
  <si>
    <t>Vida</t>
  </si>
  <si>
    <t>CUIDADO PERSONAL</t>
  </si>
  <si>
    <t>Ropa</t>
  </si>
  <si>
    <t xml:space="preserve"> CUIDADO PERSONAL</t>
  </si>
  <si>
    <t>ENTRETENIMIENTO</t>
  </si>
  <si>
    <t>Vacaciones</t>
  </si>
  <si>
    <t>HIJOS</t>
  </si>
  <si>
    <t>Utiles Escolares</t>
  </si>
  <si>
    <t>MASCOTA</t>
  </si>
  <si>
    <t>Veterinario</t>
  </si>
  <si>
    <t xml:space="preserve">PRESUPUESTO MENSUAL </t>
  </si>
  <si>
    <t>Ingreso Estimado</t>
  </si>
  <si>
    <t xml:space="preserve">Salario </t>
  </si>
  <si>
    <t>Total Ingreso Mensual</t>
  </si>
  <si>
    <t>Balance (Ingreso vs Presupuesto)</t>
  </si>
  <si>
    <t>NECESIDADES BÁSICAS</t>
  </si>
  <si>
    <t>Ahorro</t>
  </si>
  <si>
    <t>Presupuesto</t>
  </si>
  <si>
    <t>Gasto</t>
  </si>
  <si>
    <t>Disponible</t>
  </si>
  <si>
    <t>Arriendo/Hipoteca</t>
  </si>
  <si>
    <t>SI</t>
  </si>
  <si>
    <t>Telefono/ Celular</t>
  </si>
  <si>
    <t>Electricidad</t>
  </si>
  <si>
    <t>Agua</t>
  </si>
  <si>
    <t>Gas</t>
  </si>
  <si>
    <t>Cable/Internet</t>
  </si>
  <si>
    <t>Super Mercado</t>
  </si>
  <si>
    <t>Gasolina</t>
  </si>
  <si>
    <t>Bus</t>
  </si>
  <si>
    <t>Subtotal</t>
  </si>
  <si>
    <t>DEUDAS</t>
  </si>
  <si>
    <t>Deuda Carro</t>
  </si>
  <si>
    <t>Deuda tarjeta 1</t>
  </si>
  <si>
    <t>Deuda tarjeta 2</t>
  </si>
  <si>
    <t xml:space="preserve">Deuda Estudio </t>
  </si>
  <si>
    <t>TRANSPORTE</t>
  </si>
  <si>
    <t>Limpieza</t>
  </si>
  <si>
    <t>Uber/taxi</t>
  </si>
  <si>
    <t>Estacionamiento</t>
  </si>
  <si>
    <t>Muebles</t>
  </si>
  <si>
    <t>Impuestos</t>
  </si>
  <si>
    <t>Panapass/Peaje</t>
  </si>
  <si>
    <t>ALIMENTACIÓN</t>
  </si>
  <si>
    <t>Restaurantes</t>
  </si>
  <si>
    <t>Café/ Snacks</t>
  </si>
  <si>
    <t>Casa</t>
  </si>
  <si>
    <t>Salud</t>
  </si>
  <si>
    <t>SALUD</t>
  </si>
  <si>
    <t>Medicinas</t>
  </si>
  <si>
    <t>Dentista</t>
  </si>
  <si>
    <t>Belleza</t>
  </si>
  <si>
    <t>Tratamientos</t>
  </si>
  <si>
    <t>Peluquería</t>
  </si>
  <si>
    <t>Sastre</t>
  </si>
  <si>
    <t>Tintorería</t>
  </si>
  <si>
    <t>Rumba</t>
  </si>
  <si>
    <t xml:space="preserve">Estudio </t>
  </si>
  <si>
    <t>Citas</t>
  </si>
  <si>
    <t>Cine</t>
  </si>
  <si>
    <t>Niñera</t>
  </si>
  <si>
    <t>Deporte</t>
  </si>
  <si>
    <t>Netflix</t>
  </si>
  <si>
    <t xml:space="preserve">Spotify </t>
  </si>
  <si>
    <t>OTROS</t>
  </si>
  <si>
    <t>Comida</t>
  </si>
  <si>
    <t>Juguetes</t>
  </si>
  <si>
    <t>Paso mindful Finance</t>
  </si>
  <si>
    <t>Lleva Efectivo</t>
  </si>
  <si>
    <t>NO</t>
  </si>
  <si>
    <t>Viaja ligero</t>
  </si>
  <si>
    <t>Obtén un seguro</t>
  </si>
  <si>
    <t>Asegura Pasaje de vuelta</t>
  </si>
  <si>
    <t>MONTO</t>
  </si>
  <si>
    <t>Consigue Techo</t>
  </si>
  <si>
    <t xml:space="preserve">Efectivo </t>
  </si>
  <si>
    <t xml:space="preserve"> CASA</t>
  </si>
  <si>
    <t xml:space="preserve"> SEGUROS</t>
  </si>
  <si>
    <t xml:space="preserve"> ENTRETENIMIENTO</t>
  </si>
  <si>
    <t xml:space="preserve"> HIJOS</t>
  </si>
  <si>
    <t xml:space="preserve"> MASCOTA</t>
  </si>
  <si>
    <t xml:space="preserve"> SALUD</t>
  </si>
  <si>
    <t xml:space="preserve"> TRANSPORTE</t>
  </si>
  <si>
    <t>A Ene</t>
  </si>
  <si>
    <t>B Feb</t>
  </si>
  <si>
    <t>C Mar</t>
  </si>
  <si>
    <t>D Abr</t>
  </si>
  <si>
    <t>E May</t>
  </si>
  <si>
    <t>F Jun</t>
  </si>
  <si>
    <t>G Jul</t>
  </si>
  <si>
    <t>H Ago</t>
  </si>
  <si>
    <t>I Sep</t>
  </si>
  <si>
    <t>J Oct</t>
  </si>
  <si>
    <t>K Nov</t>
  </si>
  <si>
    <t>L Dec</t>
  </si>
  <si>
    <t xml:space="preserve"> </t>
  </si>
  <si>
    <t>Fecha</t>
  </si>
  <si>
    <t>Compra</t>
  </si>
  <si>
    <t>Valor</t>
  </si>
  <si>
    <t>Categoría</t>
  </si>
  <si>
    <t>Sub Categoría</t>
  </si>
  <si>
    <t>CATEGORÍA</t>
  </si>
  <si>
    <t>SUBCATEGORIA</t>
  </si>
  <si>
    <t>OTROS 1</t>
  </si>
  <si>
    <t>OTROS 2</t>
  </si>
  <si>
    <t>OTROS 3</t>
  </si>
  <si>
    <t>OTROS 4</t>
  </si>
  <si>
    <t>OTROS 5</t>
  </si>
  <si>
    <t/>
  </si>
  <si>
    <t>Cuenta Bancol</t>
  </si>
  <si>
    <t>Investor trust 1200</t>
  </si>
  <si>
    <t>Investor trust 2400</t>
  </si>
  <si>
    <t>poliza pensiones skandia</t>
  </si>
  <si>
    <t>Fondo de emergencia lulo</t>
  </si>
  <si>
    <t>Litio</t>
  </si>
  <si>
    <t>Nequi</t>
  </si>
  <si>
    <t>pension voluntaria ahorro casa</t>
  </si>
  <si>
    <t>deuda</t>
  </si>
  <si>
    <t>Deuda tarjeta Un</t>
  </si>
  <si>
    <t>Deuda tarjeta Nu</t>
  </si>
  <si>
    <t>(en blanco)</t>
  </si>
  <si>
    <t xml:space="preserve"> (en blanco)</t>
  </si>
  <si>
    <t xml:space="preserve"> DEUDAS</t>
  </si>
  <si>
    <t>usd PROMEDIO</t>
  </si>
  <si>
    <t>viajes varios</t>
  </si>
  <si>
    <t>Viaje Japon</t>
  </si>
  <si>
    <t>saldo mes anterior</t>
  </si>
  <si>
    <t>Salario</t>
  </si>
  <si>
    <t>Deuda Banco de occidente</t>
  </si>
  <si>
    <t>google</t>
  </si>
  <si>
    <t>OPENAI</t>
  </si>
  <si>
    <t>Rappi</t>
  </si>
  <si>
    <t>clases de canto</t>
  </si>
  <si>
    <t>Efectivo</t>
  </si>
  <si>
    <t>nequi</t>
  </si>
  <si>
    <t>hbo</t>
  </si>
  <si>
    <t>Transferencia a Andrés BBC y Ramen</t>
  </si>
  <si>
    <t>Tabla de Quesos</t>
  </si>
  <si>
    <t>papitas y cositas</t>
  </si>
  <si>
    <t xml:space="preserve">Cobro automatico </t>
  </si>
  <si>
    <t>Apple cloud</t>
  </si>
  <si>
    <t>Pago mes</t>
  </si>
  <si>
    <t xml:space="preserve">Deudas Nu </t>
  </si>
  <si>
    <t>Apple</t>
  </si>
  <si>
    <t>Littio</t>
  </si>
  <si>
    <t>Impuestos y Seguros Carro Moto</t>
  </si>
  <si>
    <t>NU (Viajes)</t>
  </si>
  <si>
    <t>NU (viajes)</t>
  </si>
  <si>
    <t>Viaje Japon lulo</t>
  </si>
  <si>
    <t>Viaje Estados unidos lulo</t>
  </si>
  <si>
    <t xml:space="preserve">Pago Tita </t>
  </si>
  <si>
    <t>Impuestos lulo</t>
  </si>
  <si>
    <t>Carro lulo</t>
  </si>
  <si>
    <t>lulo 2531710</t>
  </si>
  <si>
    <t>VIAJES</t>
  </si>
  <si>
    <t>Meddlin</t>
  </si>
  <si>
    <t>Cine Avatar</t>
  </si>
  <si>
    <t>Cine Zootopia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</si>
</sst>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42" formatCode="_-&quot;$&quot;\ * #,##0_-;\-&quot;$&quot;\ * #,##0_-;_-&quot;$&quot;\ * &quot;-&quot;_-;_-@_-"/>
    <numFmt numFmtId="164" formatCode="_(* #,##0.00_);_(* \(#,##0.00\);_(* &quot;-&quot;??_);_(@_)"/>
    <numFmt numFmtId="165" formatCode="&quot;$&quot;#,##0.00"/>
    <numFmt numFmtId="166" formatCode="&quot;$&quot;#,##0"/>
    <numFmt numFmtId="167" formatCode="_(* #,##0_);_(* \(#,##0\);_(* &quot;-&quot;??_);_(@_)"/>
    <numFmt numFmtId="168" formatCode="_-* #,##0_-;\-* #,##0_-;_-* &quot;-&quot;??_-;_-@_-"/>
    <numFmt numFmtId="169" formatCode="&quot;$&quot;#,##0.0000"/>
  </numFmts>
  <fonts count="35" x14ac:knownFonts="1">
    <font>
      <sz val="10"/>
      <color theme="1" tint="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 tint="0.24994659260841701"/>
      <name val="Century Gothic"/>
      <family val="2"/>
      <scheme val="major"/>
    </font>
    <font>
      <b/>
      <sz val="10"/>
      <color theme="1" tint="0.24994659260841701"/>
      <name val="Century Gothic"/>
      <family val="2"/>
      <scheme val="major"/>
    </font>
    <font>
      <sz val="22"/>
      <color theme="3" tint="0.24994659260841701"/>
      <name val="Century Gothic"/>
      <family val="2"/>
      <scheme val="major"/>
    </font>
    <font>
      <sz val="10"/>
      <color theme="1" tint="0.24994659260841701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3" tint="0.24994659260841701"/>
      <name val="Century Gothic"/>
      <family val="2"/>
      <scheme val="major"/>
    </font>
    <font>
      <sz val="12"/>
      <color theme="1" tint="0.24994659260841701"/>
      <name val="Fira Sans Condensed Light"/>
      <family val="2"/>
    </font>
    <font>
      <sz val="12"/>
      <color theme="1"/>
      <name val="Fira Sans Condensed Light"/>
      <family val="2"/>
    </font>
    <font>
      <b/>
      <sz val="12"/>
      <color theme="1"/>
      <name val="Fira Sans Condensed Light"/>
      <family val="2"/>
    </font>
    <font>
      <b/>
      <sz val="15"/>
      <color theme="3" tint="0.24994659260841701"/>
      <name val="Fira Sans Condensed Light"/>
      <family val="2"/>
    </font>
    <font>
      <b/>
      <sz val="12"/>
      <color rgb="FFEF7522"/>
      <name val="Calibri"/>
      <family val="2"/>
      <scheme val="minor"/>
    </font>
    <font>
      <b/>
      <sz val="12"/>
      <color rgb="FFEA7510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0"/>
      <color theme="11"/>
      <name val="Calibri"/>
      <family val="2"/>
      <scheme val="minor"/>
    </font>
    <font>
      <sz val="10"/>
      <color theme="1" tint="0.24994659260841701"/>
      <name val="Fira Sans Condensed Light"/>
    </font>
    <font>
      <sz val="8"/>
      <name val="Calibri"/>
      <family val="2"/>
      <scheme val="minor"/>
    </font>
    <font>
      <sz val="10"/>
      <color rgb="FF404040"/>
      <name val="Fira Sans Condensed Light"/>
      <family val="2"/>
    </font>
    <font>
      <sz val="10"/>
      <color rgb="FF40404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ira Sans Condensed Light"/>
    </font>
    <font>
      <b/>
      <sz val="10"/>
      <color theme="0"/>
      <name val="Fira Sans Condensed Light"/>
    </font>
    <font>
      <b/>
      <sz val="15"/>
      <color theme="1" tint="0.24994659260841701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ira Sans Condensed Light"/>
    </font>
    <font>
      <b/>
      <sz val="10"/>
      <color theme="1" tint="0.24994659260841701"/>
      <name val="Calibri"/>
      <family val="2"/>
      <scheme val="minor"/>
    </font>
    <font>
      <b/>
      <sz val="10"/>
      <color rgb="FFFF5700"/>
      <name val="Fira Sans Condensed Black"/>
      <family val="2"/>
    </font>
    <font>
      <b/>
      <sz val="10"/>
      <color theme="1" tint="0.24994659260841701"/>
      <name val="Fira Sans Condensed Light"/>
    </font>
    <font>
      <sz val="12"/>
      <color rgb="FF333333"/>
      <name val="Helvetic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F75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9F00"/>
        <bgColor indexed="64"/>
      </patternFill>
    </fill>
    <fill>
      <patternFill patternType="solid">
        <fgColor rgb="FF227675"/>
        <bgColor theme="4"/>
      </patternFill>
    </fill>
    <fill>
      <patternFill patternType="solid">
        <fgColor rgb="FFFFEECD"/>
        <bgColor rgb="FF000000"/>
      </patternFill>
    </fill>
    <fill>
      <patternFill patternType="solid">
        <fgColor rgb="FFFFEECD"/>
        <bgColor indexed="64"/>
      </patternFill>
    </fill>
    <fill>
      <patternFill patternType="solid">
        <fgColor rgb="FFFFA7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rgb="FFEC701C"/>
      </top>
      <bottom style="thick">
        <color rgb="FFEC701C"/>
      </bottom>
      <diagonal/>
    </border>
    <border>
      <left style="hair">
        <color rgb="FFEC701C"/>
      </left>
      <right/>
      <top style="hair">
        <color rgb="FFEC701C"/>
      </top>
      <bottom style="hair">
        <color rgb="FFEC701C"/>
      </bottom>
      <diagonal/>
    </border>
    <border>
      <left/>
      <right/>
      <top style="hair">
        <color rgb="FFEC701C"/>
      </top>
      <bottom style="hair">
        <color rgb="FFEC701C"/>
      </bottom>
      <diagonal/>
    </border>
    <border>
      <left style="hair">
        <color rgb="FFEC701C"/>
      </left>
      <right style="hair">
        <color rgb="FFEC701C"/>
      </right>
      <top style="hair">
        <color rgb="FFEC701C"/>
      </top>
      <bottom/>
      <diagonal/>
    </border>
    <border>
      <left style="hair">
        <color rgb="FFEC701C"/>
      </left>
      <right style="hair">
        <color rgb="FFEC701C"/>
      </right>
      <top/>
      <bottom/>
      <diagonal/>
    </border>
    <border>
      <left/>
      <right style="hair">
        <color rgb="FFEC701C"/>
      </right>
      <top style="hair">
        <color rgb="FFEC701C"/>
      </top>
      <bottom style="hair">
        <color rgb="FFEC701C"/>
      </bottom>
      <diagonal/>
    </border>
    <border>
      <left style="hair">
        <color rgb="FFEC701C"/>
      </left>
      <right/>
      <top style="hair">
        <color rgb="FFEC701C"/>
      </top>
      <bottom style="double">
        <color rgb="FFEC701C"/>
      </bottom>
      <diagonal/>
    </border>
    <border>
      <left/>
      <right/>
      <top style="hair">
        <color rgb="FFEC701C"/>
      </top>
      <bottom style="double">
        <color rgb="FFEC701C"/>
      </bottom>
      <diagonal/>
    </border>
    <border>
      <left/>
      <right style="hair">
        <color rgb="FFEC701C"/>
      </right>
      <top style="hair">
        <color rgb="FFEC701C"/>
      </top>
      <bottom style="double">
        <color rgb="FFEC701C"/>
      </bottom>
      <diagonal/>
    </border>
    <border>
      <left style="hair">
        <color rgb="FFEC701C"/>
      </left>
      <right/>
      <top/>
      <bottom style="hair">
        <color rgb="FFEC701C"/>
      </bottom>
      <diagonal/>
    </border>
    <border>
      <left/>
      <right/>
      <top/>
      <bottom style="hair">
        <color rgb="FFEC701C"/>
      </bottom>
      <diagonal/>
    </border>
    <border>
      <left/>
      <right style="hair">
        <color rgb="FFEC701C"/>
      </right>
      <top/>
      <bottom style="hair">
        <color rgb="FFEC701C"/>
      </bottom>
      <diagonal/>
    </border>
    <border>
      <left/>
      <right style="hair">
        <color rgb="FFEA7510"/>
      </right>
      <top/>
      <bottom style="hair">
        <color rgb="FFEA7510"/>
      </bottom>
      <diagonal/>
    </border>
    <border>
      <left/>
      <right style="hair">
        <color rgb="FFEA7510"/>
      </right>
      <top style="hair">
        <color rgb="FFEA7510"/>
      </top>
      <bottom/>
      <diagonal/>
    </border>
    <border>
      <left/>
      <right style="hair">
        <color rgb="FFEA7510"/>
      </right>
      <top/>
      <bottom/>
      <diagonal/>
    </border>
    <border>
      <left style="hair">
        <color auto="1"/>
      </left>
      <right/>
      <top/>
      <bottom style="hair">
        <color rgb="FFEA7510"/>
      </bottom>
      <diagonal/>
    </border>
    <border>
      <left style="hair">
        <color rgb="FFEA7510"/>
      </left>
      <right style="hair">
        <color rgb="FFEA7510"/>
      </right>
      <top style="hair">
        <color rgb="FFEA7510"/>
      </top>
      <bottom/>
      <diagonal/>
    </border>
    <border>
      <left style="hair">
        <color rgb="FFEA7510"/>
      </left>
      <right style="hair">
        <color rgb="FFEA7510"/>
      </right>
      <top/>
      <bottom/>
      <diagonal/>
    </border>
    <border>
      <left/>
      <right/>
      <top style="hair">
        <color rgb="FFEC701C"/>
      </top>
      <bottom/>
      <diagonal/>
    </border>
    <border>
      <left style="hair">
        <color rgb="FFEC701C"/>
      </left>
      <right/>
      <top style="hair">
        <color rgb="FFEC701C"/>
      </top>
      <bottom/>
      <diagonal/>
    </border>
    <border>
      <left style="hair">
        <color rgb="FFEA7510"/>
      </left>
      <right/>
      <top/>
      <bottom/>
      <diagonal/>
    </border>
    <border>
      <left style="hair">
        <color rgb="FFF78221"/>
      </left>
      <right style="hair">
        <color rgb="FFF78221"/>
      </right>
      <top style="hair">
        <color rgb="FFF78221"/>
      </top>
      <bottom style="hair">
        <color rgb="FFF78221"/>
      </bottom>
      <diagonal/>
    </border>
    <border>
      <left/>
      <right style="hair">
        <color rgb="FFEC701C"/>
      </right>
      <top style="hair">
        <color rgb="FFEC701C"/>
      </top>
      <bottom/>
      <diagonal/>
    </border>
    <border>
      <left/>
      <right/>
      <top style="hair">
        <color rgb="FFF78221"/>
      </top>
      <bottom style="hair">
        <color rgb="FFF78221"/>
      </bottom>
      <diagonal/>
    </border>
    <border>
      <left/>
      <right/>
      <top/>
      <bottom style="double">
        <color rgb="FFF78221"/>
      </bottom>
      <diagonal/>
    </border>
    <border>
      <left style="hair">
        <color rgb="FFF78221"/>
      </left>
      <right/>
      <top style="hair">
        <color rgb="FFF78221"/>
      </top>
      <bottom style="hair">
        <color rgb="FFEC701C"/>
      </bottom>
      <diagonal/>
    </border>
    <border>
      <left/>
      <right style="hair">
        <color rgb="FFEC701C"/>
      </right>
      <top style="hair">
        <color rgb="FFF78221"/>
      </top>
      <bottom style="hair">
        <color rgb="FFEC701C"/>
      </bottom>
      <diagonal/>
    </border>
    <border>
      <left style="thin">
        <color rgb="FFFFEECD"/>
      </left>
      <right style="thin">
        <color rgb="FFFFEECD"/>
      </right>
      <top style="thin">
        <color rgb="FFFFEECD"/>
      </top>
      <bottom style="thin">
        <color rgb="FFFFEEC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4" fontId="5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2" fontId="5" fillId="0" borderId="0" applyFont="0" applyFill="0" applyBorder="0" applyAlignment="0" applyProtection="0"/>
  </cellStyleXfs>
  <cellXfs count="120">
    <xf numFmtId="0" fontId="0" fillId="0" borderId="0" xfId="0"/>
    <xf numFmtId="0" fontId="8" fillId="0" borderId="0" xfId="0" applyFont="1"/>
    <xf numFmtId="166" fontId="8" fillId="0" borderId="0" xfId="0" applyNumberFormat="1" applyFont="1"/>
    <xf numFmtId="0" fontId="9" fillId="0" borderId="4" xfId="1" applyFont="1" applyBorder="1" applyProtection="1"/>
    <xf numFmtId="166" fontId="9" fillId="0" borderId="4" xfId="1" applyNumberFormat="1" applyFont="1" applyBorder="1" applyProtection="1"/>
    <xf numFmtId="0" fontId="6" fillId="0" borderId="0" xfId="0" applyFont="1"/>
    <xf numFmtId="166" fontId="10" fillId="0" borderId="7" xfId="0" applyNumberFormat="1" applyFont="1" applyBorder="1" applyProtection="1">
      <protection locked="0"/>
    </xf>
    <xf numFmtId="166" fontId="6" fillId="0" borderId="0" xfId="0" applyNumberFormat="1" applyFont="1"/>
    <xf numFmtId="166" fontId="10" fillId="0" borderId="8" xfId="0" applyNumberFormat="1" applyFont="1" applyBorder="1" applyProtection="1">
      <protection locked="0"/>
    </xf>
    <xf numFmtId="0" fontId="11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166" fontId="11" fillId="0" borderId="6" xfId="0" applyNumberFormat="1" applyFont="1" applyBorder="1" applyProtection="1">
      <protection locked="0"/>
    </xf>
    <xf numFmtId="166" fontId="12" fillId="0" borderId="9" xfId="0" applyNumberFormat="1" applyFont="1" applyBorder="1"/>
    <xf numFmtId="0" fontId="11" fillId="0" borderId="10" xfId="0" applyFont="1" applyBorder="1" applyProtection="1">
      <protection locked="0"/>
    </xf>
    <xf numFmtId="166" fontId="11" fillId="0" borderId="11" xfId="0" applyNumberFormat="1" applyFont="1" applyBorder="1" applyProtection="1">
      <protection locked="0"/>
    </xf>
    <xf numFmtId="166" fontId="12" fillId="0" borderId="12" xfId="0" applyNumberFormat="1" applyFont="1" applyBorder="1"/>
    <xf numFmtId="0" fontId="12" fillId="0" borderId="13" xfId="0" applyFont="1" applyBorder="1"/>
    <xf numFmtId="0" fontId="12" fillId="0" borderId="14" xfId="0" applyFont="1" applyBorder="1"/>
    <xf numFmtId="166" fontId="12" fillId="0" borderId="14" xfId="0" applyNumberFormat="1" applyFont="1" applyBorder="1"/>
    <xf numFmtId="166" fontId="12" fillId="0" borderId="15" xfId="0" applyNumberFormat="1" applyFont="1" applyBorder="1"/>
    <xf numFmtId="0" fontId="10" fillId="0" borderId="0" xfId="0" applyFont="1"/>
    <xf numFmtId="166" fontId="10" fillId="0" borderId="0" xfId="0" applyNumberFormat="1" applyFont="1"/>
    <xf numFmtId="165" fontId="10" fillId="0" borderId="0" xfId="0" applyNumberFormat="1" applyFont="1"/>
    <xf numFmtId="165" fontId="6" fillId="0" borderId="0" xfId="0" applyNumberFormat="1" applyFont="1"/>
    <xf numFmtId="0" fontId="13" fillId="0" borderId="4" xfId="1" applyFont="1" applyBorder="1" applyProtection="1"/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167" fontId="16" fillId="0" borderId="0" xfId="4" applyNumberFormat="1" applyFont="1"/>
    <xf numFmtId="167" fontId="16" fillId="2" borderId="0" xfId="4" applyNumberFormat="1" applyFont="1" applyFill="1"/>
    <xf numFmtId="0" fontId="11" fillId="0" borderId="23" xfId="0" applyFont="1" applyBorder="1" applyProtection="1">
      <protection locked="0"/>
    </xf>
    <xf numFmtId="166" fontId="11" fillId="0" borderId="22" xfId="0" applyNumberFormat="1" applyFont="1" applyBorder="1" applyProtection="1">
      <protection locked="0"/>
    </xf>
    <xf numFmtId="0" fontId="16" fillId="3" borderId="0" xfId="0" applyFont="1" applyFill="1"/>
    <xf numFmtId="167" fontId="16" fillId="3" borderId="0" xfId="4" applyNumberFormat="1" applyFont="1" applyFill="1"/>
    <xf numFmtId="0" fontId="0" fillId="0" borderId="0" xfId="0" pivotButton="1"/>
    <xf numFmtId="167" fontId="0" fillId="0" borderId="0" xfId="0" applyNumberFormat="1"/>
    <xf numFmtId="167" fontId="0" fillId="0" borderId="0" xfId="4" applyNumberFormat="1" applyFont="1"/>
    <xf numFmtId="9" fontId="0" fillId="0" borderId="0" xfId="0" applyNumberFormat="1"/>
    <xf numFmtId="168" fontId="0" fillId="0" borderId="0" xfId="0" applyNumberFormat="1"/>
    <xf numFmtId="169" fontId="11" fillId="0" borderId="6" xfId="0" applyNumberFormat="1" applyFont="1" applyBorder="1" applyProtection="1">
      <protection locked="0"/>
    </xf>
    <xf numFmtId="0" fontId="11" fillId="0" borderId="11" xfId="0" applyFont="1" applyBorder="1" applyProtection="1">
      <protection locked="0"/>
    </xf>
    <xf numFmtId="167" fontId="10" fillId="0" borderId="16" xfId="0" applyNumberFormat="1" applyFont="1" applyBorder="1" applyProtection="1">
      <protection locked="0"/>
    </xf>
    <xf numFmtId="0" fontId="6" fillId="0" borderId="0" xfId="0" applyFont="1" applyAlignment="1">
      <alignment horizontal="center"/>
    </xf>
    <xf numFmtId="167" fontId="19" fillId="0" borderId="0" xfId="0" applyNumberFormat="1" applyFont="1"/>
    <xf numFmtId="167" fontId="16" fillId="4" borderId="0" xfId="4" applyNumberFormat="1" applyFont="1" applyFill="1"/>
    <xf numFmtId="0" fontId="16" fillId="4" borderId="0" xfId="0" applyFont="1" applyFill="1"/>
    <xf numFmtId="0" fontId="16" fillId="2" borderId="0" xfId="0" applyFont="1" applyFill="1"/>
    <xf numFmtId="0" fontId="16" fillId="0" borderId="0" xfId="0" quotePrefix="1" applyFont="1"/>
    <xf numFmtId="167" fontId="16" fillId="0" borderId="0" xfId="4" quotePrefix="1" applyNumberFormat="1" applyFont="1"/>
    <xf numFmtId="3" fontId="21" fillId="0" borderId="17" xfId="0" applyNumberFormat="1" applyFont="1" applyBorder="1"/>
    <xf numFmtId="3" fontId="21" fillId="0" borderId="18" xfId="0" applyNumberFormat="1" applyFont="1" applyBorder="1"/>
    <xf numFmtId="0" fontId="21" fillId="0" borderId="18" xfId="0" applyFont="1" applyBorder="1"/>
    <xf numFmtId="0" fontId="22" fillId="0" borderId="0" xfId="0" applyFont="1"/>
    <xf numFmtId="3" fontId="22" fillId="0" borderId="0" xfId="0" applyNumberFormat="1" applyFont="1"/>
    <xf numFmtId="166" fontId="28" fillId="5" borderId="25" xfId="0" applyNumberFormat="1" applyFont="1" applyFill="1" applyBorder="1"/>
    <xf numFmtId="0" fontId="23" fillId="6" borderId="23" xfId="0" applyFont="1" applyFill="1" applyBorder="1" applyProtection="1">
      <protection locked="0"/>
    </xf>
    <xf numFmtId="166" fontId="23" fillId="6" borderId="22" xfId="0" applyNumberFormat="1" applyFont="1" applyFill="1" applyBorder="1" applyAlignment="1" applyProtection="1">
      <alignment horizontal="center"/>
      <protection locked="0"/>
    </xf>
    <xf numFmtId="166" fontId="23" fillId="6" borderId="22" xfId="0" applyNumberFormat="1" applyFont="1" applyFill="1" applyBorder="1" applyAlignment="1">
      <alignment horizontal="center"/>
    </xf>
    <xf numFmtId="166" fontId="23" fillId="6" borderId="26" xfId="0" applyNumberFormat="1" applyFont="1" applyFill="1" applyBorder="1" applyAlignment="1">
      <alignment horizontal="center"/>
    </xf>
    <xf numFmtId="166" fontId="1" fillId="0" borderId="27" xfId="0" applyNumberFormat="1" applyFont="1" applyBorder="1"/>
    <xf numFmtId="166" fontId="1" fillId="0" borderId="28" xfId="0" applyNumberFormat="1" applyFont="1" applyBorder="1"/>
    <xf numFmtId="0" fontId="21" fillId="7" borderId="20" xfId="0" applyFont="1" applyFill="1" applyBorder="1"/>
    <xf numFmtId="0" fontId="21" fillId="7" borderId="21" xfId="0" applyFont="1" applyFill="1" applyBorder="1"/>
    <xf numFmtId="0" fontId="21" fillId="7" borderId="24" xfId="0" applyFont="1" applyFill="1" applyBorder="1"/>
    <xf numFmtId="0" fontId="10" fillId="8" borderId="19" xfId="0" applyFont="1" applyFill="1" applyBorder="1" applyProtection="1">
      <protection locked="0"/>
    </xf>
    <xf numFmtId="167" fontId="25" fillId="9" borderId="0" xfId="0" applyNumberFormat="1" applyFont="1" applyFill="1"/>
    <xf numFmtId="167" fontId="24" fillId="0" borderId="0" xfId="0" applyNumberFormat="1" applyFont="1"/>
    <xf numFmtId="167" fontId="30" fillId="8" borderId="31" xfId="0" applyNumberFormat="1" applyFont="1" applyFill="1" applyBorder="1"/>
    <xf numFmtId="167" fontId="29" fillId="9" borderId="0" xfId="0" applyNumberFormat="1" applyFont="1" applyFill="1"/>
    <xf numFmtId="0" fontId="23" fillId="6" borderId="5" xfId="0" applyFont="1" applyFill="1" applyBorder="1" applyAlignment="1" applyProtection="1">
      <alignment horizontal="center" vertical="center"/>
      <protection locked="0"/>
    </xf>
    <xf numFmtId="0" fontId="23" fillId="6" borderId="5" xfId="0" applyFont="1" applyFill="1" applyBorder="1" applyAlignment="1" applyProtection="1">
      <alignment horizontal="center" vertical="center"/>
      <protection hidden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 applyProtection="1">
      <alignment horizontal="center" vertical="center"/>
      <protection locked="0" hidden="1"/>
    </xf>
    <xf numFmtId="0" fontId="28" fillId="0" borderId="0" xfId="0" applyFont="1" applyAlignment="1" applyProtection="1">
      <alignment horizontal="left" vertical="center"/>
      <protection locked="0" hidden="1"/>
    </xf>
    <xf numFmtId="14" fontId="0" fillId="0" borderId="32" xfId="0" applyNumberFormat="1" applyBorder="1" applyAlignment="1" applyProtection="1">
      <alignment horizontal="center"/>
      <protection locked="0"/>
    </xf>
    <xf numFmtId="0" fontId="22" fillId="0" borderId="32" xfId="0" applyFont="1" applyBorder="1" applyProtection="1">
      <protection locked="0"/>
    </xf>
    <xf numFmtId="42" fontId="0" fillId="0" borderId="32" xfId="10" applyFont="1" applyBorder="1" applyProtection="1">
      <protection locked="0"/>
    </xf>
    <xf numFmtId="0" fontId="0" fillId="0" borderId="32" xfId="0" applyBorder="1" applyProtection="1">
      <protection locked="0"/>
    </xf>
    <xf numFmtId="0" fontId="0" fillId="0" borderId="32" xfId="0" applyBorder="1" applyProtection="1">
      <protection hidden="1"/>
    </xf>
    <xf numFmtId="0" fontId="0" fillId="0" borderId="32" xfId="0" applyBorder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31" fillId="0" borderId="0" xfId="0" applyFont="1" applyProtection="1">
      <protection locked="0" hidden="1"/>
    </xf>
    <xf numFmtId="0" fontId="31" fillId="0" borderId="0" xfId="0" applyFont="1" applyAlignment="1" applyProtection="1">
      <alignment horizontal="left"/>
      <protection locked="0" hidden="1"/>
    </xf>
    <xf numFmtId="0" fontId="0" fillId="0" borderId="33" xfId="0" applyBorder="1" applyProtection="1">
      <protection locked="0" hidden="1"/>
    </xf>
    <xf numFmtId="0" fontId="0" fillId="0" borderId="34" xfId="0" applyBorder="1" applyAlignment="1" applyProtection="1">
      <alignment horizontal="left"/>
      <protection locked="0" hidden="1"/>
    </xf>
    <xf numFmtId="0" fontId="0" fillId="0" borderId="35" xfId="0" applyBorder="1" applyProtection="1">
      <protection locked="0" hidden="1"/>
    </xf>
    <xf numFmtId="0" fontId="0" fillId="0" borderId="36" xfId="0" applyBorder="1" applyAlignment="1" applyProtection="1">
      <alignment horizontal="left"/>
      <protection locked="0" hidden="1"/>
    </xf>
    <xf numFmtId="0" fontId="0" fillId="0" borderId="37" xfId="0" applyBorder="1" applyProtection="1">
      <protection locked="0" hidden="1"/>
    </xf>
    <xf numFmtId="0" fontId="0" fillId="0" borderId="38" xfId="0" applyBorder="1" applyAlignment="1" applyProtection="1">
      <alignment horizontal="left"/>
      <protection locked="0" hidden="1"/>
    </xf>
    <xf numFmtId="14" fontId="0" fillId="0" borderId="32" xfId="0" applyNumberFormat="1" applyBorder="1" applyAlignment="1">
      <alignment horizontal="center"/>
    </xf>
    <xf numFmtId="0" fontId="0" fillId="0" borderId="32" xfId="0" applyBorder="1"/>
    <xf numFmtId="42" fontId="0" fillId="0" borderId="32" xfId="10" applyFont="1" applyBorder="1"/>
    <xf numFmtId="42" fontId="0" fillId="0" borderId="0" xfId="10" applyFont="1"/>
    <xf numFmtId="0" fontId="0" fillId="0" borderId="0" xfId="0" applyProtection="1">
      <protection hidden="1"/>
    </xf>
    <xf numFmtId="0" fontId="0" fillId="0" borderId="0" xfId="0" applyAlignment="1" applyProtection="1">
      <alignment horizontal="left"/>
      <protection locked="0" hidden="1"/>
    </xf>
    <xf numFmtId="0" fontId="6" fillId="0" borderId="6" xfId="0" applyFont="1" applyBorder="1"/>
    <xf numFmtId="167" fontId="33" fillId="0" borderId="0" xfId="0" pivotButton="1" applyNumberFormat="1" applyFont="1"/>
    <xf numFmtId="167" fontId="30" fillId="8" borderId="0" xfId="0" applyNumberFormat="1" applyFont="1" applyFill="1"/>
    <xf numFmtId="167" fontId="33" fillId="0" borderId="0" xfId="0" applyNumberFormat="1" applyFont="1"/>
    <xf numFmtId="164" fontId="30" fillId="8" borderId="0" xfId="0" applyNumberFormat="1" applyFont="1" applyFill="1"/>
    <xf numFmtId="167" fontId="29" fillId="8" borderId="0" xfId="0" applyNumberFormat="1" applyFont="1" applyFill="1"/>
    <xf numFmtId="0" fontId="29" fillId="8" borderId="0" xfId="0" applyFont="1" applyFill="1"/>
    <xf numFmtId="6" fontId="0" fillId="0" borderId="32" xfId="10" applyNumberFormat="1" applyFont="1" applyBorder="1" applyProtection="1">
      <protection locked="0"/>
    </xf>
    <xf numFmtId="0" fontId="26" fillId="6" borderId="0" xfId="0" applyFont="1" applyFill="1" applyProtection="1">
      <protection locked="0"/>
    </xf>
    <xf numFmtId="0" fontId="34" fillId="0" borderId="0" xfId="0" applyFont="1"/>
    <xf numFmtId="6" fontId="34" fillId="0" borderId="0" xfId="0" applyNumberFormat="1" applyFont="1"/>
    <xf numFmtId="166" fontId="11" fillId="10" borderId="6" xfId="0" applyNumberFormat="1" applyFont="1" applyFill="1" applyBorder="1" applyProtection="1">
      <protection locked="0"/>
    </xf>
    <xf numFmtId="166" fontId="11" fillId="10" borderId="11" xfId="0" applyNumberFormat="1" applyFont="1" applyFill="1" applyBorder="1" applyProtection="1">
      <protection locked="0"/>
    </xf>
    <xf numFmtId="166" fontId="11" fillId="11" borderId="6" xfId="0" applyNumberFormat="1" applyFont="1" applyFill="1" applyBorder="1" applyProtection="1">
      <protection locked="0"/>
    </xf>
    <xf numFmtId="0" fontId="32" fillId="0" borderId="0" xfId="0" applyFont="1" applyAlignment="1" applyProtection="1">
      <alignment horizontal="center"/>
      <protection locked="0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7" fillId="0" borderId="25" xfId="2" applyFont="1" applyBorder="1" applyAlignment="1" applyProtection="1">
      <alignment vertical="center" wrapText="1"/>
      <protection locked="0"/>
    </xf>
    <xf numFmtId="0" fontId="10" fillId="0" borderId="5" xfId="2" applyFont="1" applyBorder="1" applyAlignment="1" applyProtection="1">
      <alignment vertical="center"/>
      <protection locked="0"/>
    </xf>
    <xf numFmtId="0" fontId="10" fillId="0" borderId="9" xfId="2" applyFont="1" applyBorder="1" applyAlignment="1" applyProtection="1">
      <alignment vertical="center"/>
      <protection locked="0"/>
    </xf>
    <xf numFmtId="0" fontId="10" fillId="0" borderId="5" xfId="2" applyFont="1" applyBorder="1" applyAlignment="1" applyProtection="1">
      <alignment vertical="center"/>
    </xf>
    <xf numFmtId="0" fontId="10" fillId="0" borderId="9" xfId="2" applyFont="1" applyBorder="1" applyAlignment="1" applyProtection="1">
      <alignment vertical="center"/>
    </xf>
    <xf numFmtId="0" fontId="6" fillId="0" borderId="29" xfId="2" applyFont="1" applyBorder="1" applyAlignment="1" applyProtection="1">
      <alignment horizontal="center" vertical="center"/>
      <protection locked="0"/>
    </xf>
    <xf numFmtId="0" fontId="6" fillId="0" borderId="30" xfId="2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>
      <alignment horizontal="center"/>
    </xf>
  </cellXfs>
  <cellStyles count="11">
    <cellStyle name="Comma 2" xfId="7" xr:uid="{00000000-0005-0000-0000-000000000000}"/>
    <cellStyle name="Encabezado 1" xfId="1" builtinId="16" customBuiltin="1"/>
    <cellStyle name="Hipervínculo" xfId="8" builtinId="8" hidden="1"/>
    <cellStyle name="Hipervínculo visitado" xfId="9" builtinId="9" hidden="1"/>
    <cellStyle name="Millares" xfId="4" builtinId="3"/>
    <cellStyle name="Moneda [0]" xfId="10" builtinId="7"/>
    <cellStyle name="Normal" xfId="0" builtinId="0" customBuiltin="1"/>
    <cellStyle name="Normal 3" xfId="5" xr:uid="{00000000-0005-0000-0000-000006000000}"/>
    <cellStyle name="Percent 2" xfId="6" xr:uid="{00000000-0005-0000-0000-000007000000}"/>
    <cellStyle name="Título 2" xfId="2" builtinId="17" customBuiltin="1"/>
    <cellStyle name="Título 3" xfId="3" builtinId="18" customBuiltin="1"/>
  </cellStyles>
  <dxfs count="1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  <color theme="1"/>
      </font>
      <fill>
        <patternFill patternType="solid">
          <fgColor indexed="64"/>
          <bgColor rgb="FFFFEECD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EECD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  <fill>
        <patternFill patternType="solid">
          <fgColor indexed="64"/>
          <bgColor rgb="FFFFA734"/>
        </patternFill>
      </fill>
    </dxf>
    <dxf>
      <font>
        <color theme="1"/>
      </font>
    </dxf>
    <dxf>
      <font>
        <color theme="1"/>
      </font>
    </dxf>
    <dxf>
      <fill>
        <patternFill patternType="solid">
          <bgColor rgb="FFFFA734"/>
        </patternFill>
      </fill>
    </dxf>
    <dxf>
      <fill>
        <patternFill patternType="solid">
          <bgColor rgb="FFFFA734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rgb="FFFFEECD"/>
        </left>
        <right style="thin">
          <color rgb="FFFFEECD"/>
        </right>
        <top style="thin">
          <color rgb="FFFFEECD"/>
        </top>
        <bottom style="thin">
          <color rgb="FFFFEECD"/>
        </bottom>
        <vertical style="thin">
          <color rgb="FFFFEECD"/>
        </vertical>
        <horizontal style="thin">
          <color rgb="FFFFEECD"/>
        </horizontal>
      </border>
    </dxf>
    <dxf>
      <font>
        <color theme="1"/>
      </font>
    </dxf>
    <dxf>
      <fill>
        <patternFill patternType="solid">
          <bgColor rgb="FFFFEECD"/>
        </patternFill>
      </fill>
    </dxf>
    <dxf>
      <font>
        <b/>
        <sz val="12"/>
        <color theme="0"/>
      </font>
      <numFmt numFmtId="0" formatCode="General"/>
      <fill>
        <patternFill patternType="solid">
          <fgColor theme="4"/>
          <bgColor rgb="FF227675"/>
        </patternFill>
      </fill>
      <protection locked="0"/>
    </dxf>
    <dxf>
      <font>
        <b/>
        <sz val="12"/>
        <color theme="0"/>
      </font>
      <numFmt numFmtId="0" formatCode="General"/>
      <fill>
        <patternFill patternType="solid">
          <fgColor theme="4"/>
          <bgColor rgb="FF227675"/>
        </patternFill>
      </fill>
      <protection locked="0"/>
    </dxf>
    <dxf>
      <font>
        <b/>
        <sz val="12"/>
        <color theme="0"/>
      </font>
      <numFmt numFmtId="0" formatCode="General"/>
      <fill>
        <patternFill patternType="solid">
          <fgColor theme="4"/>
          <bgColor rgb="FF227675"/>
        </patternFill>
      </fill>
      <protection locked="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font>
        <name val="Fira Sans Condensed Light"/>
        <scheme val="none"/>
      </font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</dxfs>
  <tableStyles count="0" defaultTableStyle="TableStyleLight9" defaultPivotStyle="PivotStyleLight16"/>
  <colors>
    <mruColors>
      <color rgb="FFFF5700"/>
      <color rgb="FFFFA734"/>
      <color rgb="FFFFEECD"/>
      <color rgb="FFEF7522"/>
      <color rgb="FFEA7510"/>
      <color rgb="FFF6B076"/>
      <color rgb="FFDE94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283309</xdr:colOff>
      <xdr:row>3</xdr:row>
      <xdr:rowOff>127001</xdr:rowOff>
    </xdr:from>
    <xdr:to>
      <xdr:col>9</xdr:col>
      <xdr:colOff>537308</xdr:colOff>
      <xdr:row>8</xdr:row>
      <xdr:rowOff>117232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0F58B41-7B47-3C43-AB61-6297CF97954E}"/>
            </a:ext>
          </a:extLst>
        </xdr:cNvPr>
        <xdr:cNvGrpSpPr/>
      </xdr:nvGrpSpPr>
      <xdr:grpSpPr>
        <a:xfrm>
          <a:off x="6379309" y="654539"/>
          <a:ext cx="2452076" cy="869462"/>
          <a:chOff x="7840521" y="166933"/>
          <a:chExt cx="3432366" cy="1394381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D9FAF0C1-6AB1-4FAC-EC4F-ADE8BCA642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254543" y="402603"/>
            <a:ext cx="2018344" cy="1016511"/>
          </a:xfrm>
          <a:prstGeom prst="rect">
            <a:avLst/>
          </a:prstGeom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9FAB0E3E-9D8B-0547-89E9-7AD6DA22015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221" t="18963" r="23907" b="22476"/>
          <a:stretch/>
        </xdr:blipFill>
        <xdr:spPr bwMode="auto">
          <a:xfrm>
            <a:off x="7840521" y="166933"/>
            <a:ext cx="1265473" cy="139438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10</xdr:col>
      <xdr:colOff>311194</xdr:colOff>
      <xdr:row>4</xdr:row>
      <xdr:rowOff>15875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581717F-BDA8-2949-A2CD-17FA6A6BE19A}"/>
            </a:ext>
          </a:extLst>
        </xdr:cNvPr>
        <xdr:cNvGrpSpPr/>
      </xdr:nvGrpSpPr>
      <xdr:grpSpPr>
        <a:xfrm>
          <a:off x="10128250" y="0"/>
          <a:ext cx="2327319" cy="968375"/>
          <a:chOff x="7840521" y="166933"/>
          <a:chExt cx="3432366" cy="1394381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1F91ECB4-8869-230C-5A29-A5F471DA65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254543" y="402603"/>
            <a:ext cx="2018344" cy="1016511"/>
          </a:xfrm>
          <a:prstGeom prst="rect">
            <a:avLst/>
          </a:prstGeom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F5B40FD9-8731-6C65-293A-5CCA6DBB609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221" t="18963" r="23907" b="22476"/>
          <a:stretch/>
        </xdr:blipFill>
        <xdr:spPr bwMode="auto">
          <a:xfrm>
            <a:off x="7840521" y="166933"/>
            <a:ext cx="1265473" cy="139438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10</xdr:col>
      <xdr:colOff>311194</xdr:colOff>
      <xdr:row>4</xdr:row>
      <xdr:rowOff>15875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11D24063-B22C-F841-A21F-16F7B24A92F4}"/>
            </a:ext>
          </a:extLst>
        </xdr:cNvPr>
        <xdr:cNvGrpSpPr/>
      </xdr:nvGrpSpPr>
      <xdr:grpSpPr>
        <a:xfrm>
          <a:off x="10128250" y="0"/>
          <a:ext cx="2327319" cy="968375"/>
          <a:chOff x="7840521" y="166933"/>
          <a:chExt cx="3432366" cy="1394381"/>
        </a:xfrm>
      </xdr:grpSpPr>
      <xdr:pic>
        <xdr:nvPicPr>
          <xdr:cNvPr id="10" name="Imagen 9">
            <a:extLst>
              <a:ext uri="{FF2B5EF4-FFF2-40B4-BE49-F238E27FC236}">
                <a16:creationId xmlns:a16="http://schemas.microsoft.com/office/drawing/2014/main" id="{AA6FF8B2-BDBC-2A4F-388F-28C8DCCBA9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254543" y="402603"/>
            <a:ext cx="2018344" cy="1016511"/>
          </a:xfrm>
          <a:prstGeom prst="rect">
            <a:avLst/>
          </a:prstGeom>
        </xdr:spPr>
      </xdr:pic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8749095E-BBCA-199E-9613-3E9761518922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221" t="18963" r="23907" b="22476"/>
          <a:stretch/>
        </xdr:blipFill>
        <xdr:spPr bwMode="auto">
          <a:xfrm>
            <a:off x="7840521" y="166933"/>
            <a:ext cx="1265473" cy="139438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a Castaño Trochez" refreshedDate="46020.765802430557" createdVersion="8" refreshedVersion="8" minRefreshableVersion="3" recordCount="1872" xr:uid="{5B14E30A-914C-B048-9623-67DBAE6F0B38}">
  <cacheSource type="worksheet">
    <worksheetSource ref="B8:E1880" sheet="Master data"/>
  </cacheSource>
  <cacheFields count="4">
    <cacheField name="CATEGORIA" numFmtId="0">
      <sharedItems containsBlank="1" count="14">
        <s v=""/>
        <m/>
        <s v="AHORROS"/>
        <s v="DEUDAS"/>
        <s v="CASA"/>
        <s v="SALUD"/>
        <s v="ENTRETENIMIENTO"/>
        <s v="MASCOTA"/>
        <s v="REGALOS/ CARIDAD"/>
        <s v="TRANSPORTE"/>
        <s v="SEGUROS"/>
        <s v="CUIDADO PERSONAL"/>
        <s v="HIJOS"/>
        <s v="NECESIDADES BÁSICAS" u="1"/>
      </sharedItems>
    </cacheField>
    <cacheField name="SUB CATEGORIA" numFmtId="0">
      <sharedItems containsBlank="1" containsMixedTypes="1" containsNumber="1" containsInteger="1" minValue="0" maxValue="0" count="31">
        <s v=""/>
        <m/>
        <s v="Fondo de Emergencia"/>
        <s v="Deuda tarjeta Nu"/>
        <s v="Mantenimiento"/>
        <s v="Impuestos"/>
        <s v="Medicinas"/>
        <s v="Dentista"/>
        <s v="Tratamientos"/>
        <s v="Vacaciones"/>
        <s v="Veterinario"/>
        <s v="Efectivo "/>
        <s v="Cuenta Bancol"/>
        <s v="pension voluntaria ahorro casa"/>
        <s v="Investor trust 1200"/>
        <s v="Investor trust 2400"/>
        <s v="poliza pensiones skandia"/>
        <s v="Fondo de emergencia lulo"/>
        <s v="Litio"/>
        <s v="Nequi"/>
        <s v="Regalos Navidad"/>
        <s v="Regalos cumpleaños"/>
        <s v="Carro"/>
        <s v="Vida"/>
        <s v="Casa"/>
        <s v="Salud"/>
        <s v="Ropa"/>
        <s v="Belleza"/>
        <s v="Estudio "/>
        <s v="Utiles Escolares"/>
        <n v="0" u="1"/>
      </sharedItems>
    </cacheField>
    <cacheField name="MONTO" numFmtId="0">
      <sharedItems containsBlank="1" containsMixedTypes="1" containsNumber="1" minValue="-6151674.1600000001" maxValue="102536491"/>
    </cacheField>
    <cacheField name="MES" numFmtId="0">
      <sharedItems count="38">
        <s v="A Ene"/>
        <s v="B Feb"/>
        <s v="C Mar"/>
        <s v="D Abr"/>
        <s v="E May"/>
        <s v="F Jun"/>
        <s v="G Jul"/>
        <s v="H Ago"/>
        <s v="I Sep"/>
        <s v="J Oct"/>
        <s v="K Nov"/>
        <s v="L Dec"/>
        <s v="1 A Limpiar"/>
        <s v="11 Nov" u="1"/>
        <s v="12 Dec" u="1"/>
        <s v="1 Ene" u="1"/>
        <s v="2 Feb" u="1"/>
        <s v="3 Mar" u="1"/>
        <s v="4 Abr" u="1"/>
        <s v="5 May" u="1"/>
        <s v="6 Jun" u="1"/>
        <s v="7 Jul" u="1"/>
        <s v="8 Ago" u="1"/>
        <s v="9 Sep" u="1"/>
        <s v="10 Oct" u="1"/>
        <s v="Abr" u="1"/>
        <s v="Sep" u="1"/>
        <s v="Limpieza" u="1"/>
        <s v="Feb" u="1"/>
        <s v="Nov" u="1"/>
        <s v="Dec" u="1"/>
        <s v="Oct" u="1"/>
        <s v="Ago" u="1"/>
        <s v="Jul" u="1"/>
        <s v="Mar" u="1"/>
        <s v="Ene" u="1"/>
        <s v="Jun" u="1"/>
        <s v="May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2"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1"/>
    <x v="1"/>
    <m/>
    <x v="0"/>
  </r>
  <r>
    <x v="2"/>
    <x v="2"/>
    <n v="0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0"/>
    <x v="0"/>
    <s v=""/>
    <x v="0"/>
  </r>
  <r>
    <x v="1"/>
    <x v="1"/>
    <m/>
    <x v="0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1"/>
    <x v="1"/>
    <m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0"/>
    <x v="0"/>
    <s v=""/>
    <x v="1"/>
  </r>
  <r>
    <x v="1"/>
    <x v="1"/>
    <m/>
    <x v="1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1"/>
    <x v="1"/>
    <m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0"/>
    <x v="0"/>
    <s v=""/>
    <x v="2"/>
  </r>
  <r>
    <x v="1"/>
    <x v="1"/>
    <m/>
    <x v="2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1"/>
    <x v="1"/>
    <m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0"/>
    <x v="0"/>
    <s v=""/>
    <x v="3"/>
  </r>
  <r>
    <x v="1"/>
    <x v="1"/>
    <m/>
    <x v="3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1"/>
    <x v="1"/>
    <m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0"/>
    <x v="0"/>
    <s v=""/>
    <x v="4"/>
  </r>
  <r>
    <x v="1"/>
    <x v="1"/>
    <m/>
    <x v="4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1"/>
    <x v="1"/>
    <m/>
    <x v="5"/>
  </r>
  <r>
    <x v="2"/>
    <x v="2"/>
    <n v="0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0"/>
    <x v="0"/>
    <s v=""/>
    <x v="5"/>
  </r>
  <r>
    <x v="1"/>
    <x v="1"/>
    <m/>
    <x v="5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1"/>
    <x v="1"/>
    <m/>
    <x v="6"/>
  </r>
  <r>
    <x v="2"/>
    <x v="2"/>
    <n v="0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0"/>
    <x v="0"/>
    <s v=""/>
    <x v="6"/>
  </r>
  <r>
    <x v="1"/>
    <x v="1"/>
    <m/>
    <x v="6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1"/>
    <x v="1"/>
    <m/>
    <x v="7"/>
  </r>
  <r>
    <x v="2"/>
    <x v="2"/>
    <n v="0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0"/>
    <x v="0"/>
    <s v=""/>
    <x v="7"/>
  </r>
  <r>
    <x v="1"/>
    <x v="1"/>
    <m/>
    <x v="7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1"/>
    <x v="1"/>
    <m/>
    <x v="8"/>
  </r>
  <r>
    <x v="2"/>
    <x v="2"/>
    <n v="0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0"/>
    <x v="0"/>
    <s v=""/>
    <x v="8"/>
  </r>
  <r>
    <x v="1"/>
    <x v="1"/>
    <m/>
    <x v="8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1"/>
    <x v="1"/>
    <m/>
    <x v="9"/>
  </r>
  <r>
    <x v="2"/>
    <x v="2"/>
    <n v="0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0"/>
    <x v="0"/>
    <s v=""/>
    <x v="9"/>
  </r>
  <r>
    <x v="1"/>
    <x v="1"/>
    <m/>
    <x v="9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1"/>
    <x v="1"/>
    <m/>
    <x v="10"/>
  </r>
  <r>
    <x v="2"/>
    <x v="2"/>
    <n v="0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0"/>
    <x v="0"/>
    <s v=""/>
    <x v="10"/>
  </r>
  <r>
    <x v="1"/>
    <x v="1"/>
    <m/>
    <x v="10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1"/>
    <x v="1"/>
    <m/>
    <x v="11"/>
  </r>
  <r>
    <x v="2"/>
    <x v="2"/>
    <n v="0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0"/>
    <x v="0"/>
    <s v=""/>
    <x v="11"/>
  </r>
  <r>
    <x v="1"/>
    <x v="1"/>
    <m/>
    <x v="11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3"/>
    <x v="3"/>
    <n v="-6151674.1600000001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4"/>
    <x v="4"/>
    <n v="0"/>
    <x v="12"/>
  </r>
  <r>
    <x v="0"/>
    <x v="0"/>
    <s v=""/>
    <x v="12"/>
  </r>
  <r>
    <x v="4"/>
    <x v="5"/>
    <n v="0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5"/>
    <x v="6"/>
    <n v="0"/>
    <x v="12"/>
  </r>
  <r>
    <x v="5"/>
    <x v="7"/>
    <n v="0"/>
    <x v="12"/>
  </r>
  <r>
    <x v="5"/>
    <x v="8"/>
    <n v="0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6"/>
    <x v="9"/>
    <n v="0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7"/>
    <x v="10"/>
    <n v="0"/>
    <x v="12"/>
  </r>
  <r>
    <x v="0"/>
    <x v="0"/>
    <s v=""/>
    <x v="12"/>
  </r>
  <r>
    <x v="7"/>
    <x v="6"/>
    <n v="0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1"/>
    <x v="1"/>
    <m/>
    <x v="12"/>
  </r>
  <r>
    <x v="2"/>
    <x v="11"/>
    <n v="250000"/>
    <x v="12"/>
  </r>
  <r>
    <x v="2"/>
    <x v="12"/>
    <n v="5019665"/>
    <x v="12"/>
  </r>
  <r>
    <x v="2"/>
    <x v="13"/>
    <n v="102536491"/>
    <x v="12"/>
  </r>
  <r>
    <x v="2"/>
    <x v="14"/>
    <n v="18691750"/>
    <x v="12"/>
  </r>
  <r>
    <x v="2"/>
    <x v="15"/>
    <n v="39578000"/>
    <x v="12"/>
  </r>
  <r>
    <x v="2"/>
    <x v="16"/>
    <n v="12204069"/>
    <x v="12"/>
  </r>
  <r>
    <x v="2"/>
    <x v="17"/>
    <n v="585890"/>
    <x v="12"/>
  </r>
  <r>
    <x v="2"/>
    <x v="18"/>
    <n v="217910"/>
    <x v="12"/>
  </r>
  <r>
    <x v="2"/>
    <x v="19"/>
    <n v="168222"/>
    <x v="12"/>
  </r>
  <r>
    <x v="0"/>
    <x v="0"/>
    <s v=""/>
    <x v="12"/>
  </r>
  <r>
    <x v="0"/>
    <x v="0"/>
    <s v=""/>
    <x v="12"/>
  </r>
  <r>
    <x v="0"/>
    <x v="0"/>
    <s v=""/>
    <x v="12"/>
  </r>
  <r>
    <x v="8"/>
    <x v="20"/>
    <n v="0"/>
    <x v="12"/>
  </r>
  <r>
    <x v="8"/>
    <x v="21"/>
    <n v="0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9"/>
    <x v="4"/>
    <n v="0"/>
    <x v="12"/>
  </r>
  <r>
    <x v="9"/>
    <x v="5"/>
    <n v="0"/>
    <x v="12"/>
  </r>
  <r>
    <x v="0"/>
    <x v="0"/>
    <s v=""/>
    <x v="12"/>
  </r>
  <r>
    <x v="0"/>
    <x v="0"/>
    <s v=""/>
    <x v="12"/>
  </r>
  <r>
    <x v="0"/>
    <x v="0"/>
    <s v=""/>
    <x v="12"/>
  </r>
  <r>
    <x v="10"/>
    <x v="22"/>
    <n v="0"/>
    <x v="12"/>
  </r>
  <r>
    <x v="10"/>
    <x v="23"/>
    <n v="0"/>
    <x v="12"/>
  </r>
  <r>
    <x v="10"/>
    <x v="24"/>
    <n v="0"/>
    <x v="12"/>
  </r>
  <r>
    <x v="10"/>
    <x v="25"/>
    <n v="0"/>
    <x v="12"/>
  </r>
  <r>
    <x v="0"/>
    <x v="0"/>
    <s v=""/>
    <x v="12"/>
  </r>
  <r>
    <x v="0"/>
    <x v="0"/>
    <s v=""/>
    <x v="12"/>
  </r>
  <r>
    <x v="11"/>
    <x v="26"/>
    <n v="0"/>
    <x v="12"/>
  </r>
  <r>
    <x v="11"/>
    <x v="27"/>
    <n v="0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12"/>
    <x v="26"/>
    <n v="0"/>
    <x v="12"/>
  </r>
  <r>
    <x v="12"/>
    <x v="28"/>
    <n v="0"/>
    <x v="12"/>
  </r>
  <r>
    <x v="12"/>
    <x v="29"/>
    <n v="0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0"/>
    <x v="0"/>
    <s v=""/>
    <x v="12"/>
  </r>
  <r>
    <x v="1"/>
    <x v="1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FF342-3DBF-4A4F-B209-57882E642F7B}" name="Tabla dinámica1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5" indent="0" compact="0" compactData="0" multipleFieldFilters="0">
  <location ref="A24:P86" firstHeaderRow="1" firstDataRow="2" firstDataCol="2"/>
  <pivotFields count="4">
    <pivotField axis="axisRow" subtotalCaption=" ?" compact="0" outline="0" showAll="0" insertBlankRow="1">
      <items count="15">
        <item x="2"/>
        <item x="8"/>
        <item x="4"/>
        <item x="10"/>
        <item x="11"/>
        <item x="6"/>
        <item x="12"/>
        <item x="7"/>
        <item x="1"/>
        <item x="0"/>
        <item x="5"/>
        <item x="9"/>
        <item m="1" x="13"/>
        <item x="3"/>
        <item t="default"/>
      </items>
    </pivotField>
    <pivotField axis="axisRow" compact="0" outline="0" showAll="0" insertBlankRow="1">
      <items count="32">
        <item m="1" x="30"/>
        <item x="1"/>
        <item x="0"/>
        <item x="2"/>
        <item x="20"/>
        <item x="21"/>
        <item x="26"/>
        <item x="4"/>
        <item x="5"/>
        <item x="6"/>
        <item x="7"/>
        <item x="8"/>
        <item x="9"/>
        <item x="10"/>
        <item x="22"/>
        <item x="23"/>
        <item x="24"/>
        <item x="25"/>
        <item x="27"/>
        <item x="28"/>
        <item x="29"/>
        <item x="11"/>
        <item x="12"/>
        <item x="13"/>
        <item x="14"/>
        <item x="15"/>
        <item x="16"/>
        <item x="17"/>
        <item x="18"/>
        <item x="19"/>
        <item x="3"/>
        <item t="default"/>
      </items>
    </pivotField>
    <pivotField dataField="1" compact="0" outline="0" showAll="0" insertBlankRow="1"/>
    <pivotField axis="axisCol" compact="0" outline="0" showAll="0" insertBlankRow="1">
      <items count="39">
        <item m="1" x="27"/>
        <item m="1" x="35"/>
        <item m="1" x="28"/>
        <item m="1" x="34"/>
        <item m="1" x="25"/>
        <item m="1" x="37"/>
        <item m="1" x="36"/>
        <item m="1" x="33"/>
        <item m="1" x="32"/>
        <item m="1" x="26"/>
        <item m="1" x="31"/>
        <item m="1" x="29"/>
        <item m="1" x="30"/>
        <item x="12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13"/>
        <item m="1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0"/>
    <field x="1"/>
  </rowFields>
  <rowItems count="61">
    <i>
      <x/>
      <x v="3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default">
      <x/>
    </i>
    <i t="blank">
      <x/>
    </i>
    <i>
      <x v="1"/>
      <x v="4"/>
    </i>
    <i r="1">
      <x v="5"/>
    </i>
    <i t="default">
      <x v="1"/>
    </i>
    <i t="blank">
      <x v="1"/>
    </i>
    <i>
      <x v="2"/>
      <x v="7"/>
    </i>
    <i r="1">
      <x v="8"/>
    </i>
    <i t="default">
      <x v="2"/>
    </i>
    <i t="blank">
      <x v="2"/>
    </i>
    <i>
      <x v="3"/>
      <x v="14"/>
    </i>
    <i r="1">
      <x v="15"/>
    </i>
    <i r="1">
      <x v="16"/>
    </i>
    <i r="1">
      <x v="17"/>
    </i>
    <i t="default">
      <x v="3"/>
    </i>
    <i t="blank">
      <x v="3"/>
    </i>
    <i>
      <x v="4"/>
      <x v="6"/>
    </i>
    <i r="1">
      <x v="18"/>
    </i>
    <i t="default">
      <x v="4"/>
    </i>
    <i t="blank">
      <x v="4"/>
    </i>
    <i>
      <x v="5"/>
      <x v="12"/>
    </i>
    <i t="default">
      <x v="5"/>
    </i>
    <i t="blank">
      <x v="5"/>
    </i>
    <i>
      <x v="6"/>
      <x v="6"/>
    </i>
    <i r="1">
      <x v="19"/>
    </i>
    <i r="1">
      <x v="20"/>
    </i>
    <i t="default">
      <x v="6"/>
    </i>
    <i t="blank">
      <x v="6"/>
    </i>
    <i>
      <x v="7"/>
      <x v="9"/>
    </i>
    <i r="1">
      <x v="13"/>
    </i>
    <i t="default">
      <x v="7"/>
    </i>
    <i t="blank">
      <x v="7"/>
    </i>
    <i>
      <x v="8"/>
      <x v="1"/>
    </i>
    <i t="default">
      <x v="8"/>
    </i>
    <i t="blank">
      <x v="8"/>
    </i>
    <i>
      <x v="9"/>
      <x v="2"/>
    </i>
    <i t="default">
      <x v="9"/>
    </i>
    <i t="blank">
      <x v="9"/>
    </i>
    <i>
      <x v="10"/>
      <x v="9"/>
    </i>
    <i r="1">
      <x v="10"/>
    </i>
    <i r="1">
      <x v="11"/>
    </i>
    <i t="default">
      <x v="10"/>
    </i>
    <i t="blank">
      <x v="10"/>
    </i>
    <i>
      <x v="11"/>
      <x v="7"/>
    </i>
    <i r="1">
      <x v="8"/>
    </i>
    <i t="default">
      <x v="11"/>
    </i>
    <i t="blank">
      <x v="11"/>
    </i>
    <i>
      <x v="13"/>
      <x v="30"/>
    </i>
    <i t="default">
      <x v="13"/>
    </i>
    <i t="blank">
      <x v="13"/>
    </i>
    <i t="grand">
      <x/>
    </i>
  </rowItems>
  <colFields count="1">
    <field x="3"/>
  </colFields>
  <colItems count="14">
    <i>
      <x v="13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colItems>
  <dataFields count="1">
    <dataField name="Suma de MONTO" fld="2" baseField="0" baseItem="0" numFmtId="167"/>
  </dataFields>
  <formats count="107">
    <format dxfId="130">
      <pivotArea outline="0" collapsedLevelsAreSubtotals="1" fieldPosition="0"/>
    </format>
    <format dxfId="129">
      <pivotArea field="0" type="button" dataOnly="0" labelOnly="1" outline="0" axis="axisRow" fieldPosition="0"/>
    </format>
    <format dxfId="128">
      <pivotArea dataOnly="0" labelOnly="1" outline="0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4"/>
          </reference>
          <reference field="1" count="1">
            <x v="0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5"/>
          </reference>
          <reference field="1" count="1">
            <x v="0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8"/>
          </reference>
          <reference field="1" count="1">
            <x v="1"/>
          </reference>
        </references>
      </pivotArea>
    </format>
    <format dxfId="117">
      <pivotArea outline="0" collapsedLevelsAreSubtotals="1" fieldPosition="0"/>
    </format>
    <format dxfId="116">
      <pivotArea field="0" type="button" dataOnly="0" labelOnly="1" outline="0" axis="axisRow" fieldPosition="0"/>
    </format>
    <format dxfId="115">
      <pivotArea field="1" type="button" dataOnly="0" labelOnly="1" outline="0" axis="axisRow" fieldPosition="1"/>
    </format>
    <format dxfId="114">
      <pivotArea dataOnly="0" labelOnly="1" outline="0" fieldPosition="0">
        <references count="1">
          <reference field="0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4"/>
          </reference>
          <reference field="1" count="1">
            <x v="0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5"/>
          </reference>
          <reference field="1" count="1">
            <x v="0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05">
      <pivotArea dataOnly="0" labelOnly="1" outline="0" fieldPosition="0">
        <references count="2">
          <reference field="0" count="1" selected="0">
            <x v="7"/>
          </reference>
          <reference field="1" count="1">
            <x v="0"/>
          </reference>
        </references>
      </pivotArea>
    </format>
    <format dxfId="104">
      <pivotArea dataOnly="0" labelOnly="1" outline="0" fieldPosition="0">
        <references count="2">
          <reference field="0" count="1" selected="0">
            <x v="8"/>
          </reference>
          <reference field="1" count="1">
            <x v="1"/>
          </reference>
        </references>
      </pivotArea>
    </format>
    <format dxfId="103">
      <pivotArea dataOnly="0" labelOnly="1" outline="0" fieldPosition="0">
        <references count="1">
          <reference field="3" count="0"/>
        </references>
      </pivotArea>
    </format>
    <format dxfId="102">
      <pivotArea dataOnly="0" labelOnly="1" grandCol="1" outline="0" fieldPosition="0"/>
    </format>
    <format dxfId="101">
      <pivotArea outline="0" collapsedLevelsAreSubtotals="1" fieldPosition="0"/>
    </format>
    <format dxfId="100">
      <pivotArea field="0" type="button" dataOnly="0" labelOnly="1" outline="0" axis="axisRow" fieldPosition="0"/>
    </format>
    <format dxfId="99">
      <pivotArea dataOnly="0" labelOnly="1" outline="0" fieldPosition="0">
        <references count="1">
          <reference field="0" count="0"/>
        </references>
      </pivotArea>
    </format>
    <format dxfId="98">
      <pivotArea dataOnly="0" labelOnly="1" outline="0" fieldPosition="0">
        <references count="1">
          <reference field="0" count="0" defaultSubtotal="1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95">
      <pivotArea field="1" type="button" dataOnly="0" labelOnly="1" outline="0" axis="axisRow" fieldPosition="1"/>
    </format>
    <format dxfId="94">
      <pivotArea dataOnly="0" labelOnly="1" outline="0" fieldPosition="0">
        <references count="1">
          <reference field="3" count="0"/>
        </references>
      </pivotArea>
    </format>
    <format dxfId="93">
      <pivotArea dataOnly="0" labelOnly="1" grandCol="1" outline="0" fieldPosition="0"/>
    </format>
    <format dxfId="92">
      <pivotArea dataOnly="0" labelOnly="1" outline="0" fieldPosition="0">
        <references count="1">
          <reference field="0" count="1">
            <x v="0"/>
          </reference>
        </references>
      </pivotArea>
    </format>
    <format dxfId="91">
      <pivotArea dataOnly="0" labelOnly="1" outline="0" fieldPosition="0">
        <references count="1">
          <reference field="0" count="1">
            <x v="0"/>
          </reference>
        </references>
      </pivotArea>
    </format>
    <format dxfId="90">
      <pivotArea dataOnly="0" labelOnly="1" outline="0" fieldPosition="0">
        <references count="1">
          <reference field="0" count="1">
            <x v="0"/>
          </reference>
        </references>
      </pivotArea>
    </format>
    <format dxfId="89">
      <pivotArea field="0" type="button" dataOnly="0" labelOnly="1" outline="0" axis="axisRow" fieldPosition="0"/>
    </format>
    <format dxfId="88">
      <pivotArea field="1" type="button" dataOnly="0" labelOnly="1" outline="0" axis="axisRow" fieldPosition="1"/>
    </format>
    <format dxfId="87">
      <pivotArea dataOnly="0" labelOnly="1" outline="0" fieldPosition="0">
        <references count="1">
          <reference field="3" count="0"/>
        </references>
      </pivotArea>
    </format>
    <format dxfId="86">
      <pivotArea dataOnly="0" labelOnly="1" grandCol="1" outline="0" fieldPosition="0"/>
    </format>
    <format dxfId="85">
      <pivotArea outline="0" fieldPosition="0">
        <references count="1">
          <reference field="0" count="1" selected="0" defaultSubtotal="1">
            <x v="0"/>
          </reference>
        </references>
      </pivotArea>
    </format>
    <format dxfId="8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83">
      <pivotArea outline="0" fieldPosition="0">
        <references count="1">
          <reference field="0" count="1" selected="0" defaultSubtotal="1">
            <x v="0"/>
          </reference>
        </references>
      </pivotArea>
    </format>
    <format dxfId="82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81">
      <pivotArea outline="0" fieldPosition="0">
        <references count="1">
          <reference field="0" count="1" selected="0" defaultSubtotal="1">
            <x v="1"/>
          </reference>
        </references>
      </pivotArea>
    </format>
    <format dxfId="80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79">
      <pivotArea outline="0" fieldPosition="0">
        <references count="1">
          <reference field="0" count="1" selected="0" defaultSubtotal="1">
            <x v="2"/>
          </reference>
        </references>
      </pivotArea>
    </format>
    <format dxfId="78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77">
      <pivotArea outline="0" fieldPosition="0">
        <references count="1">
          <reference field="0" count="1" selected="0" defaultSubtotal="1">
            <x v="3"/>
          </reference>
        </references>
      </pivotArea>
    </format>
    <format dxfId="76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75">
      <pivotArea outline="0" fieldPosition="0">
        <references count="1">
          <reference field="0" count="1" selected="0" defaultSubtotal="1">
            <x v="4"/>
          </reference>
        </references>
      </pivotArea>
    </format>
    <format dxfId="74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73">
      <pivotArea outline="0" fieldPosition="0">
        <references count="1">
          <reference field="0" count="1" selected="0" defaultSubtotal="1">
            <x v="5"/>
          </reference>
        </references>
      </pivotArea>
    </format>
    <format dxfId="72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71">
      <pivotArea outline="0" fieldPosition="0">
        <references count="1">
          <reference field="0" count="1" selected="0" defaultSubtotal="1">
            <x v="6"/>
          </reference>
        </references>
      </pivotArea>
    </format>
    <format dxfId="70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69">
      <pivotArea outline="0" fieldPosition="0">
        <references count="1">
          <reference field="0" count="1" selected="0" defaultSubtotal="1">
            <x v="7"/>
          </reference>
        </references>
      </pivotArea>
    </format>
    <format dxfId="68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67">
      <pivotArea outline="0" fieldPosition="0">
        <references count="1">
          <reference field="0" count="1" selected="0" defaultSubtotal="1">
            <x v="10"/>
          </reference>
        </references>
      </pivotArea>
    </format>
    <format dxfId="66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65">
      <pivotArea outline="0" fieldPosition="0">
        <references count="1">
          <reference field="0" count="1" selected="0" defaultSubtotal="1">
            <x v="11"/>
          </reference>
        </references>
      </pivotArea>
    </format>
    <format dxfId="64">
      <pivotArea dataOnly="0" labelOnly="1" outline="0" fieldPosition="0">
        <references count="1">
          <reference field="0" count="1" defaultSubtotal="1">
            <x v="11"/>
          </reference>
        </references>
      </pivotArea>
    </format>
    <format dxfId="63">
      <pivotArea dataOnly="0" labelOnly="1" outline="0" offset="IV1" fieldPosition="0">
        <references count="1">
          <reference field="0" count="1">
            <x v="1"/>
          </reference>
        </references>
      </pivotArea>
    </format>
    <format dxfId="62">
      <pivotArea dataOnly="0" labelOnly="1" outline="0" offset="IV1" fieldPosition="0">
        <references count="1">
          <reference field="0" count="1">
            <x v="2"/>
          </reference>
        </references>
      </pivotArea>
    </format>
    <format dxfId="61">
      <pivotArea dataOnly="0" labelOnly="1" outline="0" offset="IV1" fieldPosition="0">
        <references count="1">
          <reference field="0" count="1">
            <x v="4"/>
          </reference>
        </references>
      </pivotArea>
    </format>
    <format dxfId="60">
      <pivotArea dataOnly="0" labelOnly="1" outline="0" offset="IV1" fieldPosition="0">
        <references count="1">
          <reference field="0" count="1">
            <x v="7"/>
          </reference>
        </references>
      </pivotArea>
    </format>
    <format dxfId="59">
      <pivotArea dataOnly="0" labelOnly="1" outline="0" offset="IV1" fieldPosition="0">
        <references count="1">
          <reference field="0" count="1">
            <x v="11"/>
          </reference>
        </references>
      </pivotArea>
    </format>
    <format dxfId="58">
      <pivotArea dataOnly="0" labelOnly="1" outline="0" offset="IV1" fieldPosition="0">
        <references count="1">
          <reference field="0" count="1">
            <x v="6"/>
          </reference>
        </references>
      </pivotArea>
    </format>
    <format dxfId="57">
      <pivotArea dataOnly="0" labelOnly="1" outline="0" offset="IV1" fieldPosition="0">
        <references count="1">
          <reference field="0" count="1">
            <x v="10"/>
          </reference>
        </references>
      </pivotArea>
    </format>
    <format dxfId="56">
      <pivotArea dataOnly="0" labelOnly="1" outline="0" offset="IV1" fieldPosition="0">
        <references count="1">
          <reference field="0" count="1">
            <x v="3"/>
          </reference>
        </references>
      </pivotArea>
    </format>
    <format dxfId="55">
      <pivotArea dataOnly="0" labelOnly="1" outline="0" fieldPosition="0">
        <references count="1">
          <reference field="0" count="1">
            <x v="5"/>
          </reference>
        </references>
      </pivotArea>
    </format>
    <format dxfId="54">
      <pivotArea field="0" type="button" dataOnly="0" labelOnly="1" outline="0" axis="axisRow" fieldPosition="0"/>
    </format>
    <format dxfId="53">
      <pivotArea dataOnly="0" labelOnly="1" outline="0" fieldPosition="0">
        <references count="1">
          <reference field="0" count="1">
            <x v="0"/>
          </reference>
        </references>
      </pivotArea>
    </format>
    <format dxfId="52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51">
      <pivotArea dataOnly="0" labelOnly="1" outline="0" fieldPosition="0">
        <references count="1">
          <reference field="0" count="1">
            <x v="1"/>
          </reference>
        </references>
      </pivotArea>
    </format>
    <format dxfId="50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49">
      <pivotArea dataOnly="0" labelOnly="1" outline="0" fieldPosition="0">
        <references count="1">
          <reference field="0" count="1">
            <x v="2"/>
          </reference>
        </references>
      </pivotArea>
    </format>
    <format dxfId="48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47">
      <pivotArea dataOnly="0" labelOnly="1" outline="0" fieldPosition="0">
        <references count="1">
          <reference field="0" count="1">
            <x v="3"/>
          </reference>
        </references>
      </pivotArea>
    </format>
    <format dxfId="46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45">
      <pivotArea dataOnly="0" labelOnly="1" outline="0" fieldPosition="0">
        <references count="1">
          <reference field="0" count="1">
            <x v="4"/>
          </reference>
        </references>
      </pivotArea>
    </format>
    <format dxfId="44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43">
      <pivotArea dataOnly="0" labelOnly="1" outline="0" fieldPosition="0">
        <references count="1">
          <reference field="0" count="1">
            <x v="5"/>
          </reference>
        </references>
      </pivotArea>
    </format>
    <format dxfId="42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41">
      <pivotArea dataOnly="0" labelOnly="1" outline="0" fieldPosition="0">
        <references count="1">
          <reference field="0" count="1">
            <x v="6"/>
          </reference>
        </references>
      </pivotArea>
    </format>
    <format dxfId="40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39">
      <pivotArea dataOnly="0" labelOnly="1" outline="0" fieldPosition="0">
        <references count="1">
          <reference field="0" count="1">
            <x v="7"/>
          </reference>
        </references>
      </pivotArea>
    </format>
    <format dxfId="38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37">
      <pivotArea dataOnly="0" labelOnly="1" outline="0" fieldPosition="0">
        <references count="1">
          <reference field="0" count="1">
            <x v="10"/>
          </reference>
        </references>
      </pivotArea>
    </format>
    <format dxfId="36">
      <pivotArea dataOnly="0" labelOnly="1" outline="0" fieldPosition="0">
        <references count="1">
          <reference field="0" count="1" defaultSubtotal="1">
            <x v="10"/>
          </reference>
        </references>
      </pivotArea>
    </format>
    <format dxfId="35">
      <pivotArea dataOnly="0" labelOnly="1" outline="0" fieldPosition="0">
        <references count="1">
          <reference field="0" count="1">
            <x v="11"/>
          </reference>
        </references>
      </pivotArea>
    </format>
    <format dxfId="34">
      <pivotArea dataOnly="0" labelOnly="1" outline="0" fieldPosition="0">
        <references count="1">
          <reference field="0" count="1" defaultSubtotal="1">
            <x v="11"/>
          </reference>
        </references>
      </pivotArea>
    </format>
    <format dxfId="33">
      <pivotArea outline="0" fieldPosition="0">
        <references count="2">
          <reference field="0" count="1" selected="0">
            <x v="8"/>
          </reference>
          <reference field="1" count="1" selected="0">
            <x v="1"/>
          </reference>
        </references>
      </pivotArea>
    </format>
    <format dxfId="32">
      <pivotArea dataOnly="0" labelOnly="1" outline="0" fieldPosition="0">
        <references count="1">
          <reference field="0" count="1">
            <x v="8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8"/>
          </reference>
          <reference field="1" count="1">
            <x v="1"/>
          </reference>
        </references>
      </pivotArea>
    </format>
    <format dxfId="30">
      <pivotArea outline="0" fieldPosition="0">
        <references count="1">
          <reference field="0" count="1" selected="0" defaultSubtotal="1">
            <x v="9"/>
          </reference>
        </references>
      </pivotArea>
    </format>
    <format dxfId="29">
      <pivotArea dataOnly="0" labelOnly="1" outline="0" fieldPosition="0">
        <references count="1">
          <reference field="0" count="1">
            <x v="9"/>
          </reference>
        </references>
      </pivotArea>
    </format>
    <format dxfId="28">
      <pivotArea dataOnly="0" labelOnly="1" outline="0" fieldPosition="0">
        <references count="1">
          <reference field="0" count="1" defaultSubtotal="1">
            <x v="9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9"/>
          </reference>
          <reference field="1" count="1">
            <x v="2"/>
          </reference>
        </references>
      </pivotArea>
    </format>
    <format dxfId="26">
      <pivotArea outline="0" fieldPosition="0">
        <references count="1">
          <reference field="0" count="1" selected="0" defaultSubtotal="1">
            <x v="12"/>
          </reference>
        </references>
      </pivotArea>
    </format>
    <format dxfId="25">
      <pivotArea dataOnly="0" labelOnly="1" outline="0" fieldPosition="0">
        <references count="1">
          <reference field="0" count="1">
            <x v="12"/>
          </reference>
        </references>
      </pivotArea>
    </format>
    <format dxfId="24">
      <pivotArea dataOnly="0" labelOnly="1" outline="0" fieldPosition="0">
        <references count="1">
          <reference field="0" count="1" defaultSubtotal="1">
            <x v="12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eightLossTracker">
  <a:themeElements>
    <a:clrScheme name="WeightLossTracker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7B0B8"/>
      </a:accent1>
      <a:accent2>
        <a:srgbClr val="FF6B6B"/>
      </a:accent2>
      <a:accent3>
        <a:srgbClr val="556270"/>
      </a:accent3>
      <a:accent4>
        <a:srgbClr val="81B63C"/>
      </a:accent4>
      <a:accent5>
        <a:srgbClr val="ED932C"/>
      </a:accent5>
      <a:accent6>
        <a:srgbClr val="A0729D"/>
      </a:accent6>
      <a:hlink>
        <a:srgbClr val="39ADDC"/>
      </a:hlink>
      <a:folHlink>
        <a:srgbClr val="895EA7"/>
      </a:folHlink>
    </a:clrScheme>
    <a:fontScheme name="Finance charge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Spring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100000"/>
                <a:shade val="85000"/>
                <a:lumMod val="8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00000"/>
                <a:lumMod val="110000"/>
              </a:schemeClr>
            </a:gs>
            <a:gs pos="100000">
              <a:schemeClr val="phClr">
                <a:shade val="85000"/>
                <a:lumMod val="80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88900" dist="38100" dir="5400000" algn="ctr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5400000"/>
            </a:lightRig>
          </a:scene3d>
          <a:sp3d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100000"/>
                <a:hueMod val="100000"/>
                <a:satMod val="106000"/>
                <a:lumMod val="100000"/>
              </a:schemeClr>
            </a:gs>
            <a:gs pos="88000">
              <a:schemeClr val="phClr">
                <a:tint val="90000"/>
                <a:shade val="68000"/>
                <a:hueMod val="100000"/>
                <a:satMod val="114000"/>
                <a:lumMod val="7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4000"/>
                <a:shade val="100000"/>
                <a:hueMod val="100000"/>
                <a:satMod val="118000"/>
                <a:lumMod val="100000"/>
              </a:schemeClr>
            </a:gs>
            <a:gs pos="100000">
              <a:schemeClr val="phClr">
                <a:tint val="98000"/>
                <a:shade val="68000"/>
                <a:hueMod val="100000"/>
                <a:satMod val="118000"/>
                <a:lumMod val="82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EA7510"/>
  </sheetPr>
  <dimension ref="A1:Q86"/>
  <sheetViews>
    <sheetView showGridLines="0" zoomScale="130" zoomScaleNormal="130" workbookViewId="0">
      <selection activeCell="B8" sqref="B8:B9"/>
    </sheetView>
  </sheetViews>
  <sheetFormatPr baseColWidth="10" defaultColWidth="11.3984375" defaultRowHeight="14" x14ac:dyDescent="0.2"/>
  <cols>
    <col min="1" max="1" width="23.19921875" bestFit="1" customWidth="1"/>
    <col min="2" max="2" width="26.59765625" bestFit="1" customWidth="1"/>
    <col min="3" max="16" width="11.59765625" bestFit="1" customWidth="1"/>
  </cols>
  <sheetData>
    <row r="1" spans="1:17" x14ac:dyDescent="0.2">
      <c r="C1" t="s">
        <v>147</v>
      </c>
    </row>
    <row r="2" spans="1:17" x14ac:dyDescent="0.2">
      <c r="A2" s="61" t="s">
        <v>99</v>
      </c>
      <c r="B2" s="49">
        <v>250000</v>
      </c>
      <c r="C2">
        <v>3850</v>
      </c>
    </row>
    <row r="3" spans="1:17" x14ac:dyDescent="0.2">
      <c r="A3" s="62" t="s">
        <v>133</v>
      </c>
      <c r="B3" s="50">
        <v>5019665</v>
      </c>
      <c r="E3" s="52"/>
    </row>
    <row r="4" spans="1:17" x14ac:dyDescent="0.2">
      <c r="A4" s="62" t="s">
        <v>140</v>
      </c>
      <c r="B4" s="50">
        <v>102536491</v>
      </c>
      <c r="Q4" s="36"/>
    </row>
    <row r="5" spans="1:17" x14ac:dyDescent="0.2">
      <c r="A5" s="62" t="s">
        <v>134</v>
      </c>
      <c r="B5" s="50">
        <f>4855*C2</f>
        <v>18691750</v>
      </c>
      <c r="E5" s="52"/>
      <c r="F5" s="52"/>
      <c r="H5" s="53"/>
      <c r="Q5" s="36"/>
    </row>
    <row r="6" spans="1:17" x14ac:dyDescent="0.2">
      <c r="A6" s="62" t="s">
        <v>135</v>
      </c>
      <c r="B6" s="50">
        <f>10280*C2</f>
        <v>39578000</v>
      </c>
      <c r="Q6" s="36"/>
    </row>
    <row r="7" spans="1:17" x14ac:dyDescent="0.2">
      <c r="A7" s="62" t="s">
        <v>136</v>
      </c>
      <c r="B7" s="50">
        <v>12204069</v>
      </c>
      <c r="Q7" s="36"/>
    </row>
    <row r="8" spans="1:17" x14ac:dyDescent="0.2">
      <c r="A8" s="62" t="s">
        <v>137</v>
      </c>
      <c r="B8" s="50">
        <v>585890</v>
      </c>
      <c r="Q8" s="36"/>
    </row>
    <row r="9" spans="1:17" x14ac:dyDescent="0.2">
      <c r="A9" s="62" t="s">
        <v>168</v>
      </c>
      <c r="B9" s="50">
        <f>56.6*C2</f>
        <v>217910</v>
      </c>
      <c r="Q9" s="36"/>
    </row>
    <row r="10" spans="1:17" x14ac:dyDescent="0.2">
      <c r="A10" s="62" t="s">
        <v>139</v>
      </c>
      <c r="B10" s="50">
        <v>168222</v>
      </c>
      <c r="Q10" s="36"/>
    </row>
    <row r="11" spans="1:17" x14ac:dyDescent="0.2">
      <c r="A11" s="62" t="s">
        <v>141</v>
      </c>
      <c r="B11" s="51">
        <f>-6151674.16</f>
        <v>-6151674.1600000001</v>
      </c>
      <c r="Q11" s="36"/>
    </row>
    <row r="12" spans="1:17" x14ac:dyDescent="0.2">
      <c r="A12" s="63" t="s">
        <v>169</v>
      </c>
      <c r="B12" s="50"/>
      <c r="P12" s="37"/>
      <c r="Q12" s="35"/>
    </row>
    <row r="13" spans="1:17" x14ac:dyDescent="0.2">
      <c r="A13" s="63" t="s">
        <v>170</v>
      </c>
      <c r="B13" s="50">
        <v>2619683.9900000002</v>
      </c>
    </row>
    <row r="14" spans="1:17" x14ac:dyDescent="0.2">
      <c r="A14" s="63"/>
      <c r="B14" s="50"/>
    </row>
    <row r="15" spans="1:17" x14ac:dyDescent="0.2">
      <c r="A15" s="63"/>
      <c r="B15" s="50"/>
    </row>
    <row r="16" spans="1:17" x14ac:dyDescent="0.2">
      <c r="A16" s="63"/>
      <c r="B16" s="50"/>
    </row>
    <row r="17" spans="1:17" x14ac:dyDescent="0.2">
      <c r="A17" s="63"/>
      <c r="B17" s="50"/>
    </row>
    <row r="18" spans="1:17" x14ac:dyDescent="0.2">
      <c r="A18" s="63"/>
      <c r="B18" s="50"/>
      <c r="Q18" s="38"/>
    </row>
    <row r="19" spans="1:17" ht="16" x14ac:dyDescent="0.2">
      <c r="A19" s="54" t="s">
        <v>0</v>
      </c>
      <c r="B19" s="54">
        <f>SUM(B2:B18)</f>
        <v>175720006.83000001</v>
      </c>
    </row>
    <row r="20" spans="1:17" ht="16" x14ac:dyDescent="0.2">
      <c r="A20" s="64" t="s">
        <v>1</v>
      </c>
      <c r="B20" s="41">
        <f>B19-GETPIVOTDATA("MONTO",$A$24)</f>
        <v>2619683.9900000095</v>
      </c>
      <c r="C20" s="109" t="str">
        <f>IF(B20=0,"Balanceado!", IF(B20&lt;0,"Te falta $, ajusta!","Te sobra $, ajusta!"))</f>
        <v>Te sobra $, ajusta!</v>
      </c>
      <c r="D20" s="109"/>
      <c r="E20" s="109"/>
    </row>
    <row r="24" spans="1:17" hidden="1" x14ac:dyDescent="0.2">
      <c r="A24" s="34" t="s">
        <v>2</v>
      </c>
      <c r="C24" s="34" t="s">
        <v>3</v>
      </c>
    </row>
    <row r="25" spans="1:17" s="35" customFormat="1" x14ac:dyDescent="0.2">
      <c r="A25" s="96" t="s">
        <v>4</v>
      </c>
      <c r="B25" s="103" t="s">
        <v>5</v>
      </c>
      <c r="C25" s="103" t="s">
        <v>6</v>
      </c>
      <c r="D25" s="103" t="s">
        <v>107</v>
      </c>
      <c r="E25" s="103" t="s">
        <v>108</v>
      </c>
      <c r="F25" s="103" t="s">
        <v>109</v>
      </c>
      <c r="G25" s="103" t="s">
        <v>110</v>
      </c>
      <c r="H25" s="103" t="s">
        <v>111</v>
      </c>
      <c r="I25" s="103" t="s">
        <v>112</v>
      </c>
      <c r="J25" s="103" t="s">
        <v>113</v>
      </c>
      <c r="K25" s="103" t="s">
        <v>114</v>
      </c>
      <c r="L25" s="103" t="s">
        <v>115</v>
      </c>
      <c r="M25" s="103" t="s">
        <v>116</v>
      </c>
      <c r="N25" s="103" t="s">
        <v>117</v>
      </c>
      <c r="O25" s="103" t="s">
        <v>118</v>
      </c>
      <c r="P25" s="103" t="s">
        <v>7</v>
      </c>
    </row>
    <row r="26" spans="1:17" s="35" customFormat="1" x14ac:dyDescent="0.2">
      <c r="A26" s="67" t="s">
        <v>8</v>
      </c>
      <c r="B26" t="s">
        <v>13</v>
      </c>
      <c r="C26" s="43"/>
      <c r="D26" s="43">
        <v>0</v>
      </c>
      <c r="E26" s="43"/>
      <c r="F26" s="43"/>
      <c r="G26" s="43"/>
      <c r="H26" s="43"/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</row>
    <row r="27" spans="1:17" s="35" customFormat="1" x14ac:dyDescent="0.2">
      <c r="A27" s="67"/>
      <c r="B27" t="s">
        <v>99</v>
      </c>
      <c r="C27" s="43">
        <v>250000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>
        <v>250000</v>
      </c>
    </row>
    <row r="28" spans="1:17" s="35" customFormat="1" x14ac:dyDescent="0.2">
      <c r="A28" s="67"/>
      <c r="B28" t="s">
        <v>133</v>
      </c>
      <c r="C28" s="43">
        <v>5019665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>
        <v>5019665</v>
      </c>
    </row>
    <row r="29" spans="1:17" s="35" customFormat="1" x14ac:dyDescent="0.2">
      <c r="A29" s="67"/>
      <c r="B29" t="s">
        <v>140</v>
      </c>
      <c r="C29" s="43">
        <v>102536491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>
        <v>102536491</v>
      </c>
    </row>
    <row r="30" spans="1:17" s="35" customFormat="1" x14ac:dyDescent="0.2">
      <c r="A30" s="67"/>
      <c r="B30" t="s">
        <v>134</v>
      </c>
      <c r="C30" s="43">
        <v>18691750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>
        <v>18691750</v>
      </c>
    </row>
    <row r="31" spans="1:17" s="35" customFormat="1" x14ac:dyDescent="0.2">
      <c r="A31" s="67"/>
      <c r="B31" t="s">
        <v>135</v>
      </c>
      <c r="C31" s="43">
        <v>39578000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>
        <v>39578000</v>
      </c>
    </row>
    <row r="32" spans="1:17" s="66" customFormat="1" x14ac:dyDescent="0.2">
      <c r="A32" s="67"/>
      <c r="B32" t="s">
        <v>136</v>
      </c>
      <c r="C32" s="43">
        <v>12204069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>
        <v>12204069</v>
      </c>
    </row>
    <row r="33" spans="1:16" s="35" customFormat="1" x14ac:dyDescent="0.2">
      <c r="A33" s="67"/>
      <c r="B33" t="s">
        <v>137</v>
      </c>
      <c r="C33" s="43">
        <v>585890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>
        <v>585890</v>
      </c>
    </row>
    <row r="34" spans="1:16" s="35" customFormat="1" x14ac:dyDescent="0.2">
      <c r="A34" s="67"/>
      <c r="B34" t="s">
        <v>138</v>
      </c>
      <c r="C34" s="43">
        <v>217910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>
        <v>217910</v>
      </c>
    </row>
    <row r="35" spans="1:16" s="35" customFormat="1" x14ac:dyDescent="0.2">
      <c r="A35" s="67"/>
      <c r="B35" t="s">
        <v>139</v>
      </c>
      <c r="C35" s="43">
        <v>168222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>
        <v>168222</v>
      </c>
    </row>
    <row r="36" spans="1:16" s="66" customFormat="1" x14ac:dyDescent="0.2">
      <c r="A36" s="68" t="s">
        <v>14</v>
      </c>
      <c r="B36" s="68"/>
      <c r="C36" s="65">
        <v>179251997</v>
      </c>
      <c r="D36" s="65">
        <v>0</v>
      </c>
      <c r="E36" s="65"/>
      <c r="F36" s="65"/>
      <c r="G36" s="65"/>
      <c r="H36" s="65"/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179251997</v>
      </c>
    </row>
    <row r="37" spans="1:16" s="35" customFormat="1" x14ac:dyDescent="0.2">
      <c r="A37"/>
      <c r="B37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16" s="35" customFormat="1" x14ac:dyDescent="0.2">
      <c r="A38" s="97" t="s">
        <v>15</v>
      </c>
      <c r="B38" t="s">
        <v>18</v>
      </c>
      <c r="C38" s="43">
        <v>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>
        <v>0</v>
      </c>
    </row>
    <row r="39" spans="1:16" s="35" customFormat="1" x14ac:dyDescent="0.2">
      <c r="A39" s="98"/>
      <c r="B39" t="s">
        <v>17</v>
      </c>
      <c r="C39" s="43">
        <v>0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>
        <v>0</v>
      </c>
    </row>
    <row r="40" spans="1:16" s="66" customFormat="1" x14ac:dyDescent="0.2">
      <c r="A40" s="68" t="s">
        <v>19</v>
      </c>
      <c r="B40" s="68"/>
      <c r="C40" s="65">
        <v>0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>
        <v>0</v>
      </c>
    </row>
    <row r="41" spans="1:16" s="35" customFormat="1" x14ac:dyDescent="0.2">
      <c r="A41"/>
      <c r="B41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</row>
    <row r="42" spans="1:16" s="35" customFormat="1" x14ac:dyDescent="0.2">
      <c r="A42" s="97" t="s">
        <v>20</v>
      </c>
      <c r="B42" t="s">
        <v>21</v>
      </c>
      <c r="C42" s="43">
        <v>0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>
        <v>0</v>
      </c>
    </row>
    <row r="43" spans="1:16" s="35" customFormat="1" x14ac:dyDescent="0.2">
      <c r="A43" s="98"/>
      <c r="B43" t="s">
        <v>65</v>
      </c>
      <c r="C43" s="43">
        <v>0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>
        <v>0</v>
      </c>
    </row>
    <row r="44" spans="1:16" s="35" customFormat="1" x14ac:dyDescent="0.2">
      <c r="A44" s="68" t="s">
        <v>100</v>
      </c>
      <c r="B44" s="68"/>
      <c r="C44" s="65">
        <v>0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>
        <v>0</v>
      </c>
    </row>
    <row r="45" spans="1:16" s="35" customFormat="1" x14ac:dyDescent="0.2">
      <c r="A45"/>
      <c r="B45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1:16" s="66" customFormat="1" x14ac:dyDescent="0.2">
      <c r="A46" s="97" t="s">
        <v>22</v>
      </c>
      <c r="B46" t="s">
        <v>23</v>
      </c>
      <c r="C46" s="43">
        <v>0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>
        <v>0</v>
      </c>
    </row>
    <row r="47" spans="1:16" s="35" customFormat="1" x14ac:dyDescent="0.2">
      <c r="A47" s="98"/>
      <c r="B47" t="s">
        <v>24</v>
      </c>
      <c r="C47" s="43">
        <v>0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>
        <v>0</v>
      </c>
    </row>
    <row r="48" spans="1:16" s="35" customFormat="1" x14ac:dyDescent="0.2">
      <c r="A48" s="98"/>
      <c r="B48" t="s">
        <v>70</v>
      </c>
      <c r="C48" s="43">
        <v>0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>
        <v>0</v>
      </c>
    </row>
    <row r="49" spans="1:16" s="35" customFormat="1" x14ac:dyDescent="0.2">
      <c r="A49" s="98"/>
      <c r="B49" t="s">
        <v>71</v>
      </c>
      <c r="C49" s="43">
        <v>0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>
        <v>0</v>
      </c>
    </row>
    <row r="50" spans="1:16" s="66" customFormat="1" x14ac:dyDescent="0.2">
      <c r="A50" s="68" t="s">
        <v>101</v>
      </c>
      <c r="B50" s="68"/>
      <c r="C50" s="65">
        <v>0</v>
      </c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>
        <v>0</v>
      </c>
    </row>
    <row r="51" spans="1:16" s="35" customFormat="1" x14ac:dyDescent="0.2">
      <c r="A51"/>
      <c r="B5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</row>
    <row r="52" spans="1:16" s="35" customFormat="1" x14ac:dyDescent="0.2">
      <c r="A52" s="97" t="s">
        <v>25</v>
      </c>
      <c r="B52" t="s">
        <v>26</v>
      </c>
      <c r="C52" s="43">
        <v>0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>
        <v>0</v>
      </c>
    </row>
    <row r="53" spans="1:16" s="66" customFormat="1" x14ac:dyDescent="0.2">
      <c r="A53" s="98"/>
      <c r="B53" t="s">
        <v>75</v>
      </c>
      <c r="C53" s="43">
        <v>0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>
        <v>0</v>
      </c>
    </row>
    <row r="54" spans="1:16" s="35" customFormat="1" x14ac:dyDescent="0.2">
      <c r="A54" s="68" t="s">
        <v>27</v>
      </c>
      <c r="B54" s="68"/>
      <c r="C54" s="65">
        <v>0</v>
      </c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>
        <v>0</v>
      </c>
    </row>
    <row r="55" spans="1:16" s="35" customFormat="1" x14ac:dyDescent="0.2">
      <c r="A55"/>
      <c r="B55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 s="35" customFormat="1" x14ac:dyDescent="0.2">
      <c r="A56" s="97" t="s">
        <v>28</v>
      </c>
      <c r="B56" t="s">
        <v>29</v>
      </c>
      <c r="C56" s="43">
        <v>0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>
        <v>0</v>
      </c>
    </row>
    <row r="57" spans="1:16" s="35" customFormat="1" x14ac:dyDescent="0.2">
      <c r="A57" s="68" t="s">
        <v>102</v>
      </c>
      <c r="B57" s="68"/>
      <c r="C57" s="65">
        <v>0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>
        <v>0</v>
      </c>
    </row>
    <row r="58" spans="1:16" s="66" customFormat="1" x14ac:dyDescent="0.2">
      <c r="A58"/>
      <c r="B58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 s="35" customFormat="1" x14ac:dyDescent="0.2">
      <c r="A59" s="97" t="s">
        <v>30</v>
      </c>
      <c r="B59" t="s">
        <v>26</v>
      </c>
      <c r="C59" s="43">
        <v>0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>
        <v>0</v>
      </c>
    </row>
    <row r="60" spans="1:16" x14ac:dyDescent="0.2">
      <c r="A60" s="98"/>
      <c r="B60" t="s">
        <v>81</v>
      </c>
      <c r="C60" s="43">
        <v>0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>
        <v>0</v>
      </c>
    </row>
    <row r="61" spans="1:16" x14ac:dyDescent="0.2">
      <c r="A61" s="98"/>
      <c r="B61" t="s">
        <v>31</v>
      </c>
      <c r="C61" s="43">
        <v>0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>
        <v>0</v>
      </c>
    </row>
    <row r="62" spans="1:16" s="66" customFormat="1" x14ac:dyDescent="0.2">
      <c r="A62" s="68" t="s">
        <v>103</v>
      </c>
      <c r="B62" s="68"/>
      <c r="C62" s="65">
        <v>0</v>
      </c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>
        <v>0</v>
      </c>
    </row>
    <row r="63" spans="1:16" x14ac:dyDescent="0.2"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 s="35" customFormat="1" x14ac:dyDescent="0.2">
      <c r="A64" s="97" t="s">
        <v>32</v>
      </c>
      <c r="B64" t="s">
        <v>73</v>
      </c>
      <c r="C64" s="43">
        <v>0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>
        <v>0</v>
      </c>
    </row>
    <row r="65" spans="1:16" s="66" customFormat="1" x14ac:dyDescent="0.2">
      <c r="A65" s="98"/>
      <c r="B65" t="s">
        <v>33</v>
      </c>
      <c r="C65" s="43">
        <v>0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>
        <v>0</v>
      </c>
    </row>
    <row r="66" spans="1:16" x14ac:dyDescent="0.2">
      <c r="A66" s="68" t="s">
        <v>104</v>
      </c>
      <c r="B66" s="68"/>
      <c r="C66" s="65">
        <v>0</v>
      </c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>
        <v>0</v>
      </c>
    </row>
    <row r="67" spans="1:16" s="35" customFormat="1" x14ac:dyDescent="0.2">
      <c r="A67"/>
      <c r="B67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 s="66" customFormat="1" x14ac:dyDescent="0.2">
      <c r="A68" s="97" t="s">
        <v>144</v>
      </c>
      <c r="B68" s="99" t="s">
        <v>144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</row>
    <row r="69" spans="1:16" x14ac:dyDescent="0.2">
      <c r="A69" s="35" t="s">
        <v>145</v>
      </c>
      <c r="B69" s="35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 s="35" customFormat="1" x14ac:dyDescent="0.2">
      <c r="A70"/>
      <c r="B70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 s="35" customFormat="1" x14ac:dyDescent="0.2">
      <c r="A71" s="97" t="s">
        <v>132</v>
      </c>
      <c r="B71" s="101"/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</row>
    <row r="72" spans="1:16" s="35" customFormat="1" x14ac:dyDescent="0.2">
      <c r="A72" s="100" t="s">
        <v>119</v>
      </c>
      <c r="B72" s="100"/>
      <c r="C72" s="97">
        <v>0</v>
      </c>
      <c r="D72" s="97">
        <v>0</v>
      </c>
      <c r="E72" s="97">
        <v>0</v>
      </c>
      <c r="F72" s="97">
        <v>0</v>
      </c>
      <c r="G72" s="97">
        <v>0</v>
      </c>
      <c r="H72" s="97">
        <v>0</v>
      </c>
      <c r="I72" s="97">
        <v>0</v>
      </c>
      <c r="J72" s="97">
        <v>0</v>
      </c>
      <c r="K72" s="97">
        <v>0</v>
      </c>
      <c r="L72" s="97">
        <v>0</v>
      </c>
      <c r="M72" s="97">
        <v>0</v>
      </c>
      <c r="N72" s="97">
        <v>0</v>
      </c>
      <c r="O72" s="97">
        <v>0</v>
      </c>
      <c r="P72" s="97">
        <v>0</v>
      </c>
    </row>
    <row r="73" spans="1:16" s="66" customFormat="1" x14ac:dyDescent="0.2">
      <c r="A73"/>
      <c r="B7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 x14ac:dyDescent="0.2">
      <c r="A74" s="97" t="s">
        <v>72</v>
      </c>
      <c r="B74" t="s">
        <v>73</v>
      </c>
      <c r="C74" s="43">
        <v>0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>
        <v>0</v>
      </c>
    </row>
    <row r="75" spans="1:16" x14ac:dyDescent="0.2">
      <c r="A75" s="98"/>
      <c r="B75" t="s">
        <v>74</v>
      </c>
      <c r="C75" s="43">
        <v>0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>
        <v>0</v>
      </c>
    </row>
    <row r="76" spans="1:16" x14ac:dyDescent="0.2">
      <c r="A76" s="98"/>
      <c r="B76" t="s">
        <v>76</v>
      </c>
      <c r="C76" s="43">
        <v>0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>
        <v>0</v>
      </c>
    </row>
    <row r="77" spans="1:16" x14ac:dyDescent="0.2">
      <c r="A77" s="68" t="s">
        <v>105</v>
      </c>
      <c r="B77" s="68"/>
      <c r="C77" s="65">
        <v>0</v>
      </c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>
        <v>0</v>
      </c>
    </row>
    <row r="78" spans="1:16" x14ac:dyDescent="0.2"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 s="35" customFormat="1" x14ac:dyDescent="0.2">
      <c r="A79" s="97" t="s">
        <v>60</v>
      </c>
      <c r="B79" t="s">
        <v>21</v>
      </c>
      <c r="C79" s="43">
        <v>0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>
        <v>0</v>
      </c>
    </row>
    <row r="80" spans="1:16" s="66" customFormat="1" x14ac:dyDescent="0.2">
      <c r="A80" s="98"/>
      <c r="B80" t="s">
        <v>65</v>
      </c>
      <c r="C80" s="43">
        <v>0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>
        <v>0</v>
      </c>
    </row>
    <row r="81" spans="1:16" x14ac:dyDescent="0.2">
      <c r="A81" s="68" t="s">
        <v>106</v>
      </c>
      <c r="B81" s="68"/>
      <c r="C81" s="65">
        <v>0</v>
      </c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>
        <v>0</v>
      </c>
    </row>
    <row r="82" spans="1:16" x14ac:dyDescent="0.2"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 x14ac:dyDescent="0.2">
      <c r="A83" s="43" t="s">
        <v>55</v>
      </c>
      <c r="B83" t="s">
        <v>143</v>
      </c>
      <c r="C83" s="43">
        <v>-6151674.1600000001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>
        <v>-6151674.1600000001</v>
      </c>
    </row>
    <row r="84" spans="1:16" x14ac:dyDescent="0.2">
      <c r="A84" s="35" t="s">
        <v>146</v>
      </c>
      <c r="B84" s="35"/>
      <c r="C84" s="43">
        <v>-6151674.1600000001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>
        <v>-6151674.1600000001</v>
      </c>
    </row>
    <row r="85" spans="1:16" x14ac:dyDescent="0.2"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 x14ac:dyDescent="0.2">
      <c r="A86" s="43" t="s">
        <v>7</v>
      </c>
      <c r="B86" s="43"/>
      <c r="C86" s="43">
        <v>173100322.84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173100322.84</v>
      </c>
    </row>
  </sheetData>
  <mergeCells count="1">
    <mergeCell ref="C20:E20"/>
  </mergeCells>
  <pageMargins left="0.7" right="0.7" top="0.75" bottom="0.75" header="0.3" footer="0.3"/>
  <pageSetup orientation="portrait" horizontalDpi="300" verticalDpi="300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901C6D9-3450-41B6-9C39-89FEBA6E8C8A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B20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2" tint="-0.34998626667073579"/>
    <pageSetUpPr autoPageBreaks="0" fitToPage="1"/>
  </sheetPr>
  <dimension ref="B1:U110"/>
  <sheetViews>
    <sheetView showGridLines="0" zoomScale="80" zoomScaleNormal="80" zoomScalePageLayoutView="80" workbookViewId="0">
      <selection activeCell="D13" sqref="D13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11"/>
      <c r="F13" s="12">
        <f>D13-E13</f>
        <v>0</v>
      </c>
      <c r="H13" s="9" t="s">
        <v>13</v>
      </c>
      <c r="I13" s="10" t="s">
        <v>45</v>
      </c>
      <c r="J13" s="11"/>
      <c r="K13" s="11"/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11"/>
      <c r="F14" s="12">
        <f t="shared" ref="F14:F25" si="1">D14-E14</f>
        <v>0</v>
      </c>
      <c r="H14" s="9" t="s">
        <v>12</v>
      </c>
      <c r="I14" s="10" t="s">
        <v>45</v>
      </c>
      <c r="J14" s="11"/>
      <c r="K14" s="11"/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11"/>
      <c r="F15" s="12">
        <f t="shared" si="1"/>
        <v>0</v>
      </c>
      <c r="H15" s="9" t="s">
        <v>11</v>
      </c>
      <c r="I15" s="10" t="s">
        <v>45</v>
      </c>
      <c r="J15" s="39"/>
      <c r="K15" s="11"/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11"/>
      <c r="F16" s="12">
        <f t="shared" si="1"/>
        <v>0</v>
      </c>
      <c r="H16" s="9" t="s">
        <v>10</v>
      </c>
      <c r="I16" s="10" t="s">
        <v>45</v>
      </c>
      <c r="J16" s="11"/>
      <c r="K16" s="11"/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11"/>
      <c r="F17" s="12">
        <f t="shared" si="1"/>
        <v>0</v>
      </c>
      <c r="H17" s="9" t="s">
        <v>9</v>
      </c>
      <c r="I17" s="10" t="s">
        <v>45</v>
      </c>
      <c r="J17" s="11"/>
      <c r="K17" s="11"/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11"/>
      <c r="F18" s="12">
        <f t="shared" si="1"/>
        <v>0</v>
      </c>
      <c r="H18" s="9"/>
      <c r="I18" s="10"/>
      <c r="J18" s="11"/>
      <c r="K18" s="11"/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11"/>
      <c r="F19" s="12">
        <f t="shared" si="1"/>
        <v>0</v>
      </c>
      <c r="H19" s="9"/>
      <c r="I19" s="10"/>
      <c r="J19" s="11"/>
      <c r="K19" s="11"/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11"/>
      <c r="F20" s="12">
        <f t="shared" si="1"/>
        <v>0</v>
      </c>
      <c r="H20" s="9"/>
      <c r="I20" s="10"/>
      <c r="J20" s="11"/>
      <c r="K20" s="11"/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11"/>
      <c r="F21" s="12">
        <f t="shared" si="1"/>
        <v>0</v>
      </c>
      <c r="H21" s="9"/>
      <c r="I21" s="10"/>
      <c r="J21" s="11"/>
      <c r="K21" s="11"/>
      <c r="L21" s="12">
        <f t="shared" si="0"/>
        <v>0</v>
      </c>
    </row>
    <row r="22" spans="2:12" x14ac:dyDescent="0.2">
      <c r="B22" s="9"/>
      <c r="C22" s="10"/>
      <c r="D22" s="11"/>
      <c r="E22" s="11"/>
      <c r="F22" s="12">
        <f t="shared" si="1"/>
        <v>0</v>
      </c>
      <c r="H22" s="9"/>
      <c r="I22" s="10"/>
      <c r="J22" s="11"/>
      <c r="K22" s="11"/>
      <c r="L22" s="12">
        <f t="shared" si="0"/>
        <v>0</v>
      </c>
    </row>
    <row r="23" spans="2:12" x14ac:dyDescent="0.2">
      <c r="B23" s="9"/>
      <c r="C23" s="10"/>
      <c r="D23" s="11"/>
      <c r="E23" s="11"/>
      <c r="F23" s="12">
        <f t="shared" si="1"/>
        <v>0</v>
      </c>
      <c r="H23" s="9"/>
      <c r="I23" s="10"/>
      <c r="J23" s="11"/>
      <c r="K23" s="11"/>
      <c r="L23" s="12">
        <f t="shared" si="0"/>
        <v>0</v>
      </c>
    </row>
    <row r="24" spans="2:12" ht="17" thickBot="1" x14ac:dyDescent="0.25">
      <c r="B24" s="13"/>
      <c r="C24" s="40"/>
      <c r="D24" s="14"/>
      <c r="E24" s="14"/>
      <c r="F24" s="15">
        <f t="shared" si="1"/>
        <v>0</v>
      </c>
      <c r="H24" s="13"/>
      <c r="I24" s="40"/>
      <c r="J24" s="14"/>
      <c r="K24" s="14"/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110"/>
      <c r="C26" s="110"/>
      <c r="D26" s="110"/>
      <c r="E26" s="110"/>
      <c r="G26" s="111"/>
      <c r="H26" s="111"/>
      <c r="I26" s="111"/>
      <c r="J26" s="111"/>
      <c r="K26" s="111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11"/>
      <c r="F28" s="12">
        <f t="shared" ref="F28:F35" si="2">D28-E28</f>
        <v>0</v>
      </c>
      <c r="H28" s="9" t="s">
        <v>18</v>
      </c>
      <c r="I28" s="10" t="s">
        <v>45</v>
      </c>
      <c r="J28" s="11"/>
      <c r="K28" s="11"/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/>
      <c r="F29" s="12">
        <f t="shared" si="2"/>
        <v>0</v>
      </c>
      <c r="H29" s="9" t="s">
        <v>17</v>
      </c>
      <c r="I29" s="10" t="s">
        <v>45</v>
      </c>
      <c r="J29" s="11"/>
      <c r="K29" s="11"/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/>
      <c r="F30" s="12">
        <f t="shared" si="2"/>
        <v>0</v>
      </c>
      <c r="H30" s="9" t="s">
        <v>16</v>
      </c>
      <c r="I30" s="10" t="s">
        <v>45</v>
      </c>
      <c r="J30" s="11"/>
      <c r="K30" s="11"/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/>
      <c r="F31" s="12">
        <f t="shared" si="2"/>
        <v>0</v>
      </c>
      <c r="H31" s="9"/>
      <c r="I31" s="10"/>
      <c r="J31" s="11"/>
      <c r="K31" s="11"/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/>
      <c r="F32" s="12">
        <f t="shared" si="2"/>
        <v>0</v>
      </c>
      <c r="H32" s="9"/>
      <c r="I32" s="10"/>
      <c r="J32" s="11"/>
      <c r="K32" s="11"/>
      <c r="L32" s="12">
        <f t="shared" si="3"/>
        <v>0</v>
      </c>
    </row>
    <row r="33" spans="2:12" x14ac:dyDescent="0.2">
      <c r="B33" s="9"/>
      <c r="C33" s="10"/>
      <c r="D33" s="11"/>
      <c r="E33" s="11"/>
      <c r="F33" s="12">
        <f t="shared" si="2"/>
        <v>0</v>
      </c>
      <c r="H33" s="9"/>
      <c r="I33" s="10"/>
      <c r="J33" s="11"/>
      <c r="K33" s="11"/>
      <c r="L33" s="12">
        <f t="shared" si="3"/>
        <v>0</v>
      </c>
    </row>
    <row r="34" spans="2:12" x14ac:dyDescent="0.2">
      <c r="B34" s="9"/>
      <c r="C34" s="10"/>
      <c r="D34" s="11"/>
      <c r="E34" s="11"/>
      <c r="F34" s="12">
        <f t="shared" si="2"/>
        <v>0</v>
      </c>
      <c r="H34" s="9"/>
      <c r="I34" s="10"/>
      <c r="J34" s="11"/>
      <c r="K34" s="11"/>
      <c r="L34" s="12">
        <f t="shared" si="3"/>
        <v>0</v>
      </c>
    </row>
    <row r="35" spans="2:12" ht="17" thickBot="1" x14ac:dyDescent="0.25">
      <c r="B35" s="13"/>
      <c r="C35" s="40"/>
      <c r="D35" s="14"/>
      <c r="E35" s="14"/>
      <c r="F35" s="15">
        <f t="shared" si="2"/>
        <v>0</v>
      </c>
      <c r="H35" s="13"/>
      <c r="I35" s="40"/>
      <c r="J35" s="14"/>
      <c r="K35" s="14"/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110"/>
      <c r="C37" s="110"/>
      <c r="D37" s="110"/>
      <c r="E37" s="110"/>
      <c r="G37" s="111"/>
      <c r="H37" s="111"/>
      <c r="I37" s="111"/>
      <c r="J37" s="111"/>
      <c r="K37" s="111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11"/>
      <c r="F39" s="12">
        <f t="shared" ref="F39:F45" si="4">D39-E39</f>
        <v>0</v>
      </c>
      <c r="G39" s="20"/>
      <c r="H39" s="9" t="s">
        <v>62</v>
      </c>
      <c r="I39" s="10"/>
      <c r="J39" s="11"/>
      <c r="K39" s="11"/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/>
      <c r="F40" s="12">
        <f t="shared" si="4"/>
        <v>0</v>
      </c>
      <c r="G40" s="20"/>
      <c r="H40" s="9" t="s">
        <v>63</v>
      </c>
      <c r="I40" s="10"/>
      <c r="J40" s="11"/>
      <c r="K40" s="11"/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/>
      <c r="F41" s="12">
        <f t="shared" si="4"/>
        <v>0</v>
      </c>
      <c r="G41" s="20"/>
      <c r="H41" s="9" t="s">
        <v>21</v>
      </c>
      <c r="I41" s="10"/>
      <c r="J41" s="11"/>
      <c r="K41" s="11"/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/>
      <c r="F42" s="12">
        <f t="shared" si="4"/>
        <v>0</v>
      </c>
      <c r="G42" s="20"/>
      <c r="H42" s="9" t="s">
        <v>65</v>
      </c>
      <c r="I42" s="10"/>
      <c r="J42" s="11"/>
      <c r="K42" s="11"/>
      <c r="L42" s="12">
        <f t="shared" si="5"/>
        <v>0</v>
      </c>
    </row>
    <row r="43" spans="2:12" x14ac:dyDescent="0.2">
      <c r="B43" s="9"/>
      <c r="C43" s="10"/>
      <c r="D43" s="11"/>
      <c r="E43" s="11"/>
      <c r="F43" s="12">
        <f t="shared" si="4"/>
        <v>0</v>
      </c>
      <c r="G43" s="20"/>
      <c r="H43" s="9" t="s">
        <v>66</v>
      </c>
      <c r="I43" s="10"/>
      <c r="J43" s="11"/>
      <c r="K43" s="11"/>
      <c r="L43" s="12">
        <f t="shared" si="5"/>
        <v>0</v>
      </c>
    </row>
    <row r="44" spans="2:12" x14ac:dyDescent="0.2">
      <c r="B44" s="30"/>
      <c r="C44" s="10"/>
      <c r="D44" s="31"/>
      <c r="E44" s="31"/>
      <c r="F44" s="12">
        <f t="shared" si="4"/>
        <v>0</v>
      </c>
      <c r="G44" s="20"/>
      <c r="H44" s="30"/>
      <c r="I44" s="10"/>
      <c r="J44" s="31"/>
      <c r="K44" s="31"/>
      <c r="L44" s="12">
        <f t="shared" si="5"/>
        <v>0</v>
      </c>
    </row>
    <row r="45" spans="2:12" ht="17" thickBot="1" x14ac:dyDescent="0.25">
      <c r="B45" s="13"/>
      <c r="C45" s="40"/>
      <c r="D45" s="14"/>
      <c r="E45" s="14"/>
      <c r="F45" s="15">
        <f t="shared" si="4"/>
        <v>0</v>
      </c>
      <c r="G45" s="20"/>
      <c r="H45" s="13"/>
      <c r="I45" s="40"/>
      <c r="J45" s="14"/>
      <c r="K45" s="14"/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42"/>
      <c r="C47" s="42"/>
      <c r="D47" s="42"/>
      <c r="E47" s="42"/>
      <c r="G47" s="42"/>
      <c r="H47" s="42"/>
      <c r="I47" s="42"/>
      <c r="J47" s="42"/>
      <c r="K47" s="42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11"/>
      <c r="F49" s="12">
        <f t="shared" ref="F49:F54" si="6">D49-E49</f>
        <v>0</v>
      </c>
      <c r="G49" s="20"/>
      <c r="H49" s="9" t="s">
        <v>23</v>
      </c>
      <c r="I49" s="10"/>
      <c r="J49" s="11"/>
      <c r="K49" s="11"/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/>
      <c r="F50" s="12">
        <f t="shared" si="6"/>
        <v>0</v>
      </c>
      <c r="G50" s="20"/>
      <c r="H50" s="9" t="s">
        <v>24</v>
      </c>
      <c r="I50" s="10"/>
      <c r="J50" s="11"/>
      <c r="K50" s="11"/>
      <c r="L50" s="12">
        <f t="shared" si="7"/>
        <v>0</v>
      </c>
    </row>
    <row r="51" spans="2:12" x14ac:dyDescent="0.2">
      <c r="B51" s="9"/>
      <c r="C51" s="10"/>
      <c r="D51" s="11"/>
      <c r="E51" s="11"/>
      <c r="F51" s="12">
        <f t="shared" si="6"/>
        <v>0</v>
      </c>
      <c r="G51" s="20"/>
      <c r="H51" s="9" t="s">
        <v>70</v>
      </c>
      <c r="I51" s="10"/>
      <c r="J51" s="39"/>
      <c r="K51" s="11"/>
      <c r="L51" s="12">
        <f t="shared" si="7"/>
        <v>0</v>
      </c>
    </row>
    <row r="52" spans="2:12" x14ac:dyDescent="0.2">
      <c r="B52" s="9"/>
      <c r="C52" s="10"/>
      <c r="D52" s="11"/>
      <c r="E52" s="11"/>
      <c r="F52" s="12">
        <f t="shared" si="6"/>
        <v>0</v>
      </c>
      <c r="G52" s="20"/>
      <c r="H52" s="9" t="s">
        <v>71</v>
      </c>
      <c r="I52" s="10"/>
      <c r="J52" s="11"/>
      <c r="K52" s="11"/>
      <c r="L52" s="12">
        <f t="shared" si="7"/>
        <v>0</v>
      </c>
    </row>
    <row r="53" spans="2:12" x14ac:dyDescent="0.2">
      <c r="B53" s="9"/>
      <c r="C53" s="10"/>
      <c r="D53" s="11"/>
      <c r="E53" s="11"/>
      <c r="F53" s="12">
        <f t="shared" si="6"/>
        <v>0</v>
      </c>
      <c r="G53" s="20"/>
      <c r="H53" s="9"/>
      <c r="I53" s="10"/>
      <c r="J53" s="11"/>
      <c r="K53" s="11"/>
      <c r="L53" s="12">
        <f t="shared" si="7"/>
        <v>0</v>
      </c>
    </row>
    <row r="54" spans="2:12" ht="17" thickBot="1" x14ac:dyDescent="0.25">
      <c r="B54" s="13"/>
      <c r="C54" s="40"/>
      <c r="D54" s="14"/>
      <c r="E54" s="14"/>
      <c r="F54" s="15">
        <f t="shared" si="6"/>
        <v>0</v>
      </c>
      <c r="G54" s="20"/>
      <c r="H54" s="13"/>
      <c r="I54" s="40"/>
      <c r="J54" s="14"/>
      <c r="K54" s="14"/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110"/>
      <c r="C56" s="110"/>
      <c r="D56" s="110"/>
      <c r="E56" s="110"/>
      <c r="G56" s="111"/>
      <c r="H56" s="111"/>
      <c r="I56" s="111"/>
      <c r="J56" s="111"/>
      <c r="K56" s="111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11"/>
      <c r="F58" s="12">
        <f>D58-E58</f>
        <v>0</v>
      </c>
      <c r="G58" s="20"/>
      <c r="H58" s="9" t="s">
        <v>26</v>
      </c>
      <c r="I58" s="10" t="s">
        <v>45</v>
      </c>
      <c r="J58" s="11"/>
      <c r="K58" s="11"/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/>
      <c r="F59" s="12">
        <f t="shared" ref="F59:F64" si="9">D59-E59</f>
        <v>0</v>
      </c>
      <c r="G59" s="20"/>
      <c r="H59" s="9" t="s">
        <v>75</v>
      </c>
      <c r="I59" s="10"/>
      <c r="J59" s="11"/>
      <c r="K59" s="11"/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/>
      <c r="F60" s="12">
        <f t="shared" si="9"/>
        <v>0</v>
      </c>
      <c r="G60" s="20"/>
      <c r="H60" s="9" t="s">
        <v>77</v>
      </c>
      <c r="I60" s="10"/>
      <c r="J60" s="11"/>
      <c r="K60" s="11"/>
      <c r="L60" s="12">
        <f t="shared" si="8"/>
        <v>0</v>
      </c>
    </row>
    <row r="61" spans="2:12" x14ac:dyDescent="0.2">
      <c r="B61" s="30"/>
      <c r="C61" s="10"/>
      <c r="D61" s="31"/>
      <c r="E61" s="31"/>
      <c r="F61" s="12">
        <f>D61-E61</f>
        <v>0</v>
      </c>
      <c r="G61" s="20"/>
      <c r="H61" s="9" t="s">
        <v>78</v>
      </c>
      <c r="I61" s="10"/>
      <c r="J61" s="31"/>
      <c r="K61" s="31"/>
      <c r="L61" s="12">
        <f t="shared" si="8"/>
        <v>0</v>
      </c>
    </row>
    <row r="62" spans="2:12" x14ac:dyDescent="0.2">
      <c r="B62" s="30"/>
      <c r="C62" s="10"/>
      <c r="D62" s="31"/>
      <c r="E62" s="31"/>
      <c r="F62" s="12">
        <f t="shared" si="9"/>
        <v>0</v>
      </c>
      <c r="G62" s="20"/>
      <c r="H62" s="9" t="s">
        <v>79</v>
      </c>
      <c r="I62" s="10"/>
      <c r="J62" s="31"/>
      <c r="K62" s="31"/>
      <c r="L62" s="12">
        <f t="shared" si="8"/>
        <v>0</v>
      </c>
    </row>
    <row r="63" spans="2:12" x14ac:dyDescent="0.2">
      <c r="B63" s="30"/>
      <c r="C63" s="10"/>
      <c r="D63" s="31"/>
      <c r="E63" s="31"/>
      <c r="F63" s="12">
        <f t="shared" si="9"/>
        <v>0</v>
      </c>
      <c r="G63" s="20"/>
      <c r="H63" s="30"/>
      <c r="I63" s="10"/>
      <c r="J63" s="31"/>
      <c r="K63" s="31"/>
      <c r="L63" s="12">
        <f t="shared" si="8"/>
        <v>0</v>
      </c>
    </row>
    <row r="64" spans="2:12" ht="17" thickBot="1" x14ac:dyDescent="0.25">
      <c r="B64" s="13"/>
      <c r="C64" s="40"/>
      <c r="D64" s="14"/>
      <c r="E64" s="14"/>
      <c r="F64" s="15">
        <f t="shared" si="9"/>
        <v>0</v>
      </c>
      <c r="G64" s="20"/>
      <c r="H64" s="13"/>
      <c r="I64" s="40"/>
      <c r="J64" s="14"/>
      <c r="K64" s="14"/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119"/>
      <c r="C66" s="119"/>
      <c r="D66" s="119"/>
      <c r="E66" s="119"/>
      <c r="F66" s="21"/>
      <c r="G66" s="20"/>
      <c r="H66" s="22"/>
      <c r="I66" s="22"/>
      <c r="J66" s="21"/>
      <c r="K66" s="21"/>
      <c r="L66" s="21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/>
      <c r="F68" s="12">
        <f t="shared" ref="F68:F78" si="10">D68-E68</f>
        <v>0</v>
      </c>
      <c r="G68" s="20"/>
      <c r="H68" s="9" t="s">
        <v>26</v>
      </c>
      <c r="I68" s="10"/>
      <c r="J68" s="11"/>
      <c r="K68" s="11"/>
      <c r="L68" s="12">
        <f>J68-K68</f>
        <v>0</v>
      </c>
    </row>
    <row r="69" spans="2:12" x14ac:dyDescent="0.2">
      <c r="B69" s="9" t="s">
        <v>80</v>
      </c>
      <c r="C69" s="10"/>
      <c r="D69" s="11"/>
      <c r="E69" s="11"/>
      <c r="F69" s="12">
        <f t="shared" si="10"/>
        <v>0</v>
      </c>
      <c r="G69" s="20"/>
      <c r="H69" s="9" t="s">
        <v>81</v>
      </c>
      <c r="I69" s="10"/>
      <c r="J69" s="11"/>
      <c r="K69" s="11"/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/>
      <c r="F70" s="12">
        <f>D70-E70</f>
        <v>0</v>
      </c>
      <c r="G70" s="20"/>
      <c r="H70" s="9" t="s">
        <v>31</v>
      </c>
      <c r="I70" s="10"/>
      <c r="J70" s="11"/>
      <c r="K70" s="11"/>
      <c r="L70" s="12">
        <f>J70-K70</f>
        <v>0</v>
      </c>
    </row>
    <row r="71" spans="2:12" x14ac:dyDescent="0.2">
      <c r="B71" s="9" t="s">
        <v>83</v>
      </c>
      <c r="C71" s="10"/>
      <c r="D71" s="11"/>
      <c r="E71" s="11"/>
      <c r="F71" s="12">
        <f t="shared" si="10"/>
        <v>0</v>
      </c>
      <c r="G71" s="20"/>
      <c r="H71" s="9" t="s">
        <v>84</v>
      </c>
      <c r="I71" s="10"/>
      <c r="J71" s="11"/>
      <c r="K71" s="11"/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/>
      <c r="F72" s="12">
        <f t="shared" si="10"/>
        <v>0</v>
      </c>
      <c r="G72" s="20"/>
      <c r="H72" s="9"/>
      <c r="I72" s="10"/>
      <c r="J72" s="11"/>
      <c r="K72" s="11"/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/>
      <c r="F73" s="12">
        <f t="shared" si="10"/>
        <v>0</v>
      </c>
      <c r="G73" s="20"/>
      <c r="H73" s="9"/>
      <c r="I73" s="10"/>
      <c r="J73" s="11"/>
      <c r="K73" s="11"/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/>
      <c r="F74" s="12">
        <f t="shared" si="10"/>
        <v>0</v>
      </c>
      <c r="G74" s="20"/>
      <c r="H74" s="9"/>
      <c r="I74" s="10"/>
      <c r="J74" s="11"/>
      <c r="K74" s="11"/>
      <c r="L74" s="12">
        <f>J74-K74</f>
        <v>0</v>
      </c>
    </row>
    <row r="75" spans="2:12" x14ac:dyDescent="0.2">
      <c r="B75" s="30"/>
      <c r="C75" s="10"/>
      <c r="D75" s="31"/>
      <c r="E75" s="31"/>
      <c r="F75" s="12">
        <f t="shared" si="10"/>
        <v>0</v>
      </c>
      <c r="G75" s="20"/>
      <c r="H75" s="30"/>
      <c r="I75" s="10"/>
      <c r="J75" s="31"/>
      <c r="K75" s="31"/>
      <c r="L75" s="12">
        <f t="shared" si="11"/>
        <v>0</v>
      </c>
    </row>
    <row r="76" spans="2:12" x14ac:dyDescent="0.2">
      <c r="B76" s="30"/>
      <c r="C76" s="10"/>
      <c r="D76" s="31"/>
      <c r="E76" s="31"/>
      <c r="F76" s="12">
        <f t="shared" si="10"/>
        <v>0</v>
      </c>
      <c r="G76" s="20"/>
      <c r="H76" s="30"/>
      <c r="I76" s="10"/>
      <c r="J76" s="31"/>
      <c r="K76" s="31"/>
      <c r="L76" s="12">
        <f t="shared" si="11"/>
        <v>0</v>
      </c>
    </row>
    <row r="77" spans="2:12" x14ac:dyDescent="0.2">
      <c r="B77" s="30"/>
      <c r="C77" s="10"/>
      <c r="D77" s="31"/>
      <c r="E77" s="31"/>
      <c r="F77" s="12">
        <f t="shared" si="10"/>
        <v>0</v>
      </c>
      <c r="G77" s="20"/>
      <c r="H77" s="30"/>
      <c r="I77" s="10"/>
      <c r="J77" s="31"/>
      <c r="K77" s="31"/>
      <c r="L77" s="12">
        <f t="shared" si="11"/>
        <v>0</v>
      </c>
    </row>
    <row r="78" spans="2:12" ht="17" thickBot="1" x14ac:dyDescent="0.25">
      <c r="B78" s="13"/>
      <c r="C78" s="40"/>
      <c r="D78" s="14"/>
      <c r="E78" s="14"/>
      <c r="F78" s="15">
        <f t="shared" si="10"/>
        <v>0</v>
      </c>
      <c r="G78" s="20"/>
      <c r="H78" s="13"/>
      <c r="I78" s="40"/>
      <c r="J78" s="14"/>
      <c r="K78" s="14"/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119"/>
      <c r="C80" s="119"/>
      <c r="D80" s="119"/>
      <c r="E80" s="119"/>
      <c r="F80" s="21"/>
      <c r="G80" s="20"/>
      <c r="H80" s="20"/>
      <c r="I80" s="20"/>
      <c r="J80" s="20"/>
      <c r="K80" s="20"/>
      <c r="L80" s="20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88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/>
      <c r="F82" s="12">
        <f>D82-E82</f>
        <v>0</v>
      </c>
      <c r="G82" s="20"/>
      <c r="H82" s="9"/>
      <c r="I82" s="10"/>
      <c r="J82" s="11"/>
      <c r="K82" s="11"/>
      <c r="L82" s="12">
        <f>J82-K82</f>
        <v>0</v>
      </c>
    </row>
    <row r="83" spans="2:12" x14ac:dyDescent="0.2">
      <c r="B83" s="9" t="s">
        <v>33</v>
      </c>
      <c r="C83" s="10"/>
      <c r="D83" s="11"/>
      <c r="E83" s="11"/>
      <c r="F83" s="12">
        <f t="shared" ref="F83:F87" si="12">D83-E83</f>
        <v>0</v>
      </c>
      <c r="G83" s="20"/>
      <c r="H83" s="9"/>
      <c r="I83" s="10"/>
      <c r="J83" s="11"/>
      <c r="K83" s="11"/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/>
      <c r="F84" s="12">
        <f t="shared" si="12"/>
        <v>0</v>
      </c>
      <c r="G84" s="20"/>
      <c r="H84" s="9"/>
      <c r="I84" s="10"/>
      <c r="J84" s="11"/>
      <c r="K84" s="11"/>
      <c r="L84" s="12">
        <f>J84-K84</f>
        <v>0</v>
      </c>
    </row>
    <row r="85" spans="2:12" x14ac:dyDescent="0.2">
      <c r="B85" s="9" t="s">
        <v>73</v>
      </c>
      <c r="C85" s="10"/>
      <c r="D85" s="11"/>
      <c r="E85" s="11"/>
      <c r="F85" s="12">
        <f>D85-E85</f>
        <v>0</v>
      </c>
      <c r="G85" s="20"/>
      <c r="H85" s="9"/>
      <c r="I85" s="10"/>
      <c r="J85" s="11"/>
      <c r="K85" s="11"/>
      <c r="L85" s="12">
        <f t="shared" si="13"/>
        <v>0</v>
      </c>
    </row>
    <row r="86" spans="2:12" x14ac:dyDescent="0.2">
      <c r="B86" s="9"/>
      <c r="C86" s="10"/>
      <c r="D86" s="11"/>
      <c r="E86" s="11"/>
      <c r="F86" s="12">
        <f t="shared" si="12"/>
        <v>0</v>
      </c>
      <c r="G86" s="20"/>
      <c r="H86" s="9"/>
      <c r="I86" s="10"/>
      <c r="J86" s="11"/>
      <c r="K86" s="11"/>
      <c r="L86" s="12">
        <f t="shared" si="13"/>
        <v>0</v>
      </c>
    </row>
    <row r="87" spans="2:12" ht="17" thickBot="1" x14ac:dyDescent="0.25">
      <c r="B87" s="13"/>
      <c r="C87" s="40"/>
      <c r="D87" s="14"/>
      <c r="E87" s="14"/>
      <c r="F87" s="15">
        <f t="shared" si="12"/>
        <v>0</v>
      </c>
      <c r="G87" s="20"/>
      <c r="H87" s="13"/>
      <c r="I87" s="40"/>
      <c r="J87" s="14"/>
      <c r="K87" s="14"/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119"/>
      <c r="C89" s="119"/>
      <c r="D89" s="119"/>
      <c r="E89" s="119"/>
      <c r="F89" s="21"/>
      <c r="G89" s="20"/>
      <c r="H89" s="22"/>
      <c r="I89" s="22"/>
      <c r="J89" s="21"/>
      <c r="K89" s="21"/>
      <c r="L89" s="21"/>
    </row>
    <row r="90" spans="2:12" x14ac:dyDescent="0.2">
      <c r="B90" s="55" t="s">
        <v>88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88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/>
      <c r="C91" s="10"/>
      <c r="D91" s="11"/>
      <c r="E91" s="11"/>
      <c r="F91" s="12">
        <f>D91-E91</f>
        <v>0</v>
      </c>
      <c r="G91" s="20"/>
      <c r="H91" s="9"/>
      <c r="I91" s="10"/>
      <c r="J91" s="11"/>
      <c r="K91" s="11"/>
      <c r="L91" s="12">
        <f t="shared" ref="L91:L97" si="14">J91-K91</f>
        <v>0</v>
      </c>
    </row>
    <row r="92" spans="2:12" x14ac:dyDescent="0.2">
      <c r="B92" s="9"/>
      <c r="C92" s="10"/>
      <c r="D92" s="11"/>
      <c r="E92" s="11"/>
      <c r="F92" s="12">
        <f t="shared" ref="F92:F97" si="15">D92-E92</f>
        <v>0</v>
      </c>
      <c r="G92" s="20"/>
      <c r="H92" s="9"/>
      <c r="I92" s="10"/>
      <c r="J92" s="11"/>
      <c r="K92" s="11"/>
      <c r="L92" s="12">
        <f t="shared" si="14"/>
        <v>0</v>
      </c>
    </row>
    <row r="93" spans="2:12" x14ac:dyDescent="0.2">
      <c r="B93" s="9"/>
      <c r="C93" s="10"/>
      <c r="D93" s="11"/>
      <c r="E93" s="11"/>
      <c r="F93" s="12">
        <f t="shared" si="15"/>
        <v>0</v>
      </c>
      <c r="G93" s="20"/>
      <c r="H93" s="9"/>
      <c r="I93" s="10"/>
      <c r="J93" s="11"/>
      <c r="K93" s="11"/>
      <c r="L93" s="12">
        <f>J93-K93</f>
        <v>0</v>
      </c>
    </row>
    <row r="94" spans="2:12" x14ac:dyDescent="0.2">
      <c r="B94" s="9"/>
      <c r="C94" s="10"/>
      <c r="D94" s="11"/>
      <c r="E94" s="11"/>
      <c r="F94" s="12">
        <f t="shared" si="15"/>
        <v>0</v>
      </c>
      <c r="G94" s="20"/>
      <c r="H94" s="9"/>
      <c r="I94" s="10"/>
      <c r="J94" s="11"/>
      <c r="K94" s="11"/>
      <c r="L94" s="12">
        <f t="shared" si="14"/>
        <v>0</v>
      </c>
    </row>
    <row r="95" spans="2:12" x14ac:dyDescent="0.2">
      <c r="B95" s="9"/>
      <c r="C95" s="10"/>
      <c r="D95" s="11"/>
      <c r="E95" s="11"/>
      <c r="F95" s="12">
        <f>D95-E95</f>
        <v>0</v>
      </c>
      <c r="G95" s="20"/>
      <c r="H95" s="9"/>
      <c r="I95" s="10"/>
      <c r="J95" s="11"/>
      <c r="K95" s="11"/>
      <c r="L95" s="12">
        <f t="shared" si="14"/>
        <v>0</v>
      </c>
    </row>
    <row r="96" spans="2:12" x14ac:dyDescent="0.2">
      <c r="B96" s="9"/>
      <c r="C96" s="10"/>
      <c r="D96" s="11"/>
      <c r="E96" s="11"/>
      <c r="F96" s="12">
        <f t="shared" si="15"/>
        <v>0</v>
      </c>
      <c r="G96" s="20"/>
      <c r="H96" s="9"/>
      <c r="I96" s="10"/>
      <c r="J96" s="11"/>
      <c r="K96" s="11"/>
      <c r="L96" s="12">
        <f>J96-K96</f>
        <v>0</v>
      </c>
    </row>
    <row r="97" spans="2:12" ht="17" thickBot="1" x14ac:dyDescent="0.25">
      <c r="B97" s="13"/>
      <c r="C97" s="40"/>
      <c r="D97" s="14"/>
      <c r="E97" s="14"/>
      <c r="F97" s="15">
        <f t="shared" si="15"/>
        <v>0</v>
      </c>
      <c r="G97" s="20"/>
      <c r="H97" s="13"/>
      <c r="I97" s="40"/>
      <c r="J97" s="14"/>
      <c r="K97" s="14"/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H99" s="23"/>
      <c r="I99" s="23"/>
    </row>
    <row r="100" spans="2:12" x14ac:dyDescent="0.2">
      <c r="B100" s="55" t="s">
        <v>88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88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/>
      <c r="C101" s="10"/>
      <c r="D101" s="11"/>
      <c r="E101" s="11"/>
      <c r="F101" s="12">
        <f>D101-E101</f>
        <v>0</v>
      </c>
      <c r="G101" s="20"/>
      <c r="H101" s="9"/>
      <c r="I101" s="10"/>
      <c r="J101" s="11"/>
      <c r="K101" s="11"/>
      <c r="L101" s="12">
        <f>J101-K101</f>
        <v>0</v>
      </c>
    </row>
    <row r="102" spans="2:12" x14ac:dyDescent="0.2">
      <c r="B102" s="9"/>
      <c r="C102" s="10"/>
      <c r="D102" s="11"/>
      <c r="E102" s="11"/>
      <c r="F102" s="12">
        <f t="shared" ref="F102:F106" si="16">D102-E102</f>
        <v>0</v>
      </c>
      <c r="G102" s="20"/>
      <c r="H102" s="9"/>
      <c r="I102" s="10"/>
      <c r="J102" s="11"/>
      <c r="K102" s="11"/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/>
      <c r="F103" s="12">
        <f t="shared" si="16"/>
        <v>0</v>
      </c>
      <c r="G103" s="20"/>
      <c r="H103" s="9"/>
      <c r="I103" s="10"/>
      <c r="J103" s="11"/>
      <c r="K103" s="11"/>
      <c r="L103" s="12">
        <f t="shared" si="17"/>
        <v>0</v>
      </c>
    </row>
    <row r="104" spans="2:12" x14ac:dyDescent="0.2">
      <c r="B104" s="9"/>
      <c r="C104" s="10"/>
      <c r="D104" s="11"/>
      <c r="E104" s="11"/>
      <c r="F104" s="12">
        <f t="shared" si="16"/>
        <v>0</v>
      </c>
      <c r="G104" s="20"/>
      <c r="H104" s="9"/>
      <c r="I104" s="10"/>
      <c r="J104" s="11"/>
      <c r="K104" s="11"/>
      <c r="L104" s="12">
        <f t="shared" si="17"/>
        <v>0</v>
      </c>
    </row>
    <row r="105" spans="2:12" x14ac:dyDescent="0.2">
      <c r="B105" s="9"/>
      <c r="C105" s="10"/>
      <c r="D105" s="11"/>
      <c r="E105" s="11"/>
      <c r="F105" s="12">
        <f t="shared" si="16"/>
        <v>0</v>
      </c>
      <c r="G105" s="20"/>
      <c r="H105" s="9"/>
      <c r="I105" s="10"/>
      <c r="J105" s="11"/>
      <c r="K105" s="11"/>
      <c r="L105" s="12">
        <f t="shared" si="17"/>
        <v>0</v>
      </c>
    </row>
    <row r="106" spans="2:12" x14ac:dyDescent="0.2">
      <c r="B106" s="9"/>
      <c r="C106" s="10"/>
      <c r="D106" s="11"/>
      <c r="E106" s="11"/>
      <c r="F106" s="12">
        <f t="shared" si="16"/>
        <v>0</v>
      </c>
      <c r="G106" s="20"/>
      <c r="H106" s="9"/>
      <c r="I106" s="10"/>
      <c r="J106" s="11"/>
      <c r="K106" s="11"/>
      <c r="L106" s="12">
        <f t="shared" si="17"/>
        <v>0</v>
      </c>
    </row>
    <row r="107" spans="2:12" ht="17" thickBot="1" x14ac:dyDescent="0.25">
      <c r="B107" s="13"/>
      <c r="C107" s="40"/>
      <c r="D107" s="14"/>
      <c r="E107" s="14"/>
      <c r="F107" s="15">
        <f>D107-E107</f>
        <v>0</v>
      </c>
      <c r="G107" s="20"/>
      <c r="H107" s="13"/>
      <c r="I107" s="40"/>
      <c r="J107" s="14"/>
      <c r="K107" s="14"/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17">
    <mergeCell ref="B89:E89"/>
    <mergeCell ref="B56:E56"/>
    <mergeCell ref="G56:K56"/>
    <mergeCell ref="B66:E66"/>
    <mergeCell ref="B80:E80"/>
    <mergeCell ref="B26:E26"/>
    <mergeCell ref="G26:K26"/>
    <mergeCell ref="B37:E37"/>
    <mergeCell ref="G37:K37"/>
    <mergeCell ref="B4:B10"/>
    <mergeCell ref="C8:D8"/>
    <mergeCell ref="C9:D9"/>
    <mergeCell ref="C10:D10"/>
    <mergeCell ref="C4:D4"/>
    <mergeCell ref="C5:D5"/>
    <mergeCell ref="C6:D6"/>
    <mergeCell ref="C7:D7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4313798-51CD-074B-8CE0-879B002C82C2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CE11D624-243E-BE43-9989-1B06E6601519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2" tint="-0.34998626667073579"/>
    <pageSetUpPr autoPageBreaks="0" fitToPage="1"/>
  </sheetPr>
  <dimension ref="B1:U110"/>
  <sheetViews>
    <sheetView showGridLines="0" zoomScale="80" zoomScaleNormal="80" zoomScalePageLayoutView="80" workbookViewId="0">
      <selection activeCell="H21" sqref="H21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151</v>
      </c>
      <c r="D4" s="118"/>
      <c r="E4" s="8">
        <v>9714500</v>
      </c>
      <c r="F4" s="104"/>
      <c r="G4" s="10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 t="s">
        <v>150</v>
      </c>
      <c r="D5" s="114"/>
      <c r="E5" s="8"/>
      <c r="F5" s="105"/>
      <c r="G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 t="s">
        <v>157</v>
      </c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 t="s">
        <v>158</v>
      </c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9714500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956</v>
      </c>
      <c r="L10" s="2"/>
      <c r="M10" s="25" t="str">
        <f>IF(K10=0,"El presupuesto está listo","OJO! Tiene que sumar cero")</f>
        <v>OJO! Tiene que sumar cero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>
        <v>2000000</v>
      </c>
      <c r="E13" s="59">
        <f>SUMIFS('Enero - registro gastos'!$D$3:$D$300,'Enero - registro gastos'!$E$3:$E$300,Ene!$B$12,'Enero - registro gastos'!$F$3:$F$300,Ene!B13)</f>
        <v>0</v>
      </c>
      <c r="F13" s="12">
        <f>D13-E13</f>
        <v>2000000</v>
      </c>
      <c r="H13" s="9" t="s">
        <v>99</v>
      </c>
      <c r="I13" s="10" t="s">
        <v>45</v>
      </c>
      <c r="J13" s="11"/>
      <c r="K13" s="59">
        <f>SUMIFS('Enero - registro gastos'!$D$3:$D$300,'Enero - registro gastos'!$E$3:$E$300,Ene!$H$12,'Enero - registro gastos'!$F$3:$F$300,Ene!H13)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>
        <v>78000</v>
      </c>
      <c r="E14" s="59">
        <f>SUMIFS('Enero - registro gastos'!$D$3:$D$300,'Enero - registro gastos'!$E$3:$E$300,Ene!$B$12,'Enero - registro gastos'!$F$3:$F$300,Ene!B14)</f>
        <v>77988</v>
      </c>
      <c r="F14" s="12">
        <f t="shared" ref="F14:F25" si="1">D14-E14</f>
        <v>12</v>
      </c>
      <c r="H14" s="9" t="s">
        <v>133</v>
      </c>
      <c r="I14" s="10" t="s">
        <v>45</v>
      </c>
      <c r="J14" s="11"/>
      <c r="K14" s="11">
        <f>SUMIFS('Enero - registro gastos'!$D$3:$D$300,'Enero - registro gastos'!$E$3:$E$300,Ene!$H$12,'Enero - registro gastos'!$F$3:$F$300,Ene!H14)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>
        <v>50000</v>
      </c>
      <c r="E15" s="59">
        <f>SUMIFS('Enero - registro gastos'!$D$3:$D$300,'Enero - registro gastos'!$E$3:$E$300,Ene!$B$12,'Enero - registro gastos'!$F$3:$F$300,Ene!B15)</f>
        <v>0</v>
      </c>
      <c r="F15" s="12">
        <f t="shared" si="1"/>
        <v>50000</v>
      </c>
      <c r="H15" s="9" t="s">
        <v>140</v>
      </c>
      <c r="I15" s="10" t="s">
        <v>45</v>
      </c>
      <c r="J15" s="11">
        <f>100000+1250000</f>
        <v>1350000</v>
      </c>
      <c r="K15" s="11">
        <f>SUMIFS('Enero - registro gastos'!$D$3:$D$300,'Enero - registro gastos'!$E$3:$E$300,Ene!$H$12,'Enero - registro gastos'!$F$3:$F$300,Ene!H15)</f>
        <v>0</v>
      </c>
      <c r="L15" s="12">
        <f t="shared" si="0"/>
        <v>1350000</v>
      </c>
    </row>
    <row r="16" spans="2:21" x14ac:dyDescent="0.2">
      <c r="B16" s="9" t="s">
        <v>48</v>
      </c>
      <c r="C16" s="10"/>
      <c r="D16" s="11">
        <v>50000</v>
      </c>
      <c r="E16" s="59">
        <f>SUMIFS('Enero - registro gastos'!$D$3:$D$300,'Enero - registro gastos'!$E$3:$E$300,Ene!$B$12,'Enero - registro gastos'!$F$3:$F$300,Ene!B16)</f>
        <v>0</v>
      </c>
      <c r="F16" s="12">
        <f t="shared" si="1"/>
        <v>50000</v>
      </c>
      <c r="H16" s="9" t="s">
        <v>134</v>
      </c>
      <c r="I16" s="10" t="s">
        <v>45</v>
      </c>
      <c r="J16" s="11">
        <f>100*Resumen!C2</f>
        <v>385000</v>
      </c>
      <c r="K16" s="11">
        <f>SUMIFS('Enero - registro gastos'!$D$3:$D$300,'Enero - registro gastos'!$E$3:$E$300,Ene!$H$12,'Enero - registro gastos'!$F$3:$F$300,Ene!H16)</f>
        <v>0</v>
      </c>
      <c r="L16" s="12">
        <f t="shared" si="0"/>
        <v>385000</v>
      </c>
    </row>
    <row r="17" spans="2:12" x14ac:dyDescent="0.2">
      <c r="B17" s="9" t="s">
        <v>49</v>
      </c>
      <c r="C17" s="10"/>
      <c r="D17" s="11">
        <v>15000</v>
      </c>
      <c r="E17" s="59">
        <f>SUMIFS('Enero - registro gastos'!$D$3:$D$300,'Enero - registro gastos'!$E$3:$E$300,Ene!$B$12,'Enero - registro gastos'!$F$3:$F$300,Ene!B17)</f>
        <v>0</v>
      </c>
      <c r="F17" s="12">
        <f t="shared" si="1"/>
        <v>15000</v>
      </c>
      <c r="H17" s="9" t="s">
        <v>135</v>
      </c>
      <c r="I17" s="10" t="s">
        <v>45</v>
      </c>
      <c r="J17" s="11">
        <f>200*Resumen!C2</f>
        <v>770000</v>
      </c>
      <c r="K17" s="11">
        <f>SUMIFS('Enero - registro gastos'!$D$3:$D$300,'Enero - registro gastos'!$E$3:$E$300,Ene!$H$12,'Enero - registro gastos'!$F$3:$F$300,Ene!H17)</f>
        <v>0</v>
      </c>
      <c r="L17" s="12">
        <f t="shared" si="0"/>
        <v>770000</v>
      </c>
    </row>
    <row r="18" spans="2:12" x14ac:dyDescent="0.2">
      <c r="B18" s="9" t="s">
        <v>50</v>
      </c>
      <c r="C18" s="10"/>
      <c r="D18" s="11">
        <v>140000</v>
      </c>
      <c r="E18" s="59">
        <f>SUMIFS('Enero - registro gastos'!$D$3:$D$300,'Enero - registro gastos'!$E$3:$E$300,Ene!$B$12,'Enero - registro gastos'!$F$3:$F$300,Ene!B18)</f>
        <v>142988</v>
      </c>
      <c r="F18" s="12">
        <f t="shared" si="1"/>
        <v>-2988</v>
      </c>
      <c r="H18" s="9" t="s">
        <v>136</v>
      </c>
      <c r="I18" s="10" t="s">
        <v>45</v>
      </c>
      <c r="J18" s="11">
        <v>336000</v>
      </c>
      <c r="K18" s="11">
        <f>SUMIFS('Enero - registro gastos'!$D$3:$D$300,'Enero - registro gastos'!$E$3:$E$300,Ene!$H$12,'Enero - registro gastos'!$F$3:$F$300,Ene!H18)</f>
        <v>0</v>
      </c>
      <c r="L18" s="12">
        <f t="shared" si="0"/>
        <v>336000</v>
      </c>
    </row>
    <row r="19" spans="2:12" x14ac:dyDescent="0.2">
      <c r="B19" s="9" t="s">
        <v>51</v>
      </c>
      <c r="C19" s="10"/>
      <c r="D19" s="11">
        <v>300000</v>
      </c>
      <c r="E19" s="59">
        <f>SUMIFS('Enero - registro gastos'!$D$3:$D$300,'Enero - registro gastos'!$E$3:$E$300,Ene!$B$12,'Enero - registro gastos'!$F$3:$F$300,Ene!B19)</f>
        <v>0</v>
      </c>
      <c r="F19" s="12">
        <f t="shared" si="1"/>
        <v>300000</v>
      </c>
      <c r="H19" s="9" t="s">
        <v>137</v>
      </c>
      <c r="I19" s="10" t="s">
        <v>45</v>
      </c>
      <c r="J19" s="11">
        <v>200000</v>
      </c>
      <c r="K19" s="11">
        <f>SUMIFS('Enero - registro gastos'!$D$3:$D$300,'Enero - registro gastos'!$E$3:$E$300,Ene!$H$12,'Enero - registro gastos'!$F$3:$F$300,Ene!H19)</f>
        <v>0</v>
      </c>
      <c r="L19" s="12">
        <f t="shared" si="0"/>
        <v>200000</v>
      </c>
    </row>
    <row r="20" spans="2:12" x14ac:dyDescent="0.2">
      <c r="B20" s="9" t="s">
        <v>52</v>
      </c>
      <c r="C20" s="10"/>
      <c r="D20" s="11">
        <v>200000</v>
      </c>
      <c r="E20" s="59">
        <f>SUMIFS('Enero - registro gastos'!$D$3:$D$300,'Enero - registro gastos'!$E$3:$E$300,Ene!$B$12,'Enero - registro gastos'!$F$3:$F$300,Ene!B20)</f>
        <v>0</v>
      </c>
      <c r="F20" s="12">
        <f t="shared" si="1"/>
        <v>200000</v>
      </c>
      <c r="H20" s="9" t="s">
        <v>168</v>
      </c>
      <c r="I20" s="10" t="s">
        <v>45</v>
      </c>
      <c r="J20" s="11">
        <v>500000</v>
      </c>
      <c r="K20" s="11">
        <f>SUMIFS('Enero - registro gastos'!$D$3:$D$300,'Enero - registro gastos'!$E$3:$E$300,Ene!$H$12,'Enero - registro gastos'!$F$3:$F$300,Ene!H20)</f>
        <v>0</v>
      </c>
      <c r="L20" s="12">
        <f t="shared" si="0"/>
        <v>500000</v>
      </c>
    </row>
    <row r="21" spans="2:12" x14ac:dyDescent="0.2">
      <c r="B21" s="9" t="s">
        <v>53</v>
      </c>
      <c r="C21" s="10"/>
      <c r="D21" s="11"/>
      <c r="E21" s="59">
        <f>SUMIFS('Enero - registro gastos'!$D$3:$D$300,'Enero - registro gastos'!$E$3:$E$300,Ene!$B$12,'Enero - registro gastos'!$F$3:$F$300,Ene!B21)</f>
        <v>0</v>
      </c>
      <c r="F21" s="12">
        <f t="shared" si="1"/>
        <v>0</v>
      </c>
      <c r="H21" s="9" t="s">
        <v>139</v>
      </c>
      <c r="I21" s="10" t="s">
        <v>45</v>
      </c>
      <c r="J21" s="11">
        <v>500000</v>
      </c>
      <c r="K21" s="11">
        <f>SUMIFS('Enero - registro gastos'!$D$3:$D$300,'Enero - registro gastos'!$E$3:$E$300,Ene!$H$12,'Enero - registro gastos'!$F$3:$F$300,Ene!H21)</f>
        <v>0</v>
      </c>
      <c r="L21" s="12">
        <f t="shared" si="0"/>
        <v>500000</v>
      </c>
    </row>
    <row r="22" spans="2:12" x14ac:dyDescent="0.2">
      <c r="B22" s="9"/>
      <c r="C22" s="10"/>
      <c r="D22" s="11"/>
      <c r="E22" s="59">
        <f>SUMIFS('Enero - registro gastos'!$D$3:$D$300,'Enero - registro gastos'!$E$3:$E$300,Ene!$B$12,'Enero - registro gastos'!$F$3:$F$300,Ene!B22)</f>
        <v>0</v>
      </c>
      <c r="F22" s="12">
        <f t="shared" si="1"/>
        <v>0</v>
      </c>
      <c r="H22" s="9" t="s">
        <v>148</v>
      </c>
      <c r="I22" s="10" t="s">
        <v>45</v>
      </c>
      <c r="J22" s="11"/>
      <c r="K22" s="11">
        <f>SUMIFS('Enero - registro gastos'!$D$3:$D$300,'Enero - registro gastos'!$E$3:$E$300,Ene!$H$12,'Enero - registro gastos'!$F$3:$F$300,Ene!H22)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SUMIFS('Enero - registro gastos'!$D$3:$D$300,'Enero - registro gastos'!$E$3:$E$300,Ene!$B$12,'Enero - registro gastos'!$F$3:$F$300,Ene!B23)</f>
        <v>0</v>
      </c>
      <c r="F23" s="12">
        <f t="shared" si="1"/>
        <v>0</v>
      </c>
      <c r="H23" s="9" t="s">
        <v>149</v>
      </c>
      <c r="I23" s="10" t="s">
        <v>45</v>
      </c>
      <c r="J23" s="11">
        <v>1000000</v>
      </c>
      <c r="K23" s="11">
        <f>SUMIFS('Enero - registro gastos'!$D$3:$D$300,'Enero - registro gastos'!$E$3:$E$300,Ene!$H$12,'Enero - registro gastos'!$F$3:$F$300,Ene!H23)</f>
        <v>0</v>
      </c>
      <c r="L23" s="12">
        <f t="shared" si="0"/>
        <v>1000000</v>
      </c>
    </row>
    <row r="24" spans="2:12" ht="17" thickBot="1" x14ac:dyDescent="0.25">
      <c r="B24" s="13"/>
      <c r="C24" s="40"/>
      <c r="D24" s="14"/>
      <c r="E24" s="60">
        <f>SUMIFS('Enero - registro gastos'!$D$3:$D$300,'Enero - registro gastos'!$E$3:$E$300,Ene!$B$12,'Enero - registro gastos'!$F$3:$F$300,Ene!B24)</f>
        <v>0</v>
      </c>
      <c r="F24" s="15">
        <f t="shared" si="1"/>
        <v>0</v>
      </c>
      <c r="H24" s="13"/>
      <c r="I24" s="40"/>
      <c r="J24" s="14"/>
      <c r="K24" s="14">
        <f>SUMIFS('Enero - registro gastos'!$D$3:$D$300,'Enero - registro gastos'!$E$3:$E$300,Ene!$H$12,'Enero - registro gastos'!$F$3:$F$300,Ene!H24)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2833000</v>
      </c>
      <c r="E25" s="18">
        <f>SUM(E13:E24)</f>
        <v>220976</v>
      </c>
      <c r="F25" s="19">
        <f t="shared" si="1"/>
        <v>2612024</v>
      </c>
      <c r="H25" s="16" t="s">
        <v>54</v>
      </c>
      <c r="I25" s="17"/>
      <c r="J25" s="18">
        <f>SUM(J13:J24)</f>
        <v>5041000</v>
      </c>
      <c r="K25" s="18">
        <f>SUM(K13:K24)</f>
        <v>0</v>
      </c>
      <c r="L25" s="19">
        <f t="shared" si="0"/>
        <v>5041000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SUMIFS('Enero - registro gastos'!$D$3:$D$300,'Enero - registro gastos'!$E$3:$E$300,Ene!$B$27,'Enero - registro gastos'!$F$3:$F$300,Ene!B28)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SUMIFS('Enero - registro gastos'!$D$3:$D$300,'Enero - registro gastos'!$E$3:$E$300,Ene!$H$27,'Enero - registro gastos'!$F$3:$F$300,Ene!H28)</f>
        <v>0</v>
      </c>
      <c r="L28" s="12">
        <f t="shared" ref="L28:L35" si="3">J28-K28</f>
        <v>0</v>
      </c>
    </row>
    <row r="29" spans="2:12" x14ac:dyDescent="0.2">
      <c r="B29" s="9" t="s">
        <v>142</v>
      </c>
      <c r="C29" s="10"/>
      <c r="D29" s="11"/>
      <c r="E29" s="11">
        <f>SUMIFS('Enero - registro gastos'!$D$3:$D$300,'Enero - registro gastos'!$E$3:$E$300,Ene!$B$27,'Enero - registro gastos'!$F$3:$F$300,Ene!B29)</f>
        <v>3917064.8</v>
      </c>
      <c r="F29" s="12">
        <f t="shared" si="2"/>
        <v>-3917064.8</v>
      </c>
      <c r="H29" s="9" t="s">
        <v>17</v>
      </c>
      <c r="I29" s="10"/>
      <c r="J29" s="11">
        <v>150000</v>
      </c>
      <c r="K29" s="11">
        <f>SUMIFS('Enero - registro gastos'!$D$3:$D$300,'Enero - registro gastos'!$E$3:$E$300,Ene!$H$27,'Enero - registro gastos'!$F$3:$F$300,Ene!H29)</f>
        <v>0</v>
      </c>
      <c r="L29" s="12">
        <f t="shared" si="3"/>
        <v>150000</v>
      </c>
    </row>
    <row r="30" spans="2:12" x14ac:dyDescent="0.2">
      <c r="B30" s="9" t="s">
        <v>152</v>
      </c>
      <c r="C30" s="10"/>
      <c r="D30" s="11"/>
      <c r="E30" s="11">
        <f>SUMIFS('Enero - registro gastos'!$D$3:$D$300,'Enero - registro gastos'!$E$3:$E$300,Ene!$B$27,'Enero - registro gastos'!$F$3:$F$300,Ene!B30)</f>
        <v>0</v>
      </c>
      <c r="F30" s="12">
        <f t="shared" si="2"/>
        <v>0</v>
      </c>
      <c r="H30" s="9" t="s">
        <v>16</v>
      </c>
      <c r="I30" s="10"/>
      <c r="J30" s="11">
        <v>55000</v>
      </c>
      <c r="K30" s="11">
        <f>SUMIFS('Enero - registro gastos'!$D$3:$D$300,'Enero - registro gastos'!$E$3:$E$300,Ene!$H$27,'Enero - registro gastos'!$F$3:$F$300,Ene!H30)</f>
        <v>55000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SUMIFS('Enero - registro gastos'!$D$3:$D$300,'Enero - registro gastos'!$E$3:$E$300,Ene!$B$27,'Enero - registro gastos'!$F$3:$F$300,Ene!B31)</f>
        <v>0</v>
      </c>
      <c r="F31" s="12">
        <f t="shared" si="2"/>
        <v>0</v>
      </c>
      <c r="H31" s="9"/>
      <c r="I31" s="10"/>
      <c r="J31" s="11"/>
      <c r="K31" s="11">
        <f>SUMIFS('Enero - registro gastos'!$D$3:$D$300,'Enero - registro gastos'!$E$3:$E$300,Ene!$H$27,'Enero - registro gastos'!$F$3:$F$300,Ene!H31)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SUMIFS('Enero - registro gastos'!$D$3:$D$300,'Enero - registro gastos'!$E$3:$E$300,Ene!$B$27,'Enero - registro gastos'!$F$3:$F$300,Ene!B32)</f>
        <v>0</v>
      </c>
      <c r="F32" s="12">
        <f t="shared" si="2"/>
        <v>0</v>
      </c>
      <c r="H32" s="9"/>
      <c r="I32" s="10"/>
      <c r="J32" s="11"/>
      <c r="K32" s="11">
        <f>SUMIFS('Enero - registro gastos'!$D$3:$D$300,'Enero - registro gastos'!$E$3:$E$300,Ene!$H$27,'Enero - registro gastos'!$F$3:$F$300,Ene!H32)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SUMIFS('Enero - registro gastos'!$D$3:$D$300,'Enero - registro gastos'!$E$3:$E$300,Ene!$B$27,'Enero - registro gastos'!$F$3:$F$300,Ene!B33)</f>
        <v>0</v>
      </c>
      <c r="F33" s="12">
        <f t="shared" si="2"/>
        <v>0</v>
      </c>
      <c r="H33" s="9"/>
      <c r="I33" s="10"/>
      <c r="J33" s="11"/>
      <c r="K33" s="11">
        <f>SUMIFS('Enero - registro gastos'!$D$3:$D$300,'Enero - registro gastos'!$E$3:$E$300,Ene!$H$27,'Enero - registro gastos'!$F$3:$F$300,Ene!H33)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SUMIFS('Enero - registro gastos'!$D$3:$D$300,'Enero - registro gastos'!$E$3:$E$300,Ene!$B$27,'Enero - registro gastos'!$F$3:$F$300,Ene!B34)</f>
        <v>0</v>
      </c>
      <c r="F34" s="12">
        <f t="shared" si="2"/>
        <v>0</v>
      </c>
      <c r="H34" s="9"/>
      <c r="I34" s="10"/>
      <c r="J34" s="11"/>
      <c r="K34" s="11">
        <f>SUMIFS('Enero - registro gastos'!$D$3:$D$300,'Enero - registro gastos'!$E$3:$E$300,Ene!$H$27,'Enero - registro gastos'!$F$3:$F$300,Ene!H34)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SUMIFS('Enero - registro gastos'!$D$3:$D$300,'Enero - registro gastos'!$E$3:$E$300,Ene!$B$27,'Enero - registro gastos'!$F$3:$F$300,Ene!B35)</f>
        <v>0</v>
      </c>
      <c r="F35" s="15">
        <f t="shared" si="2"/>
        <v>0</v>
      </c>
      <c r="H35" s="13"/>
      <c r="I35" s="40"/>
      <c r="J35" s="14"/>
      <c r="K35" s="14">
        <f>SUMIFS('Enero - registro gastos'!$D$3:$D$300,'Enero - registro gastos'!$E$3:$E$300,Ene!$H$27,'Enero - registro gastos'!$F$3:$F$300,Ene!H35)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3917064.8</v>
      </c>
      <c r="F36" s="19">
        <f>D36-E36</f>
        <v>-3917064.8</v>
      </c>
      <c r="H36" s="16" t="s">
        <v>54</v>
      </c>
      <c r="I36" s="17"/>
      <c r="J36" s="18">
        <f>SUM(J28:J35)</f>
        <v>205000</v>
      </c>
      <c r="K36" s="18">
        <f>SUM(K28:K35)</f>
        <v>55000</v>
      </c>
      <c r="L36" s="19">
        <f>J36-K36</f>
        <v>150000</v>
      </c>
    </row>
    <row r="37" spans="2:12" x14ac:dyDescent="0.2">
      <c r="D37" s="5"/>
      <c r="E37" s="5"/>
      <c r="F37" s="5"/>
      <c r="J37" s="5"/>
      <c r="K37" s="5"/>
      <c r="L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SUMIFS('Enero - registro gastos'!$D$3:$D$300,'Enero - registro gastos'!$E$3:$E$300,Ene!$B$38,'Enero - registro gastos'!$F$3:$F$300,Ene!B39)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>
        <v>95000</v>
      </c>
      <c r="K39" s="11">
        <f>SUMIFS('Enero - registro gastos'!$D$3:$D$300,'Enero - registro gastos'!$E$3:$E$300,Ene!$H$38,'Enero - registro gastos'!$F$3:$F$300,Ene!H39)</f>
        <v>0</v>
      </c>
      <c r="L39" s="12">
        <f t="shared" ref="L39:L45" si="5">J39-K39</f>
        <v>95000</v>
      </c>
    </row>
    <row r="40" spans="2:12" x14ac:dyDescent="0.2">
      <c r="B40" s="9" t="s">
        <v>21</v>
      </c>
      <c r="C40" s="10"/>
      <c r="D40" s="11"/>
      <c r="E40" s="11">
        <f>SUMIFS('Enero - registro gastos'!$D$3:$D$300,'Enero - registro gastos'!$E$3:$E$300,Ene!$B$38,'Enero - registro gastos'!$F$3:$F$300,Ene!B40)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SUMIFS('Enero - registro gastos'!$D$3:$D$300,'Enero - registro gastos'!$E$3:$E$300,Ene!$H$38,'Enero - registro gastos'!$F$3:$F$300,Ene!H40)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SUMIFS('Enero - registro gastos'!$D$3:$D$300,'Enero - registro gastos'!$E$3:$E$300,Ene!$B$38,'Enero - registro gastos'!$F$3:$F$300,Ene!B41)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SUMIFS('Enero - registro gastos'!$D$3:$D$300,'Enero - registro gastos'!$E$3:$E$300,Ene!$H$38,'Enero - registro gastos'!$F$3:$F$300,Ene!H41)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SUMIFS('Enero - registro gastos'!$D$3:$D$300,'Enero - registro gastos'!$E$3:$E$300,Ene!$B$38,'Enero - registro gastos'!$F$3:$F$300,Ene!B42)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SUMIFS('Enero - registro gastos'!$D$3:$D$300,'Enero - registro gastos'!$E$3:$E$300,Ene!$H$38,'Enero - registro gastos'!$F$3:$F$300,Ene!H42)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SUMIFS('Enero - registro gastos'!$D$3:$D$300,'Enero - registro gastos'!$E$3:$E$300,Ene!$B$38,'Enero - registro gastos'!$F$3:$F$300,Ene!B43)</f>
        <v>0</v>
      </c>
      <c r="F43" s="12">
        <f t="shared" si="4"/>
        <v>0</v>
      </c>
      <c r="G43" s="20"/>
      <c r="H43" s="9" t="s">
        <v>66</v>
      </c>
      <c r="I43" s="10"/>
      <c r="J43" s="11">
        <v>20000</v>
      </c>
      <c r="K43" s="11">
        <f>SUMIFS('Enero - registro gastos'!$D$3:$D$300,'Enero - registro gastos'!$E$3:$E$300,Ene!$H$38,'Enero - registro gastos'!$F$3:$F$300,Ene!H43)</f>
        <v>0</v>
      </c>
      <c r="L43" s="12">
        <f t="shared" si="5"/>
        <v>20000</v>
      </c>
    </row>
    <row r="44" spans="2:12" x14ac:dyDescent="0.2">
      <c r="B44" s="30"/>
      <c r="C44" s="10"/>
      <c r="D44" s="31"/>
      <c r="E44" s="31">
        <f>SUMIFS('Enero - registro gastos'!$D$3:$D$300,'Enero - registro gastos'!$E$3:$E$300,Ene!$B$38,'Enero - registro gastos'!$F$3:$F$300,Ene!B44)</f>
        <v>0</v>
      </c>
      <c r="F44" s="12">
        <f t="shared" si="4"/>
        <v>0</v>
      </c>
      <c r="G44" s="20"/>
      <c r="H44" s="30"/>
      <c r="I44" s="10"/>
      <c r="J44" s="31"/>
      <c r="K44" s="31">
        <f>SUMIFS('Enero - registro gastos'!$D$3:$D$300,'Enero - registro gastos'!$E$3:$E$300,Ene!$H$38,'Enero - registro gastos'!$F$3:$F$300,Ene!H44)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SUMIFS('Enero - registro gastos'!$D$3:$D$300,'Enero - registro gastos'!$E$3:$E$300,Ene!$B$38,'Enero - registro gastos'!$F$3:$F$300,Ene!B45)</f>
        <v>0</v>
      </c>
      <c r="F45" s="15">
        <f t="shared" si="4"/>
        <v>0</v>
      </c>
      <c r="G45" s="20"/>
      <c r="H45" s="13"/>
      <c r="I45" s="40"/>
      <c r="J45" s="14"/>
      <c r="K45" s="14">
        <f>SUMIFS('Enero - registro gastos'!$D$3:$D$300,'Enero - registro gastos'!$E$3:$E$300,Ene!$H$38,'Enero - registro gastos'!$F$3:$F$300,Ene!H45)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115000</v>
      </c>
      <c r="K46" s="18">
        <f>SUM(K39:K45)</f>
        <v>0</v>
      </c>
      <c r="L46" s="19">
        <f>J46-K46</f>
        <v>115000</v>
      </c>
    </row>
    <row r="47" spans="2:12" x14ac:dyDescent="0.2">
      <c r="D47" s="5"/>
      <c r="E47" s="5"/>
      <c r="F47" s="5"/>
      <c r="J47" s="5"/>
      <c r="K47" s="5"/>
      <c r="L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>
        <v>400000</v>
      </c>
      <c r="E49" s="59">
        <f>SUMIFS('Enero - registro gastos'!$D$3:$D$300,'Enero - registro gastos'!$E$3:$E$300,Ene!$B$48,'Enero - registro gastos'!$F$3:$F$300,Ene!B49)</f>
        <v>150890</v>
      </c>
      <c r="F49" s="12">
        <f t="shared" ref="F49:F54" si="6">D49-E49</f>
        <v>249110</v>
      </c>
      <c r="G49" s="20"/>
      <c r="H49" s="9" t="s">
        <v>23</v>
      </c>
      <c r="I49" s="10"/>
      <c r="J49" s="11"/>
      <c r="K49" s="11">
        <f>SUMIFS('Enero - registro gastos'!$D$3:$D$300,'Enero - registro gastos'!$E$3:$E$300,Ene!$H$48,'Enero - registro gastos'!$F$3:$F$300,Ene!H49)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>
        <v>250000</v>
      </c>
      <c r="E50" s="11">
        <f>SUMIFS('Enero - registro gastos'!$D$3:$D$300,'Enero - registro gastos'!$E$3:$E$300,Ene!$B$48,'Enero - registro gastos'!$F$3:$F$300,Ene!B50)</f>
        <v>0</v>
      </c>
      <c r="F50" s="12">
        <f t="shared" si="6"/>
        <v>250000</v>
      </c>
      <c r="G50" s="20"/>
      <c r="H50" s="9" t="s">
        <v>24</v>
      </c>
      <c r="I50" s="10"/>
      <c r="J50" s="11"/>
      <c r="K50" s="11">
        <f>SUMIFS('Enero - registro gastos'!$D$3:$D$300,'Enero - registro gastos'!$E$3:$E$300,Ene!$H$48,'Enero - registro gastos'!$F$3:$F$300,Ene!H50)</f>
        <v>0</v>
      </c>
      <c r="L50" s="12">
        <f t="shared" si="7"/>
        <v>0</v>
      </c>
    </row>
    <row r="51" spans="2:12" x14ac:dyDescent="0.2">
      <c r="B51" s="9" t="s">
        <v>155</v>
      </c>
      <c r="C51" s="10"/>
      <c r="D51" s="11">
        <v>300000</v>
      </c>
      <c r="E51" s="11">
        <f>SUMIFS('Enero - registro gastos'!$D$3:$D$300,'Enero - registro gastos'!$E$3:$E$300,Ene!$B$48,'Enero - registro gastos'!$F$3:$F$300,Ene!B51)</f>
        <v>28650</v>
      </c>
      <c r="F51" s="12">
        <f t="shared" si="6"/>
        <v>271350</v>
      </c>
      <c r="G51" s="20"/>
      <c r="H51" s="9" t="s">
        <v>70</v>
      </c>
      <c r="I51" s="10"/>
      <c r="J51" s="39"/>
      <c r="K51" s="11">
        <f>SUMIFS('Enero - registro gastos'!$D$3:$D$300,'Enero - registro gastos'!$E$3:$E$300,Ene!$H$48,'Enero - registro gastos'!$F$3:$F$300,Ene!H51)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SUMIFS('Enero - registro gastos'!$D$3:$D$300,'Enero - registro gastos'!$E$3:$E$300,Ene!$B$48,'Enero - registro gastos'!$F$3:$F$300,Ene!B52)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SUMIFS('Enero - registro gastos'!$D$3:$D$300,'Enero - registro gastos'!$E$3:$E$300,Ene!$H$48,'Enero - registro gastos'!$F$3:$F$300,Ene!H52)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SUMIFS('Enero - registro gastos'!$D$3:$D$300,'Enero - registro gastos'!$E$3:$E$300,Ene!$B$48,'Enero - registro gastos'!$F$3:$F$300,Ene!B53)</f>
        <v>0</v>
      </c>
      <c r="F53" s="12">
        <f t="shared" si="6"/>
        <v>0</v>
      </c>
      <c r="G53" s="20"/>
      <c r="H53" s="9"/>
      <c r="I53" s="10"/>
      <c r="J53" s="11"/>
      <c r="K53" s="11">
        <f>SUMIFS('Enero - registro gastos'!$D$3:$D$300,'Enero - registro gastos'!$E$3:$E$300,Ene!$H$48,'Enero - registro gastos'!$F$3:$F$300,Ene!H53)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SUMIFS('Enero - registro gastos'!$D$3:$D$300,'Enero - registro gastos'!$E$3:$E$300,Ene!$B$48,'Enero - registro gastos'!$F$3:$F$300,Ene!B54)</f>
        <v>0</v>
      </c>
      <c r="F54" s="15">
        <f t="shared" si="6"/>
        <v>0</v>
      </c>
      <c r="G54" s="20"/>
      <c r="H54" s="13"/>
      <c r="I54" s="40"/>
      <c r="J54" s="14"/>
      <c r="K54" s="14">
        <f>SUMIFS('Enero - registro gastos'!$D$3:$D$300,'Enero - registro gastos'!$E$3:$E$300,Ene!$H$48,'Enero - registro gastos'!$F$3:$F$300,Ene!H54)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950000</v>
      </c>
      <c r="E55" s="18">
        <f>SUM(E49:E54)</f>
        <v>179540</v>
      </c>
      <c r="F55" s="19">
        <f>D55-E55</f>
        <v>770460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D56" s="5"/>
      <c r="E56" s="5"/>
      <c r="F56" s="5"/>
      <c r="J56" s="5"/>
      <c r="K56" s="5"/>
      <c r="L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>
        <v>80000</v>
      </c>
      <c r="E58" s="59">
        <f>SUMIFS('Enero - registro gastos'!$D$3:$D$300,'Enero - registro gastos'!$E$3:$E$300,Ene!$B$57,'Enero - registro gastos'!$F$3:$F$300,Ene!B58)</f>
        <v>0</v>
      </c>
      <c r="F58" s="12">
        <f>D58-E58</f>
        <v>80000</v>
      </c>
      <c r="G58" s="20"/>
      <c r="H58" s="9" t="s">
        <v>26</v>
      </c>
      <c r="I58" s="10"/>
      <c r="J58" s="11"/>
      <c r="K58" s="11">
        <f>SUMIFS('Enero - registro gastos'!$D$3:$D$300,'Enero - registro gastos'!$E$3:$E$300,Ene!$H$57,'Enero - registro gastos'!$F$3:$F$300,Ene!H58)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SUMIFS('Enero - registro gastos'!$D$3:$D$300,'Enero - registro gastos'!$E$3:$E$300,Ene!$B$57,'Enero - registro gastos'!$F$3:$F$300,Ene!B59)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SUMIFS('Enero - registro gastos'!$D$3:$D$300,'Enero - registro gastos'!$E$3:$E$300,Ene!$H$57,'Enero - registro gastos'!$F$3:$F$300,Ene!H59)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SUMIFS('Enero - registro gastos'!$D$3:$D$300,'Enero - registro gastos'!$E$3:$E$300,Ene!$B$57,'Enero - registro gastos'!$F$3:$F$300,Ene!B60)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SUMIFS('Enero - registro gastos'!$D$3:$D$300,'Enero - registro gastos'!$E$3:$E$300,Ene!$H$57,'Enero - registro gastos'!$F$3:$F$300,Ene!H60)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SUMIFS('Enero - registro gastos'!$D$3:$D$300,'Enero - registro gastos'!$E$3:$E$300,Ene!$B$57,'Enero - registro gastos'!$F$3:$F$300,Ene!B61)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SUMIFS('Enero - registro gastos'!$D$3:$D$300,'Enero - registro gastos'!$E$3:$E$300,Ene!$H$57,'Enero - registro gastos'!$F$3:$F$300,Ene!H61)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SUMIFS('Enero - registro gastos'!$D$3:$D$300,'Enero - registro gastos'!$E$3:$E$300,Ene!$B$57,'Enero - registro gastos'!$F$3:$F$300,Ene!B62)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SUMIFS('Enero - registro gastos'!$D$3:$D$300,'Enero - registro gastos'!$E$3:$E$300,Ene!$H$57,'Enero - registro gastos'!$F$3:$F$300,Ene!H62)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SUMIFS('Enero - registro gastos'!$D$3:$D$300,'Enero - registro gastos'!$E$3:$E$300,Ene!$B$57,'Enero - registro gastos'!$F$3:$F$300,Ene!B63)</f>
        <v>0</v>
      </c>
      <c r="F63" s="12">
        <f t="shared" si="9"/>
        <v>0</v>
      </c>
      <c r="G63" s="20"/>
      <c r="H63" s="30"/>
      <c r="I63" s="10"/>
      <c r="J63" s="31"/>
      <c r="K63" s="31">
        <f>SUMIFS('Enero - registro gastos'!$D$3:$D$300,'Enero - registro gastos'!$E$3:$E$300,Ene!$H$57,'Enero - registro gastos'!$F$3:$F$300,Ene!H63)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SUMIFS('Enero - registro gastos'!$D$3:$D$300,'Enero - registro gastos'!$E$3:$E$300,Ene!$B$57,'Enero - registro gastos'!$F$3:$F$300,Ene!B64)</f>
        <v>0</v>
      </c>
      <c r="F64" s="15">
        <f t="shared" si="9"/>
        <v>0</v>
      </c>
      <c r="G64" s="20"/>
      <c r="H64" s="13"/>
      <c r="I64" s="40"/>
      <c r="J64" s="14"/>
      <c r="K64" s="14">
        <f>SUMIFS('Enero - registro gastos'!$D$3:$D$300,'Enero - registro gastos'!$E$3:$E$300,Ene!$H$57,'Enero - registro gastos'!$F$3:$F$300,Ene!H64)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80000</v>
      </c>
      <c r="E65" s="18">
        <f>SUM(E58:E64)</f>
        <v>0</v>
      </c>
      <c r="F65" s="19">
        <f>D65-E65</f>
        <v>80000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D66" s="5"/>
      <c r="E66" s="5"/>
      <c r="F66" s="5"/>
      <c r="J66" s="5"/>
      <c r="K66" s="5"/>
      <c r="L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SUMIFS('Enero - registro gastos'!$D$3:$D$300,'Enero - registro gastos'!$E$3:$E$300,Ene!$B$67,'Enero - registro gastos'!$F$3:$F$300,Ene!B68)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SUMIFS('Enero - registro gastos'!$D$3:$D$300,'Enero - registro gastos'!$E$3:$E$300,Ene!$H$67,'Enero - registro gastos'!$F$3:$F$300,Ene!H68)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SUMIFS('Enero - registro gastos'!$D$3:$D$300,'Enero - registro gastos'!$E$3:$E$300,Ene!$B$67,'Enero - registro gastos'!$F$3:$F$300,Ene!B69)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SUMIFS('Enero - registro gastos'!$D$3:$D$300,'Enero - registro gastos'!$E$3:$E$300,Ene!$H$67,'Enero - registro gastos'!$F$3:$F$300,Ene!H69)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SUMIFS('Enero - registro gastos'!$D$3:$D$300,'Enero - registro gastos'!$E$3:$E$300,Ene!$B$67,'Enero - registro gastos'!$F$3:$F$300,Ene!B70)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SUMIFS('Enero - registro gastos'!$D$3:$D$300,'Enero - registro gastos'!$E$3:$E$300,Ene!$H$67,'Enero - registro gastos'!$F$3:$F$300,Ene!H70)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SUMIFS('Enero - registro gastos'!$D$3:$D$300,'Enero - registro gastos'!$E$3:$E$300,Ene!$B$67,'Enero - registro gastos'!$F$3:$F$300,Ene!B71)</f>
        <v>244000</v>
      </c>
      <c r="F71" s="12">
        <f t="shared" si="10"/>
        <v>-244000</v>
      </c>
      <c r="G71" s="20"/>
      <c r="H71" s="9" t="s">
        <v>84</v>
      </c>
      <c r="I71" s="10"/>
      <c r="J71" s="11"/>
      <c r="K71" s="11">
        <f>SUMIFS('Enero - registro gastos'!$D$3:$D$300,'Enero - registro gastos'!$E$3:$E$300,Ene!$H$67,'Enero - registro gastos'!$F$3:$F$300,Ene!H71)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>
        <v>150906</v>
      </c>
      <c r="E72" s="11">
        <f>SUMIFS('Enero - registro gastos'!$D$3:$D$300,'Enero - registro gastos'!$E$3:$E$300,Ene!$B$67,'Enero - registro gastos'!$F$3:$F$300,Ene!B72)</f>
        <v>148241.73000000001</v>
      </c>
      <c r="F72" s="12">
        <f t="shared" si="10"/>
        <v>2664.2699999999895</v>
      </c>
      <c r="G72" s="20"/>
      <c r="H72" s="9"/>
      <c r="I72" s="10"/>
      <c r="J72" s="11"/>
      <c r="K72" s="11">
        <f>SUMIFS('Enero - registro gastos'!$D$3:$D$300,'Enero - registro gastos'!$E$3:$E$300,Ene!$H$67,'Enero - registro gastos'!$F$3:$F$300,Ene!H72)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>
        <v>45000</v>
      </c>
      <c r="E73" s="11">
        <f>SUMIFS('Enero - registro gastos'!$D$3:$D$300,'Enero - registro gastos'!$E$3:$E$300,Ene!$B$67,'Enero - registro gastos'!$F$3:$F$300,Ene!B73)</f>
        <v>44900</v>
      </c>
      <c r="F73" s="12">
        <f t="shared" si="10"/>
        <v>100</v>
      </c>
      <c r="G73" s="20"/>
      <c r="H73" s="9"/>
      <c r="I73" s="10"/>
      <c r="J73" s="11"/>
      <c r="K73" s="11">
        <f>SUMIFS('Enero - registro gastos'!$D$3:$D$300,'Enero - registro gastos'!$E$3:$E$300,Ene!$H$67,'Enero - registro gastos'!$F$3:$F$300,Ene!H73)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>
        <v>30500</v>
      </c>
      <c r="E74" s="11">
        <f>SUMIFS('Enero - registro gastos'!$D$3:$D$300,'Enero - registro gastos'!$E$3:$E$300,Ene!$B$67,'Enero - registro gastos'!$F$3:$F$300,Ene!B74)</f>
        <v>0</v>
      </c>
      <c r="F74" s="12">
        <f t="shared" si="10"/>
        <v>30500</v>
      </c>
      <c r="G74" s="20"/>
      <c r="H74" s="9"/>
      <c r="I74" s="10"/>
      <c r="J74" s="11"/>
      <c r="K74" s="11">
        <f>SUMIFS('Enero - registro gastos'!$D$3:$D$300,'Enero - registro gastos'!$E$3:$E$300,Ene!$H$67,'Enero - registro gastos'!$F$3:$F$300,Ene!H74)</f>
        <v>0</v>
      </c>
      <c r="L74" s="12">
        <f>J74-K74</f>
        <v>0</v>
      </c>
    </row>
    <row r="75" spans="2:12" x14ac:dyDescent="0.2">
      <c r="B75" s="30" t="s">
        <v>153</v>
      </c>
      <c r="C75" s="10"/>
      <c r="D75" s="31">
        <v>9000</v>
      </c>
      <c r="E75" s="31">
        <f>SUMIFS('Enero - registro gastos'!$D$3:$D$300,'Enero - registro gastos'!$E$3:$E$300,Ene!$B$67,'Enero - registro gastos'!$F$3:$F$300,Ene!B75)</f>
        <v>0</v>
      </c>
      <c r="F75" s="12">
        <f t="shared" si="10"/>
        <v>9000</v>
      </c>
      <c r="G75" s="20"/>
      <c r="H75" s="30"/>
      <c r="I75" s="10"/>
      <c r="J75" s="31"/>
      <c r="K75" s="31">
        <f>SUMIFS('Enero - registro gastos'!$D$3:$D$300,'Enero - registro gastos'!$E$3:$E$300,Ene!$H$67,'Enero - registro gastos'!$F$3:$F$300,Ene!H75)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SUMIFS('Enero - registro gastos'!$D$3:$D$300,'Enero - registro gastos'!$E$3:$E$300,Ene!$B$67,'Enero - registro gastos'!$F$3:$F$300,Ene!B76)</f>
        <v>14950</v>
      </c>
      <c r="F76" s="12">
        <f t="shared" si="10"/>
        <v>-14950</v>
      </c>
      <c r="G76" s="20"/>
      <c r="H76" s="30"/>
      <c r="I76" s="10"/>
      <c r="J76" s="31"/>
      <c r="K76" s="31">
        <f>SUMIFS('Enero - registro gastos'!$D$3:$D$300,'Enero - registro gastos'!$E$3:$E$300,Ene!$H$67,'Enero - registro gastos'!$F$3:$F$300,Ene!H76)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SUMIFS('Enero - registro gastos'!$D$3:$D$300,'Enero - registro gastos'!$E$3:$E$300,Ene!$B$67,'Enero - registro gastos'!$F$3:$F$300,Ene!B77)</f>
        <v>12900</v>
      </c>
      <c r="F77" s="12">
        <f t="shared" si="10"/>
        <v>-12900</v>
      </c>
      <c r="G77" s="20"/>
      <c r="H77" s="30"/>
      <c r="I77" s="10"/>
      <c r="J77" s="31"/>
      <c r="K77" s="31">
        <f>SUMIFS('Enero - registro gastos'!$D$3:$D$300,'Enero - registro gastos'!$E$3:$E$300,Ene!$H$67,'Enero - registro gastos'!$F$3:$F$300,Ene!H77)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SUMIFS('Enero - registro gastos'!$D$3:$D$300,'Enero - registro gastos'!$E$3:$E$300,Ene!$B$67,'Enero - registro gastos'!$F$3:$F$300,Ene!B78)</f>
        <v>0</v>
      </c>
      <c r="F78" s="15">
        <f t="shared" si="10"/>
        <v>0</v>
      </c>
      <c r="G78" s="20"/>
      <c r="H78" s="13"/>
      <c r="I78" s="40"/>
      <c r="J78" s="14"/>
      <c r="K78" s="14">
        <f>SUMIFS('Enero - registro gastos'!$D$3:$D$300,'Enero - registro gastos'!$E$3:$E$300,Ene!$H$67,'Enero - registro gastos'!$F$3:$F$300,Ene!H78)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235406</v>
      </c>
      <c r="E79" s="18">
        <f>SUM(E68:E78)</f>
        <v>464991.73</v>
      </c>
      <c r="F79" s="19">
        <f>D79-E79</f>
        <v>-229585.72999999998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D80" s="5"/>
      <c r="E80" s="5"/>
      <c r="F80" s="5"/>
      <c r="J80" s="5"/>
      <c r="K80" s="5"/>
      <c r="L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SUMIFS('Enero - registro gastos'!$D$3:$D$300,'Enero - registro gastos'!$E$3:$E$300,Ene!$B$81,'Enero - registro gastos'!$F$3:$F$300,Ene!B82)</f>
        <v>0</v>
      </c>
      <c r="F82" s="12">
        <f>D82-E82</f>
        <v>0</v>
      </c>
      <c r="G82" s="20"/>
      <c r="H82" s="9"/>
      <c r="I82" s="10"/>
      <c r="J82" s="11"/>
      <c r="K82" s="11">
        <f>SUMIFS('Enero - registro gastos'!$D$3:$D$300,'Enero - registro gastos'!$E$3:$E$300,Ene!$H$81,'Enero - registro gastos'!$F$3:$F$300,Ene!H82)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SUMIFS('Enero - registro gastos'!$D$3:$D$300,'Enero - registro gastos'!$E$3:$E$300,Ene!$B$81,'Enero - registro gastos'!$F$3:$F$300,Ene!B83)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SUMIFS('Enero - registro gastos'!$D$3:$D$300,'Enero - registro gastos'!$E$3:$E$300,Ene!$H$81,'Enero - registro gastos'!$F$3:$F$300,Ene!H83)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SUMIFS('Enero - registro gastos'!$D$3:$D$300,'Enero - registro gastos'!$E$3:$E$300,Ene!$B$81,'Enero - registro gastos'!$F$3:$F$300,Ene!B84)</f>
        <v>0</v>
      </c>
      <c r="F84" s="12">
        <f t="shared" si="12"/>
        <v>0</v>
      </c>
      <c r="G84" s="20"/>
      <c r="H84" s="9"/>
      <c r="I84" s="10"/>
      <c r="J84" s="11"/>
      <c r="K84" s="11">
        <f>SUMIFS('Enero - registro gastos'!$D$3:$D$300,'Enero - registro gastos'!$E$3:$E$300,Ene!$H$81,'Enero - registro gastos'!$F$3:$F$300,Ene!H84)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SUMIFS('Enero - registro gastos'!$D$3:$D$300,'Enero - registro gastos'!$E$3:$E$300,Ene!$B$81,'Enero - registro gastos'!$F$3:$F$300,Ene!B85)</f>
        <v>0</v>
      </c>
      <c r="F85" s="12">
        <f>D85-E85</f>
        <v>0</v>
      </c>
      <c r="G85" s="20"/>
      <c r="H85" s="9"/>
      <c r="I85" s="10"/>
      <c r="J85" s="11"/>
      <c r="K85" s="11">
        <f>SUMIFS('Enero - registro gastos'!$D$3:$D$300,'Enero - registro gastos'!$E$3:$E$300,Ene!$H$81,'Enero - registro gastos'!$F$3:$F$300,Ene!H85)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SUMIFS('Enero - registro gastos'!$D$3:$D$300,'Enero - registro gastos'!$E$3:$E$300,Ene!$B$81,'Enero - registro gastos'!$F$3:$F$300,Ene!B86)</f>
        <v>0</v>
      </c>
      <c r="F86" s="12">
        <f t="shared" si="12"/>
        <v>0</v>
      </c>
      <c r="G86" s="20"/>
      <c r="H86" s="9"/>
      <c r="I86" s="10"/>
      <c r="J86" s="11"/>
      <c r="K86" s="11">
        <f>SUMIFS('Enero - registro gastos'!$D$3:$D$300,'Enero - registro gastos'!$E$3:$E$300,Ene!$H$81,'Enero - registro gastos'!$F$3:$F$300,Ene!H86)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SUMIFS('Enero - registro gastos'!$D$3:$D$300,'Enero - registro gastos'!$E$3:$E$300,Ene!$B$81,'Enero - registro gastos'!$F$3:$F$300,Ene!B87)</f>
        <v>0</v>
      </c>
      <c r="F87" s="15">
        <f t="shared" si="12"/>
        <v>0</v>
      </c>
      <c r="G87" s="20"/>
      <c r="H87" s="13"/>
      <c r="I87" s="40"/>
      <c r="J87" s="14"/>
      <c r="K87" s="14">
        <f>SUMIFS('Enero - registro gastos'!$D$3:$D$300,'Enero - registro gastos'!$E$3:$E$300,Ene!$H$81,'Enero - registro gastos'!$F$3:$F$300,Ene!H87)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D89" s="5"/>
      <c r="E89" s="5"/>
      <c r="F89" s="5"/>
      <c r="J89" s="5"/>
      <c r="K89" s="5"/>
      <c r="L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5" customHeight="1" x14ac:dyDescent="0.2">
      <c r="B91" s="9" t="s">
        <v>154</v>
      </c>
      <c r="C91" s="10"/>
      <c r="D91" s="11">
        <v>74138</v>
      </c>
      <c r="E91" s="11">
        <f>SUMIFS('Enero - registro gastos'!$D$3:$D$300,'Enero - registro gastos'!$E$3:$E$300,Ene!$B$90,'Enero - registro gastos'!$F$3:$F$300,Ene!B91)</f>
        <v>0</v>
      </c>
      <c r="F91" s="12">
        <f>D91-E91</f>
        <v>74138</v>
      </c>
      <c r="G91" s="20"/>
      <c r="H91" s="9"/>
      <c r="I91" s="10"/>
      <c r="J91" s="11"/>
      <c r="K91" s="11">
        <f>SUMIFS('Enero - registro gastos'!$D$3:$D$300,'Enero - registro gastos'!$E$3:$E$300,Ene!$H$90,'Enero - registro gastos'!$F$3:$F$300,Ene!H91)</f>
        <v>0</v>
      </c>
      <c r="L91" s="12">
        <f t="shared" ref="L91:L97" si="14">J91-K91</f>
        <v>0</v>
      </c>
    </row>
    <row r="92" spans="2:12" x14ac:dyDescent="0.2">
      <c r="B92" s="9" t="s">
        <v>156</v>
      </c>
      <c r="C92" s="10"/>
      <c r="D92" s="11">
        <f>45000*4</f>
        <v>180000</v>
      </c>
      <c r="E92" s="11">
        <f>SUMIFS('Enero - registro gastos'!$D$3:$D$300,'Enero - registro gastos'!$E$3:$E$300,Ene!$B$90,'Enero - registro gastos'!$F$3:$F$300,Ene!B92)</f>
        <v>0</v>
      </c>
      <c r="F92" s="12">
        <f t="shared" ref="F92:F97" si="15">D92-E92</f>
        <v>180000</v>
      </c>
      <c r="G92" s="20"/>
      <c r="H92" s="9"/>
      <c r="I92" s="10"/>
      <c r="J92" s="11"/>
      <c r="K92" s="11">
        <f>SUMIFS('Enero - registro gastos'!$D$3:$D$300,'Enero - registro gastos'!$E$3:$E$300,Ene!$H$90,'Enero - registro gastos'!$F$3:$F$300,Ene!H92)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SUMIFS('Enero - registro gastos'!$D$3:$D$300,'Enero - registro gastos'!$E$3:$E$300,Ene!$B$90,'Enero - registro gastos'!$F$3:$F$300,Ene!B93)</f>
        <v>0</v>
      </c>
      <c r="F93" s="12">
        <f t="shared" si="15"/>
        <v>0</v>
      </c>
      <c r="G93" s="20"/>
      <c r="H93" s="9"/>
      <c r="I93" s="10"/>
      <c r="J93" s="11"/>
      <c r="K93" s="11">
        <f>SUMIFS('Enero - registro gastos'!$D$3:$D$300,'Enero - registro gastos'!$E$3:$E$300,Ene!$H$90,'Enero - registro gastos'!$F$3:$F$300,Ene!H93)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SUMIFS('Enero - registro gastos'!$D$3:$D$300,'Enero - registro gastos'!$E$3:$E$300,Ene!$B$90,'Enero - registro gastos'!$F$3:$F$300,Ene!B94)</f>
        <v>0</v>
      </c>
      <c r="F94" s="12">
        <f t="shared" si="15"/>
        <v>0</v>
      </c>
      <c r="G94" s="20"/>
      <c r="H94" s="9"/>
      <c r="I94" s="10"/>
      <c r="J94" s="11"/>
      <c r="K94" s="11">
        <f>SUMIFS('Enero - registro gastos'!$D$3:$D$300,'Enero - registro gastos'!$E$3:$E$300,Ene!$H$90,'Enero - registro gastos'!$F$3:$F$300,Ene!H94)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SUMIFS('Enero - registro gastos'!$D$3:$D$300,'Enero - registro gastos'!$E$3:$E$300,Ene!$B$90,'Enero - registro gastos'!$F$3:$F$300,Ene!B95)</f>
        <v>0</v>
      </c>
      <c r="F95" s="12">
        <f>D95-E95</f>
        <v>0</v>
      </c>
      <c r="G95" s="20"/>
      <c r="H95" s="9"/>
      <c r="I95" s="10"/>
      <c r="J95" s="11"/>
      <c r="K95" s="11">
        <f>SUMIFS('Enero - registro gastos'!$D$3:$D$300,'Enero - registro gastos'!$E$3:$E$300,Ene!$H$90,'Enero - registro gastos'!$F$3:$F$300,Ene!H95)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SUMIFS('Enero - registro gastos'!$D$3:$D$300,'Enero - registro gastos'!$E$3:$E$300,Ene!$B$90,'Enero - registro gastos'!$F$3:$F$300,Ene!B96)</f>
        <v>0</v>
      </c>
      <c r="F96" s="12">
        <f t="shared" si="15"/>
        <v>0</v>
      </c>
      <c r="G96" s="20"/>
      <c r="H96" s="9"/>
      <c r="I96" s="10"/>
      <c r="J96" s="11"/>
      <c r="K96" s="11">
        <f>SUMIFS('Enero - registro gastos'!$D$3:$D$300,'Enero - registro gastos'!$E$3:$E$300,Ene!$H$90,'Enero - registro gastos'!$F$3:$F$300,Ene!H96)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SUMIFS('Enero - registro gastos'!$D$3:$D$300,'Enero - registro gastos'!$E$3:$E$300,Ene!$B$90,'Enero - registro gastos'!$F$3:$F$300,Ene!B97)</f>
        <v>0</v>
      </c>
      <c r="F97" s="15">
        <f t="shared" si="15"/>
        <v>0</v>
      </c>
      <c r="G97" s="20"/>
      <c r="H97" s="13"/>
      <c r="I97" s="40"/>
      <c r="J97" s="14"/>
      <c r="K97" s="14">
        <f>SUMIFS('Enero - registro gastos'!$D$3:$D$300,'Enero - registro gastos'!$E$3:$E$300,Ene!$H$90,'Enero - registro gastos'!$F$3:$F$300,Ene!H97)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254138</v>
      </c>
      <c r="E98" s="18">
        <f>SUM(E91:E97)</f>
        <v>0</v>
      </c>
      <c r="F98" s="19">
        <f>D98-E98</f>
        <v>254138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D99" s="5"/>
      <c r="E99" s="5"/>
      <c r="F99" s="5"/>
      <c r="J99" s="5"/>
      <c r="K99" s="5"/>
      <c r="L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/>
      <c r="C101" s="10"/>
      <c r="D101" s="11"/>
      <c r="E101" s="11">
        <f>SUMIFS('Enero - registro gastos'!$D$3:$D$300,'Enero - registro gastos'!$E$3:$E$300,Ene!$B$100,'Enero - registro gastos'!$F$3:$F$300,Ene!B101)</f>
        <v>0</v>
      </c>
      <c r="F101" s="12">
        <f>D101-E101</f>
        <v>0</v>
      </c>
      <c r="G101" s="20"/>
      <c r="H101" s="9"/>
      <c r="I101" s="10"/>
      <c r="J101" s="11"/>
      <c r="K101" s="11">
        <f>SUMIFS('Enero - registro gastos'!$D$3:$D$300,'Enero - registro gastos'!$E$3:$E$300,Ene!$H$100,'Enero - registro gastos'!$F$3:$F$300,Ene!H101)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SUMIFS('Enero - registro gastos'!$D$3:$D$300,'Enero - registro gastos'!$E$3:$E$300,Ene!$B$100,'Enero - registro gastos'!$F$3:$F$300,Ene!B102)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SUMIFS('Enero - registro gastos'!$D$3:$D$300,'Enero - registro gastos'!$E$3:$E$300,Ene!$H$100,'Enero - registro gastos'!$F$3:$F$300,Ene!H102)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SUMIFS('Enero - registro gastos'!$D$3:$D$300,'Enero - registro gastos'!$E$3:$E$300,Ene!$B$100,'Enero - registro gastos'!$F$3:$F$300,Ene!B103)</f>
        <v>0</v>
      </c>
      <c r="F103" s="12">
        <f t="shared" si="16"/>
        <v>0</v>
      </c>
      <c r="G103" s="20"/>
      <c r="H103" s="9"/>
      <c r="I103" s="10"/>
      <c r="J103" s="11"/>
      <c r="K103" s="11">
        <f>SUMIFS('Enero - registro gastos'!$D$3:$D$300,'Enero - registro gastos'!$E$3:$E$300,Ene!$H$100,'Enero - registro gastos'!$F$3:$F$300,Ene!H103)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SUMIFS('Enero - registro gastos'!$D$3:$D$300,'Enero - registro gastos'!$E$3:$E$300,Ene!$B$100,'Enero - registro gastos'!$F$3:$F$300,Ene!B104)</f>
        <v>0</v>
      </c>
      <c r="F104" s="12">
        <f t="shared" si="16"/>
        <v>0</v>
      </c>
      <c r="G104" s="20"/>
      <c r="H104" s="9"/>
      <c r="I104" s="10"/>
      <c r="J104" s="11"/>
      <c r="K104" s="11">
        <f>SUMIFS('Enero - registro gastos'!$D$3:$D$300,'Enero - registro gastos'!$E$3:$E$300,Ene!$H$100,'Enero - registro gastos'!$F$3:$F$300,Ene!H104)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SUMIFS('Enero - registro gastos'!$D$3:$D$300,'Enero - registro gastos'!$E$3:$E$300,Ene!$B$100,'Enero - registro gastos'!$F$3:$F$300,Ene!B105)</f>
        <v>0</v>
      </c>
      <c r="F105" s="12">
        <f t="shared" si="16"/>
        <v>0</v>
      </c>
      <c r="G105" s="20"/>
      <c r="H105" s="9"/>
      <c r="I105" s="10"/>
      <c r="J105" s="11"/>
      <c r="K105" s="11">
        <f>SUMIFS('Enero - registro gastos'!$D$3:$D$300,'Enero - registro gastos'!$E$3:$E$300,Ene!$H$100,'Enero - registro gastos'!$F$3:$F$300,Ene!H105)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SUMIFS('Enero - registro gastos'!$D$3:$D$300,'Enero - registro gastos'!$E$3:$E$300,Ene!$B$100,'Enero - registro gastos'!$F$3:$F$300,Ene!B106)</f>
        <v>0</v>
      </c>
      <c r="F106" s="12">
        <f t="shared" si="16"/>
        <v>0</v>
      </c>
      <c r="G106" s="20"/>
      <c r="H106" s="9"/>
      <c r="I106" s="10"/>
      <c r="J106" s="11"/>
      <c r="K106" s="11">
        <f>SUMIFS('Enero - registro gastos'!$D$3:$D$300,'Enero - registro gastos'!$E$3:$E$300,Ene!$H$100,'Enero - registro gastos'!$F$3:$F$300,Ene!H106)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SUMIFS('Enero - registro gastos'!$D$3:$D$300,'Enero - registro gastos'!$E$3:$E$300,Ene!$B$100,'Enero - registro gastos'!$F$3:$F$300,Ene!B107)</f>
        <v>0</v>
      </c>
      <c r="F107" s="15">
        <f>D107-E107</f>
        <v>0</v>
      </c>
      <c r="G107" s="20"/>
      <c r="H107" s="13"/>
      <c r="I107" s="40"/>
      <c r="J107" s="14"/>
      <c r="K107" s="14">
        <f>SUMIFS('Enero - registro gastos'!$D$3:$D$300,'Enero - registro gastos'!$E$3:$E$300,Ene!$H$100,'Enero - registro gastos'!$F$3:$F$300,Ene!H107)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C5:D5"/>
    <mergeCell ref="B4:B10"/>
    <mergeCell ref="C4:D4"/>
    <mergeCell ref="C8:D8"/>
    <mergeCell ref="C6:D6"/>
    <mergeCell ref="C7:D7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D4848E6-4FD5-5A4E-A693-6546674F5C0C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A4B25305-6FC3-6F43-A8D4-ADF7FE60EC62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4E7E-9E4D-D345-A9C6-FD0E7B58084B}">
  <sheetPr codeName="Hoja2">
    <tabColor rgb="FFEF7522"/>
    <pageSetUpPr autoPageBreaks="0" fitToPage="1"/>
  </sheetPr>
  <dimension ref="B1:U110"/>
  <sheetViews>
    <sheetView showGridLines="0" topLeftCell="B3" zoomScale="140" zoomScaleNormal="140" zoomScalePageLayoutView="80" workbookViewId="0">
      <selection activeCell="J20" sqref="J20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4" style="7" bestFit="1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/>
      <c r="D4" s="118"/>
      <c r="E4" s="6">
        <f>185403671+2619683.99</f>
        <v>188023354.99000001</v>
      </c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188023354.99000001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6151674</v>
      </c>
      <c r="L10" s="2"/>
      <c r="M10" s="25" t="str">
        <f>IF(K10=0,"El presupuesto está listo","OJO! Tiene que sumar cero")</f>
        <v>OJO! Tiene que sumar cero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11"/>
      <c r="F13" s="12">
        <f>D13-E13</f>
        <v>0</v>
      </c>
      <c r="H13" s="9" t="s">
        <v>99</v>
      </c>
      <c r="I13" s="10" t="s">
        <v>45</v>
      </c>
      <c r="J13" s="11">
        <v>250000</v>
      </c>
      <c r="K13" s="11"/>
      <c r="L13" s="12">
        <f t="shared" ref="L13:L25" si="0">J13-K13</f>
        <v>250000</v>
      </c>
    </row>
    <row r="14" spans="2:21" x14ac:dyDescent="0.2">
      <c r="B14" s="9" t="s">
        <v>46</v>
      </c>
      <c r="C14" s="10"/>
      <c r="D14" s="11"/>
      <c r="E14" s="11"/>
      <c r="F14" s="12">
        <f t="shared" ref="F14:F25" si="1">D14-E14</f>
        <v>0</v>
      </c>
      <c r="H14" s="9" t="s">
        <v>133</v>
      </c>
      <c r="I14" s="10" t="s">
        <v>45</v>
      </c>
      <c r="J14" s="11">
        <v>5019665</v>
      </c>
      <c r="K14" s="11"/>
      <c r="L14" s="12">
        <f t="shared" si="0"/>
        <v>5019665</v>
      </c>
    </row>
    <row r="15" spans="2:21" x14ac:dyDescent="0.2">
      <c r="B15" s="9" t="s">
        <v>47</v>
      </c>
      <c r="C15" s="10"/>
      <c r="D15" s="11"/>
      <c r="E15" s="11"/>
      <c r="F15" s="12">
        <f t="shared" si="1"/>
        <v>0</v>
      </c>
      <c r="H15" s="9" t="s">
        <v>140</v>
      </c>
      <c r="I15" s="10" t="s">
        <v>45</v>
      </c>
      <c r="J15" s="39">
        <v>102536491</v>
      </c>
      <c r="K15" s="11"/>
      <c r="L15" s="12">
        <f t="shared" si="0"/>
        <v>102536491</v>
      </c>
    </row>
    <row r="16" spans="2:21" x14ac:dyDescent="0.2">
      <c r="B16" s="9" t="s">
        <v>48</v>
      </c>
      <c r="C16" s="10"/>
      <c r="D16" s="11"/>
      <c r="E16" s="11"/>
      <c r="F16" s="12">
        <f t="shared" si="1"/>
        <v>0</v>
      </c>
      <c r="H16" s="9" t="s">
        <v>134</v>
      </c>
      <c r="I16" s="10" t="s">
        <v>45</v>
      </c>
      <c r="J16" s="11">
        <v>18691750</v>
      </c>
      <c r="K16" s="11"/>
      <c r="L16" s="12">
        <f t="shared" si="0"/>
        <v>18691750</v>
      </c>
    </row>
    <row r="17" spans="2:12" x14ac:dyDescent="0.2">
      <c r="B17" s="9" t="s">
        <v>49</v>
      </c>
      <c r="C17" s="10"/>
      <c r="D17" s="11"/>
      <c r="E17" s="11"/>
      <c r="F17" s="12">
        <f t="shared" si="1"/>
        <v>0</v>
      </c>
      <c r="H17" s="9" t="s">
        <v>135</v>
      </c>
      <c r="I17" s="10" t="s">
        <v>45</v>
      </c>
      <c r="J17" s="11">
        <v>39578000</v>
      </c>
      <c r="K17" s="11"/>
      <c r="L17" s="12">
        <f t="shared" si="0"/>
        <v>39578000</v>
      </c>
    </row>
    <row r="18" spans="2:12" x14ac:dyDescent="0.2">
      <c r="B18" s="9" t="s">
        <v>50</v>
      </c>
      <c r="C18" s="10"/>
      <c r="D18" s="11"/>
      <c r="E18" s="11"/>
      <c r="F18" s="12">
        <f t="shared" si="1"/>
        <v>0</v>
      </c>
      <c r="H18" s="9" t="s">
        <v>136</v>
      </c>
      <c r="I18" s="10" t="s">
        <v>45</v>
      </c>
      <c r="J18" s="11">
        <v>12204069</v>
      </c>
      <c r="K18" s="11"/>
      <c r="L18" s="12">
        <f t="shared" si="0"/>
        <v>12204069</v>
      </c>
    </row>
    <row r="19" spans="2:12" x14ac:dyDescent="0.2">
      <c r="B19" s="9" t="s">
        <v>51</v>
      </c>
      <c r="C19" s="10"/>
      <c r="D19" s="11"/>
      <c r="E19" s="11"/>
      <c r="F19" s="12">
        <f t="shared" si="1"/>
        <v>0</v>
      </c>
      <c r="H19" s="9" t="s">
        <v>137</v>
      </c>
      <c r="I19" s="10" t="s">
        <v>45</v>
      </c>
      <c r="J19" s="11">
        <v>585890</v>
      </c>
      <c r="K19" s="11"/>
      <c r="L19" s="12">
        <f t="shared" si="0"/>
        <v>585890</v>
      </c>
    </row>
    <row r="20" spans="2:12" x14ac:dyDescent="0.2">
      <c r="B20" s="9" t="s">
        <v>52</v>
      </c>
      <c r="C20" s="10"/>
      <c r="D20" s="11"/>
      <c r="E20" s="11"/>
      <c r="F20" s="12">
        <f t="shared" si="1"/>
        <v>0</v>
      </c>
      <c r="H20" s="9" t="s">
        <v>168</v>
      </c>
      <c r="I20" s="10" t="s">
        <v>45</v>
      </c>
      <c r="J20" s="11">
        <v>217910</v>
      </c>
      <c r="K20" s="11"/>
      <c r="L20" s="12">
        <f t="shared" si="0"/>
        <v>217910</v>
      </c>
    </row>
    <row r="21" spans="2:12" x14ac:dyDescent="0.2">
      <c r="B21" s="9" t="s">
        <v>53</v>
      </c>
      <c r="C21" s="10"/>
      <c r="D21" s="11"/>
      <c r="E21" s="11"/>
      <c r="F21" s="12">
        <f t="shared" si="1"/>
        <v>0</v>
      </c>
      <c r="H21" s="9" t="s">
        <v>139</v>
      </c>
      <c r="I21" s="10" t="s">
        <v>45</v>
      </c>
      <c r="J21" s="11">
        <v>168222</v>
      </c>
      <c r="K21" s="11"/>
      <c r="L21" s="12">
        <f t="shared" si="0"/>
        <v>168222</v>
      </c>
    </row>
    <row r="22" spans="2:12" x14ac:dyDescent="0.2">
      <c r="B22" s="9"/>
      <c r="C22" s="10"/>
      <c r="D22" s="11"/>
      <c r="E22" s="11"/>
      <c r="F22" s="12">
        <f t="shared" si="1"/>
        <v>0</v>
      </c>
      <c r="H22" s="9" t="s">
        <v>171</v>
      </c>
      <c r="I22" s="10" t="s">
        <v>45</v>
      </c>
      <c r="J22" s="11">
        <v>2619683.9900000002</v>
      </c>
      <c r="K22" s="11"/>
      <c r="L22" s="12">
        <f t="shared" si="0"/>
        <v>2619683.9900000002</v>
      </c>
    </row>
    <row r="23" spans="2:12" x14ac:dyDescent="0.2">
      <c r="B23" s="9"/>
      <c r="C23" s="10"/>
      <c r="D23" s="11"/>
      <c r="E23" s="11"/>
      <c r="F23" s="12">
        <f t="shared" si="1"/>
        <v>0</v>
      </c>
      <c r="H23" s="9"/>
      <c r="I23" s="10"/>
      <c r="J23" s="11"/>
      <c r="K23" s="11"/>
      <c r="L23" s="12">
        <f t="shared" si="0"/>
        <v>0</v>
      </c>
    </row>
    <row r="24" spans="2:12" ht="17" thickBot="1" x14ac:dyDescent="0.25">
      <c r="B24" s="13"/>
      <c r="C24" s="40"/>
      <c r="D24" s="14"/>
      <c r="E24" s="14"/>
      <c r="F24" s="15">
        <f t="shared" si="1"/>
        <v>0</v>
      </c>
      <c r="H24" s="13"/>
      <c r="I24" s="40"/>
      <c r="J24" s="14"/>
      <c r="K24" s="14"/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181871680.99000001</v>
      </c>
      <c r="K25" s="18">
        <f>SUM(K13:K24)</f>
        <v>0</v>
      </c>
      <c r="L25" s="19">
        <f t="shared" si="0"/>
        <v>181871680.99000001</v>
      </c>
    </row>
    <row r="26" spans="2:12" x14ac:dyDescent="0.2">
      <c r="B26" s="110"/>
      <c r="C26" s="110"/>
      <c r="D26" s="110"/>
      <c r="E26" s="110"/>
      <c r="G26" s="111"/>
      <c r="H26" s="111"/>
      <c r="I26" s="111"/>
      <c r="J26" s="111"/>
      <c r="K26" s="111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11"/>
      <c r="F28" s="12">
        <f t="shared" ref="F28:F35" si="2">D28-E28</f>
        <v>0</v>
      </c>
      <c r="H28" s="9" t="s">
        <v>18</v>
      </c>
      <c r="I28" s="10" t="s">
        <v>45</v>
      </c>
      <c r="J28" s="11"/>
      <c r="K28" s="11"/>
      <c r="L28" s="12">
        <f t="shared" ref="L28:L35" si="3">J28-K28</f>
        <v>0</v>
      </c>
    </row>
    <row r="29" spans="2:12" x14ac:dyDescent="0.2">
      <c r="B29" s="9" t="s">
        <v>143</v>
      </c>
      <c r="C29" s="10" t="s">
        <v>45</v>
      </c>
      <c r="D29" s="11"/>
      <c r="E29" s="11">
        <v>6151674.1600000001</v>
      </c>
      <c r="F29" s="12">
        <f t="shared" si="2"/>
        <v>-6151674.1600000001</v>
      </c>
      <c r="H29" s="9" t="s">
        <v>17</v>
      </c>
      <c r="I29" s="10" t="s">
        <v>45</v>
      </c>
      <c r="J29" s="11"/>
      <c r="K29" s="11"/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/>
      <c r="F30" s="12">
        <f t="shared" si="2"/>
        <v>0</v>
      </c>
      <c r="H30" s="9" t="s">
        <v>16</v>
      </c>
      <c r="I30" s="10"/>
      <c r="J30" s="11"/>
      <c r="K30" s="11"/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/>
      <c r="F31" s="12">
        <f t="shared" si="2"/>
        <v>0</v>
      </c>
      <c r="H31" s="9"/>
      <c r="I31" s="10"/>
      <c r="J31" s="11"/>
      <c r="K31" s="11"/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/>
      <c r="F32" s="12">
        <f t="shared" si="2"/>
        <v>0</v>
      </c>
      <c r="H32" s="9"/>
      <c r="I32" s="10"/>
      <c r="J32" s="11"/>
      <c r="K32" s="11"/>
      <c r="L32" s="12">
        <f t="shared" si="3"/>
        <v>0</v>
      </c>
    </row>
    <row r="33" spans="2:12" x14ac:dyDescent="0.2">
      <c r="B33" s="9"/>
      <c r="C33" s="10"/>
      <c r="D33" s="11"/>
      <c r="E33" s="11"/>
      <c r="F33" s="12">
        <f t="shared" si="2"/>
        <v>0</v>
      </c>
      <c r="H33" s="9"/>
      <c r="I33" s="10"/>
      <c r="J33" s="11"/>
      <c r="K33" s="11"/>
      <c r="L33" s="12">
        <f t="shared" si="3"/>
        <v>0</v>
      </c>
    </row>
    <row r="34" spans="2:12" x14ac:dyDescent="0.2">
      <c r="B34" s="9"/>
      <c r="C34" s="10"/>
      <c r="D34" s="11"/>
      <c r="E34" s="11"/>
      <c r="F34" s="12">
        <f t="shared" si="2"/>
        <v>0</v>
      </c>
      <c r="H34" s="9"/>
      <c r="I34" s="10"/>
      <c r="J34" s="11"/>
      <c r="K34" s="11"/>
      <c r="L34" s="12">
        <f t="shared" si="3"/>
        <v>0</v>
      </c>
    </row>
    <row r="35" spans="2:12" ht="17" thickBot="1" x14ac:dyDescent="0.25">
      <c r="B35" s="13"/>
      <c r="C35" s="40"/>
      <c r="D35" s="14"/>
      <c r="E35" s="14"/>
      <c r="F35" s="15">
        <f t="shared" si="2"/>
        <v>0</v>
      </c>
      <c r="H35" s="13"/>
      <c r="I35" s="40"/>
      <c r="J35" s="14"/>
      <c r="K35" s="14"/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6151674.1600000001</v>
      </c>
      <c r="F36" s="19">
        <f>D36-E36</f>
        <v>-6151674.1600000001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110"/>
      <c r="C37" s="110"/>
      <c r="D37" s="110"/>
      <c r="E37" s="110"/>
      <c r="G37" s="111"/>
      <c r="H37" s="111"/>
      <c r="I37" s="111"/>
      <c r="J37" s="111"/>
      <c r="K37" s="111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11"/>
      <c r="F39" s="12">
        <f t="shared" ref="F39:F45" si="4">D39-E39</f>
        <v>0</v>
      </c>
      <c r="G39" s="20"/>
      <c r="H39" s="9" t="s">
        <v>62</v>
      </c>
      <c r="I39" s="10"/>
      <c r="J39" s="11"/>
      <c r="K39" s="11"/>
      <c r="L39" s="12">
        <f t="shared" ref="L39:L45" si="5">J39-K39</f>
        <v>0</v>
      </c>
    </row>
    <row r="40" spans="2:12" x14ac:dyDescent="0.2">
      <c r="B40" s="9" t="s">
        <v>21</v>
      </c>
      <c r="C40" s="10" t="s">
        <v>45</v>
      </c>
      <c r="D40" s="11"/>
      <c r="E40" s="11"/>
      <c r="F40" s="12">
        <f t="shared" si="4"/>
        <v>0</v>
      </c>
      <c r="G40" s="20"/>
      <c r="H40" s="9" t="s">
        <v>63</v>
      </c>
      <c r="I40" s="10"/>
      <c r="J40" s="11"/>
      <c r="K40" s="11"/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/>
      <c r="F41" s="12">
        <f t="shared" si="4"/>
        <v>0</v>
      </c>
      <c r="G41" s="20"/>
      <c r="H41" s="9" t="s">
        <v>21</v>
      </c>
      <c r="I41" s="10" t="s">
        <v>45</v>
      </c>
      <c r="J41" s="11"/>
      <c r="K41" s="11"/>
      <c r="L41" s="12">
        <f t="shared" si="5"/>
        <v>0</v>
      </c>
    </row>
    <row r="42" spans="2:12" x14ac:dyDescent="0.2">
      <c r="B42" s="9" t="s">
        <v>65</v>
      </c>
      <c r="C42" s="10" t="s">
        <v>45</v>
      </c>
      <c r="D42" s="11"/>
      <c r="E42" s="11"/>
      <c r="F42" s="12">
        <f t="shared" si="4"/>
        <v>0</v>
      </c>
      <c r="G42" s="20"/>
      <c r="H42" s="9" t="s">
        <v>65</v>
      </c>
      <c r="I42" s="10" t="s">
        <v>45</v>
      </c>
      <c r="J42" s="11"/>
      <c r="K42" s="11"/>
      <c r="L42" s="12">
        <f t="shared" si="5"/>
        <v>0</v>
      </c>
    </row>
    <row r="43" spans="2:12" x14ac:dyDescent="0.2">
      <c r="B43" s="9"/>
      <c r="C43" s="10"/>
      <c r="D43" s="11"/>
      <c r="E43" s="11"/>
      <c r="F43" s="12">
        <f t="shared" si="4"/>
        <v>0</v>
      </c>
      <c r="G43" s="20"/>
      <c r="H43" s="9" t="s">
        <v>66</v>
      </c>
      <c r="I43" s="10"/>
      <c r="J43" s="11"/>
      <c r="K43" s="11"/>
      <c r="L43" s="12">
        <f t="shared" si="5"/>
        <v>0</v>
      </c>
    </row>
    <row r="44" spans="2:12" x14ac:dyDescent="0.2">
      <c r="B44" s="30"/>
      <c r="C44" s="10"/>
      <c r="D44" s="31"/>
      <c r="E44" s="31"/>
      <c r="F44" s="12">
        <f t="shared" si="4"/>
        <v>0</v>
      </c>
      <c r="G44" s="20"/>
      <c r="H44" s="30"/>
      <c r="I44" s="10"/>
      <c r="J44" s="31"/>
      <c r="K44" s="31"/>
      <c r="L44" s="12">
        <f t="shared" si="5"/>
        <v>0</v>
      </c>
    </row>
    <row r="45" spans="2:12" ht="17" thickBot="1" x14ac:dyDescent="0.25">
      <c r="B45" s="13"/>
      <c r="C45" s="40"/>
      <c r="D45" s="14"/>
      <c r="E45" s="14"/>
      <c r="F45" s="15">
        <f t="shared" si="4"/>
        <v>0</v>
      </c>
      <c r="G45" s="20"/>
      <c r="H45" s="13"/>
      <c r="I45" s="40"/>
      <c r="J45" s="14"/>
      <c r="K45" s="14"/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42"/>
      <c r="C47" s="42"/>
      <c r="D47" s="42"/>
      <c r="E47" s="42"/>
      <c r="G47" s="42"/>
      <c r="H47" s="42"/>
      <c r="I47" s="42"/>
      <c r="J47" s="42"/>
      <c r="K47" s="42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11"/>
      <c r="F49" s="12">
        <f t="shared" ref="F49:F54" si="6">D49-E49</f>
        <v>0</v>
      </c>
      <c r="G49" s="20"/>
      <c r="H49" s="9" t="s">
        <v>23</v>
      </c>
      <c r="I49" s="10" t="s">
        <v>45</v>
      </c>
      <c r="J49" s="11"/>
      <c r="K49" s="11"/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/>
      <c r="F50" s="12">
        <f t="shared" si="6"/>
        <v>0</v>
      </c>
      <c r="G50" s="20"/>
      <c r="H50" s="9" t="s">
        <v>24</v>
      </c>
      <c r="I50" s="10" t="s">
        <v>45</v>
      </c>
      <c r="J50" s="11"/>
      <c r="K50" s="11"/>
      <c r="L50" s="12">
        <f t="shared" si="7"/>
        <v>0</v>
      </c>
    </row>
    <row r="51" spans="2:12" x14ac:dyDescent="0.2">
      <c r="B51" s="9"/>
      <c r="C51" s="10"/>
      <c r="D51" s="11"/>
      <c r="E51" s="11"/>
      <c r="F51" s="12">
        <f t="shared" si="6"/>
        <v>0</v>
      </c>
      <c r="G51" s="20"/>
      <c r="H51" s="9" t="s">
        <v>70</v>
      </c>
      <c r="I51" s="10" t="s">
        <v>45</v>
      </c>
      <c r="J51" s="39"/>
      <c r="K51" s="11"/>
      <c r="L51" s="12">
        <f t="shared" si="7"/>
        <v>0</v>
      </c>
    </row>
    <row r="52" spans="2:12" x14ac:dyDescent="0.2">
      <c r="B52" s="9"/>
      <c r="C52" s="10"/>
      <c r="D52" s="11"/>
      <c r="E52" s="11"/>
      <c r="F52" s="12">
        <f t="shared" si="6"/>
        <v>0</v>
      </c>
      <c r="G52" s="20"/>
      <c r="H52" s="9" t="s">
        <v>71</v>
      </c>
      <c r="I52" s="10" t="s">
        <v>45</v>
      </c>
      <c r="J52" s="11"/>
      <c r="K52" s="11"/>
      <c r="L52" s="12">
        <f t="shared" si="7"/>
        <v>0</v>
      </c>
    </row>
    <row r="53" spans="2:12" x14ac:dyDescent="0.2">
      <c r="B53" s="9"/>
      <c r="C53" s="10"/>
      <c r="D53" s="11"/>
      <c r="E53" s="11"/>
      <c r="F53" s="12">
        <f t="shared" si="6"/>
        <v>0</v>
      </c>
      <c r="G53" s="20"/>
      <c r="H53" s="9"/>
      <c r="I53" s="10"/>
      <c r="J53" s="11"/>
      <c r="K53" s="11"/>
      <c r="L53" s="12">
        <f t="shared" si="7"/>
        <v>0</v>
      </c>
    </row>
    <row r="54" spans="2:12" ht="17" thickBot="1" x14ac:dyDescent="0.25">
      <c r="B54" s="13"/>
      <c r="C54" s="40"/>
      <c r="D54" s="14"/>
      <c r="E54" s="14"/>
      <c r="F54" s="15">
        <f t="shared" si="6"/>
        <v>0</v>
      </c>
      <c r="G54" s="20"/>
      <c r="H54" s="13"/>
      <c r="I54" s="40"/>
      <c r="J54" s="14"/>
      <c r="K54" s="14"/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110"/>
      <c r="C56" s="110"/>
      <c r="D56" s="110"/>
      <c r="E56" s="110"/>
      <c r="G56" s="111"/>
      <c r="H56" s="111"/>
      <c r="I56" s="111"/>
      <c r="J56" s="111"/>
      <c r="K56" s="111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 t="s">
        <v>45</v>
      </c>
      <c r="D58" s="11"/>
      <c r="E58" s="11"/>
      <c r="F58" s="12">
        <f>D58-E58</f>
        <v>0</v>
      </c>
      <c r="G58" s="20"/>
      <c r="H58" s="9" t="s">
        <v>26</v>
      </c>
      <c r="I58" s="10" t="s">
        <v>45</v>
      </c>
      <c r="J58" s="11"/>
      <c r="K58" s="11"/>
      <c r="L58" s="12">
        <f t="shared" ref="L58:L64" si="8">J58-K58</f>
        <v>0</v>
      </c>
    </row>
    <row r="59" spans="2:12" x14ac:dyDescent="0.2">
      <c r="B59" s="9" t="s">
        <v>74</v>
      </c>
      <c r="C59" s="10" t="s">
        <v>45</v>
      </c>
      <c r="D59" s="11"/>
      <c r="E59" s="11"/>
      <c r="F59" s="12">
        <f t="shared" ref="F59:F64" si="9">D59-E59</f>
        <v>0</v>
      </c>
      <c r="G59" s="20"/>
      <c r="H59" s="9" t="s">
        <v>75</v>
      </c>
      <c r="I59" s="10" t="s">
        <v>45</v>
      </c>
      <c r="J59" s="11"/>
      <c r="K59" s="11"/>
      <c r="L59" s="12">
        <f t="shared" si="8"/>
        <v>0</v>
      </c>
    </row>
    <row r="60" spans="2:12" x14ac:dyDescent="0.2">
      <c r="B60" s="9" t="s">
        <v>76</v>
      </c>
      <c r="C60" s="10" t="s">
        <v>45</v>
      </c>
      <c r="D60" s="11"/>
      <c r="E60" s="11"/>
      <c r="F60" s="12">
        <f t="shared" si="9"/>
        <v>0</v>
      </c>
      <c r="G60" s="20"/>
      <c r="H60" s="9" t="s">
        <v>77</v>
      </c>
      <c r="I60" s="10"/>
      <c r="J60" s="11"/>
      <c r="K60" s="11"/>
      <c r="L60" s="12">
        <f t="shared" si="8"/>
        <v>0</v>
      </c>
    </row>
    <row r="61" spans="2:12" x14ac:dyDescent="0.2">
      <c r="B61" s="30"/>
      <c r="C61" s="10"/>
      <c r="D61" s="31"/>
      <c r="E61" s="31"/>
      <c r="F61" s="12">
        <f>D61-E61</f>
        <v>0</v>
      </c>
      <c r="G61" s="20"/>
      <c r="H61" s="9" t="s">
        <v>78</v>
      </c>
      <c r="I61" s="10"/>
      <c r="J61" s="31"/>
      <c r="K61" s="31"/>
      <c r="L61" s="12">
        <f t="shared" si="8"/>
        <v>0</v>
      </c>
    </row>
    <row r="62" spans="2:12" x14ac:dyDescent="0.2">
      <c r="B62" s="30"/>
      <c r="C62" s="10"/>
      <c r="D62" s="31"/>
      <c r="E62" s="31"/>
      <c r="F62" s="12">
        <f t="shared" si="9"/>
        <v>0</v>
      </c>
      <c r="G62" s="20"/>
      <c r="H62" s="9" t="s">
        <v>79</v>
      </c>
      <c r="I62" s="10"/>
      <c r="J62" s="31"/>
      <c r="K62" s="31"/>
      <c r="L62" s="12">
        <f t="shared" si="8"/>
        <v>0</v>
      </c>
    </row>
    <row r="63" spans="2:12" x14ac:dyDescent="0.2">
      <c r="B63" s="30"/>
      <c r="C63" s="10"/>
      <c r="D63" s="31"/>
      <c r="E63" s="31"/>
      <c r="F63" s="12">
        <f t="shared" si="9"/>
        <v>0</v>
      </c>
      <c r="G63" s="20"/>
      <c r="H63" s="30"/>
      <c r="I63" s="10"/>
      <c r="J63" s="31"/>
      <c r="K63" s="31"/>
      <c r="L63" s="12">
        <f t="shared" si="8"/>
        <v>0</v>
      </c>
    </row>
    <row r="64" spans="2:12" ht="17" thickBot="1" x14ac:dyDescent="0.25">
      <c r="B64" s="13"/>
      <c r="C64" s="40"/>
      <c r="D64" s="14"/>
      <c r="E64" s="14"/>
      <c r="F64" s="15">
        <f t="shared" si="9"/>
        <v>0</v>
      </c>
      <c r="G64" s="20"/>
      <c r="H64" s="13"/>
      <c r="I64" s="40"/>
      <c r="J64" s="14"/>
      <c r="K64" s="14"/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119"/>
      <c r="C66" s="119"/>
      <c r="D66" s="119"/>
      <c r="E66" s="119"/>
      <c r="F66" s="21"/>
      <c r="G66" s="20"/>
      <c r="H66" s="22"/>
      <c r="I66" s="22"/>
      <c r="J66" s="21"/>
      <c r="K66" s="21"/>
      <c r="L66" s="21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 t="s">
        <v>45</v>
      </c>
      <c r="D68" s="11"/>
      <c r="E68" s="11"/>
      <c r="F68" s="12">
        <f t="shared" ref="F68:F78" si="10">D68-E68</f>
        <v>0</v>
      </c>
      <c r="G68" s="20"/>
      <c r="H68" s="9" t="s">
        <v>26</v>
      </c>
      <c r="I68" s="10" t="s">
        <v>45</v>
      </c>
      <c r="J68" s="11"/>
      <c r="K68" s="11"/>
      <c r="L68" s="12">
        <f>J68-K68</f>
        <v>0</v>
      </c>
    </row>
    <row r="69" spans="2:12" x14ac:dyDescent="0.2">
      <c r="B69" s="9" t="s">
        <v>80</v>
      </c>
      <c r="C69" s="10"/>
      <c r="D69" s="11"/>
      <c r="E69" s="11"/>
      <c r="F69" s="12">
        <f t="shared" si="10"/>
        <v>0</v>
      </c>
      <c r="G69" s="20"/>
      <c r="H69" s="9" t="s">
        <v>81</v>
      </c>
      <c r="I69" s="10" t="s">
        <v>45</v>
      </c>
      <c r="J69" s="11"/>
      <c r="K69" s="11"/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/>
      <c r="F70" s="12">
        <f>D70-E70</f>
        <v>0</v>
      </c>
      <c r="G70" s="20"/>
      <c r="H70" s="9" t="s">
        <v>31</v>
      </c>
      <c r="I70" s="10" t="s">
        <v>45</v>
      </c>
      <c r="J70" s="11"/>
      <c r="K70" s="11"/>
      <c r="L70" s="12">
        <f>J70-K70</f>
        <v>0</v>
      </c>
    </row>
    <row r="71" spans="2:12" x14ac:dyDescent="0.2">
      <c r="B71" s="9" t="s">
        <v>83</v>
      </c>
      <c r="C71" s="10"/>
      <c r="D71" s="11"/>
      <c r="E71" s="11"/>
      <c r="F71" s="12">
        <f t="shared" si="10"/>
        <v>0</v>
      </c>
      <c r="G71" s="20"/>
      <c r="H71" s="9" t="s">
        <v>84</v>
      </c>
      <c r="I71" s="10"/>
      <c r="J71" s="11"/>
      <c r="K71" s="11"/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/>
      <c r="F72" s="12">
        <f t="shared" si="10"/>
        <v>0</v>
      </c>
      <c r="G72" s="20"/>
      <c r="H72" s="9"/>
      <c r="I72" s="10"/>
      <c r="J72" s="11"/>
      <c r="K72" s="11"/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/>
      <c r="F73" s="12">
        <f t="shared" si="10"/>
        <v>0</v>
      </c>
      <c r="G73" s="20"/>
      <c r="H73" s="9"/>
      <c r="I73" s="10"/>
      <c r="J73" s="11"/>
      <c r="K73" s="11"/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/>
      <c r="F74" s="12">
        <f t="shared" si="10"/>
        <v>0</v>
      </c>
      <c r="G74" s="20"/>
      <c r="H74" s="9"/>
      <c r="I74" s="10"/>
      <c r="J74" s="11"/>
      <c r="K74" s="11"/>
      <c r="L74" s="12">
        <f>J74-K74</f>
        <v>0</v>
      </c>
    </row>
    <row r="75" spans="2:12" x14ac:dyDescent="0.2">
      <c r="B75" s="30"/>
      <c r="C75" s="10"/>
      <c r="D75" s="31"/>
      <c r="E75" s="31"/>
      <c r="F75" s="12">
        <f t="shared" si="10"/>
        <v>0</v>
      </c>
      <c r="G75" s="20"/>
      <c r="H75" s="30"/>
      <c r="I75" s="10"/>
      <c r="J75" s="31"/>
      <c r="K75" s="31"/>
      <c r="L75" s="12">
        <f t="shared" si="11"/>
        <v>0</v>
      </c>
    </row>
    <row r="76" spans="2:12" x14ac:dyDescent="0.2">
      <c r="B76" s="30"/>
      <c r="C76" s="10"/>
      <c r="D76" s="31"/>
      <c r="E76" s="31"/>
      <c r="F76" s="12">
        <f t="shared" si="10"/>
        <v>0</v>
      </c>
      <c r="G76" s="20"/>
      <c r="H76" s="30"/>
      <c r="I76" s="10"/>
      <c r="J76" s="31"/>
      <c r="K76" s="31"/>
      <c r="L76" s="12">
        <f t="shared" si="11"/>
        <v>0</v>
      </c>
    </row>
    <row r="77" spans="2:12" x14ac:dyDescent="0.2">
      <c r="B77" s="30"/>
      <c r="C77" s="10"/>
      <c r="D77" s="31"/>
      <c r="E77" s="31"/>
      <c r="F77" s="12">
        <f t="shared" si="10"/>
        <v>0</v>
      </c>
      <c r="G77" s="20"/>
      <c r="H77" s="30"/>
      <c r="I77" s="10"/>
      <c r="J77" s="31"/>
      <c r="K77" s="31"/>
      <c r="L77" s="12">
        <f t="shared" si="11"/>
        <v>0</v>
      </c>
    </row>
    <row r="78" spans="2:12" ht="17" thickBot="1" x14ac:dyDescent="0.25">
      <c r="B78" s="13"/>
      <c r="C78" s="40"/>
      <c r="D78" s="14"/>
      <c r="E78" s="14"/>
      <c r="F78" s="15">
        <f t="shared" si="10"/>
        <v>0</v>
      </c>
      <c r="G78" s="20"/>
      <c r="H78" s="13"/>
      <c r="I78" s="40"/>
      <c r="J78" s="14"/>
      <c r="K78" s="14"/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119"/>
      <c r="C80" s="119"/>
      <c r="D80" s="119"/>
      <c r="E80" s="119"/>
      <c r="F80" s="21"/>
      <c r="G80" s="20"/>
      <c r="H80" s="20"/>
      <c r="I80" s="20"/>
      <c r="J80" s="20"/>
      <c r="K80" s="20"/>
      <c r="L80" s="20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88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/>
      <c r="F82" s="12">
        <f>D82-E82</f>
        <v>0</v>
      </c>
      <c r="G82" s="20"/>
      <c r="H82" s="9"/>
      <c r="I82" s="10"/>
      <c r="J82" s="11"/>
      <c r="K82" s="11"/>
      <c r="L82" s="12">
        <f>J82-K82</f>
        <v>0</v>
      </c>
    </row>
    <row r="83" spans="2:12" x14ac:dyDescent="0.2">
      <c r="B83" s="9" t="s">
        <v>33</v>
      </c>
      <c r="C83" s="10" t="s">
        <v>45</v>
      </c>
      <c r="D83" s="11"/>
      <c r="E83" s="11"/>
      <c r="F83" s="12">
        <f t="shared" ref="F83:F87" si="12">D83-E83</f>
        <v>0</v>
      </c>
      <c r="G83" s="20"/>
      <c r="H83" s="9"/>
      <c r="I83" s="10"/>
      <c r="J83" s="11"/>
      <c r="K83" s="11"/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/>
      <c r="F84" s="12">
        <f t="shared" si="12"/>
        <v>0</v>
      </c>
      <c r="G84" s="20"/>
      <c r="H84" s="9"/>
      <c r="I84" s="10"/>
      <c r="J84" s="11"/>
      <c r="K84" s="11"/>
      <c r="L84" s="12">
        <f>J84-K84</f>
        <v>0</v>
      </c>
    </row>
    <row r="85" spans="2:12" x14ac:dyDescent="0.2">
      <c r="B85" s="9" t="s">
        <v>73</v>
      </c>
      <c r="C85" s="10" t="s">
        <v>45</v>
      </c>
      <c r="D85" s="11"/>
      <c r="E85" s="11"/>
      <c r="F85" s="12">
        <f>D85-E85</f>
        <v>0</v>
      </c>
      <c r="G85" s="20"/>
      <c r="H85" s="9"/>
      <c r="I85" s="10"/>
      <c r="J85" s="11"/>
      <c r="K85" s="11"/>
      <c r="L85" s="12">
        <f t="shared" si="13"/>
        <v>0</v>
      </c>
    </row>
    <row r="86" spans="2:12" x14ac:dyDescent="0.2">
      <c r="B86" s="9"/>
      <c r="C86" s="10"/>
      <c r="D86" s="11"/>
      <c r="E86" s="11"/>
      <c r="F86" s="12">
        <f t="shared" si="12"/>
        <v>0</v>
      </c>
      <c r="G86" s="20"/>
      <c r="H86" s="9"/>
      <c r="I86" s="10"/>
      <c r="J86" s="11"/>
      <c r="K86" s="11"/>
      <c r="L86" s="12">
        <f t="shared" si="13"/>
        <v>0</v>
      </c>
    </row>
    <row r="87" spans="2:12" ht="17" thickBot="1" x14ac:dyDescent="0.25">
      <c r="B87" s="13"/>
      <c r="C87" s="40"/>
      <c r="D87" s="14"/>
      <c r="E87" s="14"/>
      <c r="F87" s="15">
        <f t="shared" si="12"/>
        <v>0</v>
      </c>
      <c r="G87" s="20"/>
      <c r="H87" s="13"/>
      <c r="I87" s="40"/>
      <c r="J87" s="14"/>
      <c r="K87" s="14"/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119"/>
      <c r="C89" s="119"/>
      <c r="D89" s="119"/>
      <c r="E89" s="119"/>
      <c r="F89" s="21"/>
      <c r="G89" s="20"/>
      <c r="H89" s="22"/>
      <c r="I89" s="22"/>
      <c r="J89" s="21"/>
      <c r="K89" s="21"/>
      <c r="L89" s="21"/>
    </row>
    <row r="90" spans="2:12" x14ac:dyDescent="0.2">
      <c r="B90" s="55" t="s">
        <v>88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88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/>
      <c r="C91" s="10"/>
      <c r="D91" s="11"/>
      <c r="E91" s="11"/>
      <c r="F91" s="12">
        <f>D91-E91</f>
        <v>0</v>
      </c>
      <c r="G91" s="20"/>
      <c r="H91" s="9"/>
      <c r="I91" s="10"/>
      <c r="J91" s="11"/>
      <c r="K91" s="11"/>
      <c r="L91" s="12">
        <f t="shared" ref="L91:L97" si="14">J91-K91</f>
        <v>0</v>
      </c>
    </row>
    <row r="92" spans="2:12" x14ac:dyDescent="0.2">
      <c r="B92" s="9"/>
      <c r="C92" s="10"/>
      <c r="D92" s="11"/>
      <c r="E92" s="11"/>
      <c r="F92" s="12">
        <f t="shared" ref="F92:F97" si="15">D92-E92</f>
        <v>0</v>
      </c>
      <c r="G92" s="20"/>
      <c r="H92" s="9"/>
      <c r="I92" s="10"/>
      <c r="J92" s="11"/>
      <c r="K92" s="11"/>
      <c r="L92" s="12">
        <f t="shared" si="14"/>
        <v>0</v>
      </c>
    </row>
    <row r="93" spans="2:12" x14ac:dyDescent="0.2">
      <c r="B93" s="9"/>
      <c r="C93" s="10"/>
      <c r="D93" s="11"/>
      <c r="E93" s="11"/>
      <c r="F93" s="12">
        <f t="shared" si="15"/>
        <v>0</v>
      </c>
      <c r="G93" s="20"/>
      <c r="H93" s="9"/>
      <c r="I93" s="10"/>
      <c r="J93" s="11"/>
      <c r="K93" s="11"/>
      <c r="L93" s="12">
        <f>J93-K93</f>
        <v>0</v>
      </c>
    </row>
    <row r="94" spans="2:12" x14ac:dyDescent="0.2">
      <c r="B94" s="9"/>
      <c r="C94" s="10"/>
      <c r="D94" s="11"/>
      <c r="E94" s="11"/>
      <c r="F94" s="12">
        <f t="shared" si="15"/>
        <v>0</v>
      </c>
      <c r="G94" s="20"/>
      <c r="H94" s="9"/>
      <c r="I94" s="10"/>
      <c r="J94" s="11"/>
      <c r="K94" s="11"/>
      <c r="L94" s="12">
        <f t="shared" si="14"/>
        <v>0</v>
      </c>
    </row>
    <row r="95" spans="2:12" x14ac:dyDescent="0.2">
      <c r="B95" s="9"/>
      <c r="C95" s="10"/>
      <c r="D95" s="11"/>
      <c r="E95" s="11"/>
      <c r="F95" s="12">
        <f>D95-E95</f>
        <v>0</v>
      </c>
      <c r="G95" s="20"/>
      <c r="H95" s="9"/>
      <c r="I95" s="10"/>
      <c r="J95" s="11"/>
      <c r="K95" s="11"/>
      <c r="L95" s="12">
        <f t="shared" si="14"/>
        <v>0</v>
      </c>
    </row>
    <row r="96" spans="2:12" x14ac:dyDescent="0.2">
      <c r="B96" s="9"/>
      <c r="C96" s="10"/>
      <c r="D96" s="11"/>
      <c r="E96" s="11"/>
      <c r="F96" s="12">
        <f t="shared" si="15"/>
        <v>0</v>
      </c>
      <c r="G96" s="20"/>
      <c r="H96" s="9"/>
      <c r="I96" s="10"/>
      <c r="J96" s="11"/>
      <c r="K96" s="11"/>
      <c r="L96" s="12">
        <f>J96-K96</f>
        <v>0</v>
      </c>
    </row>
    <row r="97" spans="2:12" ht="17" thickBot="1" x14ac:dyDescent="0.25">
      <c r="B97" s="13"/>
      <c r="C97" s="40"/>
      <c r="D97" s="14"/>
      <c r="E97" s="14"/>
      <c r="F97" s="15">
        <f t="shared" si="15"/>
        <v>0</v>
      </c>
      <c r="G97" s="20"/>
      <c r="H97" s="13"/>
      <c r="I97" s="40"/>
      <c r="J97" s="14"/>
      <c r="K97" s="14"/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H99" s="23"/>
      <c r="I99" s="23"/>
    </row>
    <row r="100" spans="2:12" x14ac:dyDescent="0.2">
      <c r="B100" s="55" t="s">
        <v>88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88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/>
      <c r="C101" s="10"/>
      <c r="D101" s="11"/>
      <c r="E101" s="11"/>
      <c r="F101" s="12">
        <f>D101-E101</f>
        <v>0</v>
      </c>
      <c r="G101" s="20"/>
      <c r="H101" s="9"/>
      <c r="I101" s="10"/>
      <c r="J101" s="11"/>
      <c r="K101" s="11"/>
      <c r="L101" s="12">
        <f>J101-K101</f>
        <v>0</v>
      </c>
    </row>
    <row r="102" spans="2:12" x14ac:dyDescent="0.2">
      <c r="B102" s="9"/>
      <c r="C102" s="10"/>
      <c r="D102" s="11"/>
      <c r="E102" s="11"/>
      <c r="F102" s="12">
        <f t="shared" ref="F102:F106" si="16">D102-E102</f>
        <v>0</v>
      </c>
      <c r="G102" s="20"/>
      <c r="H102" s="9"/>
      <c r="I102" s="10"/>
      <c r="J102" s="11"/>
      <c r="K102" s="11"/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/>
      <c r="F103" s="12">
        <f t="shared" si="16"/>
        <v>0</v>
      </c>
      <c r="G103" s="20"/>
      <c r="H103" s="9"/>
      <c r="I103" s="10"/>
      <c r="J103" s="11"/>
      <c r="K103" s="11"/>
      <c r="L103" s="12">
        <f t="shared" si="17"/>
        <v>0</v>
      </c>
    </row>
    <row r="104" spans="2:12" x14ac:dyDescent="0.2">
      <c r="B104" s="9"/>
      <c r="C104" s="10"/>
      <c r="D104" s="11"/>
      <c r="E104" s="11"/>
      <c r="F104" s="12">
        <f t="shared" si="16"/>
        <v>0</v>
      </c>
      <c r="G104" s="20"/>
      <c r="H104" s="9"/>
      <c r="I104" s="10"/>
      <c r="J104" s="11"/>
      <c r="K104" s="11"/>
      <c r="L104" s="12">
        <f t="shared" si="17"/>
        <v>0</v>
      </c>
    </row>
    <row r="105" spans="2:12" x14ac:dyDescent="0.2">
      <c r="B105" s="9"/>
      <c r="C105" s="10"/>
      <c r="D105" s="11"/>
      <c r="E105" s="11"/>
      <c r="F105" s="12">
        <f t="shared" si="16"/>
        <v>0</v>
      </c>
      <c r="G105" s="20"/>
      <c r="H105" s="9"/>
      <c r="I105" s="10"/>
      <c r="J105" s="11"/>
      <c r="K105" s="11"/>
      <c r="L105" s="12">
        <f t="shared" si="17"/>
        <v>0</v>
      </c>
    </row>
    <row r="106" spans="2:12" x14ac:dyDescent="0.2">
      <c r="B106" s="9"/>
      <c r="C106" s="10"/>
      <c r="D106" s="11"/>
      <c r="E106" s="11"/>
      <c r="F106" s="12">
        <f t="shared" si="16"/>
        <v>0</v>
      </c>
      <c r="G106" s="20"/>
      <c r="H106" s="9"/>
      <c r="I106" s="10"/>
      <c r="J106" s="11"/>
      <c r="K106" s="11"/>
      <c r="L106" s="12">
        <f t="shared" si="17"/>
        <v>0</v>
      </c>
    </row>
    <row r="107" spans="2:12" ht="17" thickBot="1" x14ac:dyDescent="0.25">
      <c r="B107" s="13"/>
      <c r="C107" s="40"/>
      <c r="D107" s="14"/>
      <c r="E107" s="14"/>
      <c r="F107" s="15">
        <f>D107-E107</f>
        <v>0</v>
      </c>
      <c r="G107" s="20"/>
      <c r="H107" s="13"/>
      <c r="I107" s="40"/>
      <c r="J107" s="14"/>
      <c r="K107" s="14"/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17">
    <mergeCell ref="B66:E66"/>
    <mergeCell ref="B80:E80"/>
    <mergeCell ref="B89:E89"/>
    <mergeCell ref="B26:E26"/>
    <mergeCell ref="G26:K26"/>
    <mergeCell ref="B37:E37"/>
    <mergeCell ref="G37:K37"/>
    <mergeCell ref="B56:E56"/>
    <mergeCell ref="G56:K56"/>
    <mergeCell ref="B4:B10"/>
    <mergeCell ref="C4:D4"/>
    <mergeCell ref="C5:D5"/>
    <mergeCell ref="C6:D6"/>
    <mergeCell ref="C7:D7"/>
    <mergeCell ref="C8:D8"/>
    <mergeCell ref="C9:D9"/>
    <mergeCell ref="C10:D10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ACB4CB4-D160-104A-A3E3-B2A5C0EDA12C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8DA2F41E-557E-0443-8883-A14D0C239EF1}">
          <x14:formula1>
            <xm:f>'Master data'!$I$4:$I$4</xm:f>
          </x14:formula1>
          <xm:sqref>C13:C24 C28:C35 C101:C107 I91:I97 I28:I35 I13:I24 I39:I45 C49:C54 I49:I54 C39:C45 I58:I64 C58:C64 I82:I87 C68:C78 I68:I78 C91:C97 I101:I107 C82:C87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EF7522"/>
    <pageSetUpPr autoPageBreaks="0" fitToPage="1"/>
  </sheetPr>
  <dimension ref="B1:U110"/>
  <sheetViews>
    <sheetView showGridLines="0" topLeftCell="A10" zoomScale="120" zoomScaleNormal="120" zoomScalePageLayoutView="80" workbookViewId="0">
      <selection activeCell="J22" sqref="J22:J24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7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151</v>
      </c>
      <c r="D4" s="118"/>
      <c r="E4" s="8">
        <v>9714500</v>
      </c>
      <c r="F4" s="104"/>
      <c r="G4" s="105"/>
      <c r="H4" s="7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 t="s">
        <v>150</v>
      </c>
      <c r="D5" s="114"/>
      <c r="E5" s="8">
        <v>5074509</v>
      </c>
      <c r="F5" s="105"/>
      <c r="G5"/>
      <c r="H5" s="5" t="s">
        <v>177</v>
      </c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 t="s">
        <v>157</v>
      </c>
      <c r="D6" s="114"/>
      <c r="E6" s="8">
        <v>100000</v>
      </c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 t="s">
        <v>158</v>
      </c>
      <c r="D7" s="114"/>
      <c r="E7" s="8">
        <v>100000</v>
      </c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 t="s">
        <v>174</v>
      </c>
      <c r="D8" s="114"/>
      <c r="E8" s="8">
        <v>400000</v>
      </c>
      <c r="F8" s="5"/>
      <c r="G8" s="7"/>
      <c r="H8" s="7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15389009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SUMIFS('Enero - registro gastos'!$D$3:$D$300,'Enero - registro gastos'!$E$3:$E$300,Ene!$B$12,'Enero - registro gastos'!$F$3:$F$300,Ene!B13)</f>
        <v>0</v>
      </c>
      <c r="F13" s="12">
        <f>D13-E13</f>
        <v>0</v>
      </c>
      <c r="H13" s="9" t="s">
        <v>99</v>
      </c>
      <c r="I13" s="10" t="s">
        <v>45</v>
      </c>
      <c r="J13" s="11">
        <v>400000</v>
      </c>
      <c r="K13" s="59">
        <f>SUMIFS('Enero - registro gastos'!$D$3:$D$300,'Enero - registro gastos'!$E$3:$E$300,Ene!$H$12,'Enero - registro gastos'!$F$3:$F$300,Ene!H13)</f>
        <v>0</v>
      </c>
      <c r="L13" s="12">
        <f t="shared" ref="L13:L25" si="0">J13-K13</f>
        <v>400000</v>
      </c>
    </row>
    <row r="14" spans="2:21" x14ac:dyDescent="0.2">
      <c r="B14" s="9" t="s">
        <v>46</v>
      </c>
      <c r="C14" s="10"/>
      <c r="D14" s="11">
        <v>78000</v>
      </c>
      <c r="E14" s="59">
        <f>SUMIFS('Enero - registro gastos'!$D$3:$D$300,'Enero - registro gastos'!$E$3:$E$300,Ene!$B$12,'Enero - registro gastos'!$F$3:$F$300,Ene!B14)</f>
        <v>77988</v>
      </c>
      <c r="F14" s="12">
        <f t="shared" ref="F14:F25" si="1">D14-E14</f>
        <v>12</v>
      </c>
      <c r="H14" s="9" t="s">
        <v>133</v>
      </c>
      <c r="I14" s="10" t="s">
        <v>45</v>
      </c>
      <c r="J14" s="11"/>
      <c r="K14" s="11">
        <f>SUMIFS('Enero - registro gastos'!$D$3:$D$300,'Enero - registro gastos'!$E$3:$E$300,Ene!$H$12,'Enero - registro gastos'!$F$3:$F$300,Ene!H14)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SUMIFS('Enero - registro gastos'!$D$3:$D$300,'Enero - registro gastos'!$E$3:$E$300,Ene!$B$12,'Enero - registro gastos'!$F$3:$F$300,Ene!B15)</f>
        <v>0</v>
      </c>
      <c r="F15" s="12">
        <f t="shared" si="1"/>
        <v>0</v>
      </c>
      <c r="H15" s="9" t="s">
        <v>140</v>
      </c>
      <c r="I15" s="10" t="s">
        <v>45</v>
      </c>
      <c r="J15" s="108">
        <f>100000+1750000</f>
        <v>1850000</v>
      </c>
      <c r="K15" s="11">
        <f>SUMIFS('Enero - registro gastos'!$D$3:$D$300,'Enero - registro gastos'!$E$3:$E$300,Ene!$H$12,'Enero - registro gastos'!$F$3:$F$300,Ene!H15)</f>
        <v>0</v>
      </c>
      <c r="L15" s="12">
        <f t="shared" si="0"/>
        <v>1850000</v>
      </c>
    </row>
    <row r="16" spans="2:21" x14ac:dyDescent="0.2">
      <c r="B16" s="9" t="s">
        <v>48</v>
      </c>
      <c r="C16" s="10"/>
      <c r="D16" s="11"/>
      <c r="E16" s="59">
        <f>SUMIFS('Enero - registro gastos'!$D$3:$D$300,'Enero - registro gastos'!$E$3:$E$300,Ene!$B$12,'Enero - registro gastos'!$F$3:$F$300,Ene!B16)</f>
        <v>0</v>
      </c>
      <c r="F16" s="12">
        <f t="shared" si="1"/>
        <v>0</v>
      </c>
      <c r="H16" s="9" t="s">
        <v>134</v>
      </c>
      <c r="I16" s="10" t="s">
        <v>45</v>
      </c>
      <c r="J16" s="11">
        <f>100*Resumen!C2</f>
        <v>385000</v>
      </c>
      <c r="K16" s="11">
        <f>SUMIFS('Enero - registro gastos'!$D$3:$D$300,'Enero - registro gastos'!$E$3:$E$300,Ene!$H$12,'Enero - registro gastos'!$F$3:$F$300,Ene!H16)</f>
        <v>0</v>
      </c>
      <c r="L16" s="12">
        <f t="shared" si="0"/>
        <v>385000</v>
      </c>
    </row>
    <row r="17" spans="2:12" x14ac:dyDescent="0.2">
      <c r="B17" s="9" t="s">
        <v>49</v>
      </c>
      <c r="C17" s="10"/>
      <c r="D17" s="11">
        <v>15000</v>
      </c>
      <c r="E17" s="59">
        <f>SUMIFS('Enero - registro gastos'!$D$3:$D$300,'Enero - registro gastos'!$E$3:$E$300,Ene!$B$12,'Enero - registro gastos'!$F$3:$F$300,Ene!B17)</f>
        <v>0</v>
      </c>
      <c r="F17" s="12">
        <f t="shared" si="1"/>
        <v>15000</v>
      </c>
      <c r="H17" s="9" t="s">
        <v>135</v>
      </c>
      <c r="I17" s="10" t="s">
        <v>45</v>
      </c>
      <c r="J17" s="11">
        <f>200*Resumen!C2</f>
        <v>770000</v>
      </c>
      <c r="K17" s="11">
        <f>SUMIFS('Enero - registro gastos'!$D$3:$D$300,'Enero - registro gastos'!$E$3:$E$300,Ene!$H$12,'Enero - registro gastos'!$F$3:$F$300,Ene!H17)</f>
        <v>0</v>
      </c>
      <c r="L17" s="12">
        <f t="shared" si="0"/>
        <v>770000</v>
      </c>
    </row>
    <row r="18" spans="2:12" x14ac:dyDescent="0.2">
      <c r="B18" s="9" t="s">
        <v>50</v>
      </c>
      <c r="C18" s="10"/>
      <c r="D18" s="11">
        <v>140000</v>
      </c>
      <c r="E18" s="59">
        <f>SUMIFS('Enero - registro gastos'!$D$3:$D$300,'Enero - registro gastos'!$E$3:$E$300,Ene!$B$12,'Enero - registro gastos'!$F$3:$F$300,Ene!B18)</f>
        <v>142988</v>
      </c>
      <c r="F18" s="12">
        <f t="shared" si="1"/>
        <v>-2988</v>
      </c>
      <c r="H18" s="9" t="s">
        <v>136</v>
      </c>
      <c r="I18" s="10" t="s">
        <v>45</v>
      </c>
      <c r="J18" s="11">
        <v>336000</v>
      </c>
      <c r="K18" s="11">
        <f>SUMIFS('Enero - registro gastos'!$D$3:$D$300,'Enero - registro gastos'!$E$3:$E$300,Ene!$H$12,'Enero - registro gastos'!$F$3:$F$300,Ene!H18)</f>
        <v>0</v>
      </c>
      <c r="L18" s="12">
        <f t="shared" si="0"/>
        <v>336000</v>
      </c>
    </row>
    <row r="19" spans="2:12" x14ac:dyDescent="0.2">
      <c r="B19" s="9" t="s">
        <v>51</v>
      </c>
      <c r="C19" s="10"/>
      <c r="D19" s="11">
        <v>300000</v>
      </c>
      <c r="E19" s="59">
        <f>SUMIFS('Enero - registro gastos'!$D$3:$D$300,'Enero - registro gastos'!$E$3:$E$300,Ene!$B$12,'Enero - registro gastos'!$F$3:$F$300,Ene!B19)</f>
        <v>0</v>
      </c>
      <c r="F19" s="12">
        <f t="shared" si="1"/>
        <v>300000</v>
      </c>
      <c r="H19" s="9" t="s">
        <v>137</v>
      </c>
      <c r="I19" s="10" t="s">
        <v>45</v>
      </c>
      <c r="J19" s="106">
        <v>0</v>
      </c>
      <c r="K19" s="11">
        <f>SUMIFS('Enero - registro gastos'!$D$3:$D$300,'Enero - registro gastos'!$E$3:$E$300,Ene!$H$12,'Enero - registro gastos'!$F$3:$F$300,Ene!H19)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>
        <v>200000</v>
      </c>
      <c r="E20" s="59">
        <f>SUMIFS('Enero - registro gastos'!$D$3:$D$300,'Enero - registro gastos'!$E$3:$E$300,Ene!$B$12,'Enero - registro gastos'!$F$3:$F$300,Ene!B20)</f>
        <v>0</v>
      </c>
      <c r="F20" s="12">
        <f t="shared" si="1"/>
        <v>200000</v>
      </c>
      <c r="H20" s="9" t="s">
        <v>168</v>
      </c>
      <c r="I20" s="10" t="s">
        <v>45</v>
      </c>
      <c r="J20" s="11">
        <v>100000</v>
      </c>
      <c r="K20" s="11">
        <f>SUMIFS('Enero - registro gastos'!$D$3:$D$300,'Enero - registro gastos'!$E$3:$E$300,Ene!$H$12,'Enero - registro gastos'!$F$3:$F$300,Ene!H20)</f>
        <v>0</v>
      </c>
      <c r="L20" s="12">
        <f t="shared" si="0"/>
        <v>100000</v>
      </c>
    </row>
    <row r="21" spans="2:12" x14ac:dyDescent="0.2">
      <c r="B21" s="9" t="s">
        <v>53</v>
      </c>
      <c r="C21" s="10"/>
      <c r="D21" s="11"/>
      <c r="E21" s="59">
        <f>SUMIFS('Enero - registro gastos'!$D$3:$D$300,'Enero - registro gastos'!$E$3:$E$300,Ene!$B$12,'Enero - registro gastos'!$F$3:$F$300,Ene!B21)</f>
        <v>0</v>
      </c>
      <c r="F21" s="12">
        <f t="shared" si="1"/>
        <v>0</v>
      </c>
      <c r="H21" s="9" t="s">
        <v>139</v>
      </c>
      <c r="I21" s="10" t="s">
        <v>45</v>
      </c>
      <c r="J21" s="11"/>
      <c r="K21" s="11">
        <f>SUMIFS('Enero - registro gastos'!$D$3:$D$300,'Enero - registro gastos'!$E$3:$E$300,Ene!$H$12,'Enero - registro gastos'!$F$3:$F$300,Ene!H21)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SUMIFS('Enero - registro gastos'!$D$3:$D$300,'Enero - registro gastos'!$E$3:$E$300,Ene!$B$12,'Enero - registro gastos'!$F$3:$F$300,Ene!B22)</f>
        <v>0</v>
      </c>
      <c r="F22" s="12">
        <f t="shared" si="1"/>
        <v>0</v>
      </c>
      <c r="H22" s="9" t="s">
        <v>148</v>
      </c>
      <c r="I22" s="10" t="s">
        <v>45</v>
      </c>
      <c r="J22" s="106">
        <v>300000</v>
      </c>
      <c r="K22" s="11">
        <f>SUMIFS('Enero - registro gastos'!$D$3:$D$300,'Enero - registro gastos'!$E$3:$E$300,Ene!$H$12,'Enero - registro gastos'!$F$3:$F$300,Ene!H22)</f>
        <v>0</v>
      </c>
      <c r="L22" s="12">
        <f t="shared" si="0"/>
        <v>300000</v>
      </c>
    </row>
    <row r="23" spans="2:12" x14ac:dyDescent="0.2">
      <c r="B23" s="9"/>
      <c r="C23" s="10"/>
      <c r="D23" s="11"/>
      <c r="E23" s="59">
        <f>SUMIFS('Enero - registro gastos'!$D$3:$D$300,'Enero - registro gastos'!$E$3:$E$300,Ene!$B$12,'Enero - registro gastos'!$F$3:$F$300,Ene!B23)</f>
        <v>0</v>
      </c>
      <c r="F23" s="12">
        <f t="shared" si="1"/>
        <v>0</v>
      </c>
      <c r="H23" s="9" t="s">
        <v>172</v>
      </c>
      <c r="I23" s="10" t="s">
        <v>45</v>
      </c>
      <c r="J23" s="106">
        <v>1331710</v>
      </c>
      <c r="K23" s="11">
        <f>SUMIFS('Enero - registro gastos'!$D$3:$D$300,'Enero - registro gastos'!$E$3:$E$300,Ene!$H$12,'Enero - registro gastos'!$F$3:$F$300,Ene!H23)</f>
        <v>0</v>
      </c>
      <c r="L23" s="12">
        <f t="shared" si="0"/>
        <v>1331710</v>
      </c>
    </row>
    <row r="24" spans="2:12" ht="17" thickBot="1" x14ac:dyDescent="0.25">
      <c r="B24" s="13"/>
      <c r="C24" s="40"/>
      <c r="D24" s="14"/>
      <c r="E24" s="60">
        <f>SUMIFS('Enero - registro gastos'!$D$3:$D$300,'Enero - registro gastos'!$E$3:$E$300,Ene!$B$12,'Enero - registro gastos'!$F$3:$F$300,Ene!B24)</f>
        <v>0</v>
      </c>
      <c r="F24" s="15">
        <f t="shared" si="1"/>
        <v>0</v>
      </c>
      <c r="H24" s="13" t="s">
        <v>173</v>
      </c>
      <c r="I24" s="40" t="s">
        <v>45</v>
      </c>
      <c r="J24" s="107">
        <f>1727928</f>
        <v>1727928</v>
      </c>
      <c r="K24" s="14">
        <f>SUMIFS('Enero - registro gastos'!$D$3:$D$300,'Enero - registro gastos'!$E$3:$E$300,Ene!$H$12,'Enero - registro gastos'!$F$3:$F$300,Ene!H24)</f>
        <v>0</v>
      </c>
      <c r="L24" s="15">
        <f t="shared" si="0"/>
        <v>1727928</v>
      </c>
    </row>
    <row r="25" spans="2:12" ht="17" thickTop="1" x14ac:dyDescent="0.2">
      <c r="B25" s="16" t="s">
        <v>54</v>
      </c>
      <c r="C25" s="18"/>
      <c r="D25" s="18">
        <f>SUM(D13:D24)</f>
        <v>733000</v>
      </c>
      <c r="E25" s="18">
        <f>SUM(E13:E24)</f>
        <v>220976</v>
      </c>
      <c r="F25" s="19">
        <f t="shared" si="1"/>
        <v>512024</v>
      </c>
      <c r="H25" s="16" t="s">
        <v>54</v>
      </c>
      <c r="I25" s="17"/>
      <c r="J25" s="18">
        <f>SUM(J13:J24)</f>
        <v>7200638</v>
      </c>
      <c r="K25" s="18">
        <f>SUM(K13:K24)</f>
        <v>0</v>
      </c>
      <c r="L25" s="19">
        <f t="shared" si="0"/>
        <v>7200638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SUMIFS('Enero - registro gastos'!$D$3:$D$300,'Enero - registro gastos'!$E$3:$E$300,Ene!$B$27,'Enero - registro gastos'!$F$3:$F$300,Ene!B28)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SUMIFS('Enero - registro gastos'!$D$3:$D$300,'Enero - registro gastos'!$E$3:$E$300,Ene!$H$27,'Enero - registro gastos'!$F$3:$F$300,Ene!H28)</f>
        <v>0</v>
      </c>
      <c r="L28" s="12">
        <f t="shared" ref="L28:L35" si="3">J28-K28</f>
        <v>0</v>
      </c>
    </row>
    <row r="29" spans="2:12" x14ac:dyDescent="0.2">
      <c r="B29" s="9" t="s">
        <v>142</v>
      </c>
      <c r="C29" s="10"/>
      <c r="D29" s="11">
        <v>3917065</v>
      </c>
      <c r="E29" s="11">
        <f>SUMIFS('Enero - registro gastos'!$D$3:$D$300,'Enero - registro gastos'!$E$3:$E$300,Ene!$B$27,'Enero - registro gastos'!$F$3:$F$300,Ene!B29)</f>
        <v>3917064.8</v>
      </c>
      <c r="F29" s="12">
        <f t="shared" si="2"/>
        <v>0.20000000018626451</v>
      </c>
      <c r="H29" s="9" t="s">
        <v>17</v>
      </c>
      <c r="I29" s="10"/>
      <c r="J29" s="11">
        <v>150000</v>
      </c>
      <c r="K29" s="11">
        <f>SUMIFS('Enero - registro gastos'!$D$3:$D$300,'Enero - registro gastos'!$E$3:$E$300,Ene!$H$27,'Enero - registro gastos'!$F$3:$F$300,Ene!H29)</f>
        <v>0</v>
      </c>
      <c r="L29" s="12">
        <f t="shared" si="3"/>
        <v>150000</v>
      </c>
    </row>
    <row r="30" spans="2:12" x14ac:dyDescent="0.2">
      <c r="B30" s="9" t="s">
        <v>152</v>
      </c>
      <c r="C30" s="10"/>
      <c r="D30" s="11"/>
      <c r="E30" s="11">
        <f>SUMIFS('Enero - registro gastos'!$D$3:$D$300,'Enero - registro gastos'!$E$3:$E$300,Ene!$B$27,'Enero - registro gastos'!$F$3:$F$300,Ene!B30)</f>
        <v>0</v>
      </c>
      <c r="F30" s="12">
        <f t="shared" si="2"/>
        <v>0</v>
      </c>
      <c r="H30" s="9" t="s">
        <v>16</v>
      </c>
      <c r="I30" s="10"/>
      <c r="J30" s="11">
        <v>55000</v>
      </c>
      <c r="K30" s="11">
        <f>SUMIFS('Enero - registro gastos'!$D$3:$D$300,'Enero - registro gastos'!$E$3:$E$300,Ene!$H$27,'Enero - registro gastos'!$F$3:$F$300,Ene!H30)</f>
        <v>55000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SUMIFS('Enero - registro gastos'!$D$3:$D$300,'Enero - registro gastos'!$E$3:$E$300,Ene!$B$27,'Enero - registro gastos'!$F$3:$F$300,Ene!B31)</f>
        <v>0</v>
      </c>
      <c r="F31" s="12">
        <f t="shared" si="2"/>
        <v>0</v>
      </c>
      <c r="H31" s="9"/>
      <c r="I31" s="10"/>
      <c r="J31" s="11"/>
      <c r="K31" s="11">
        <f>SUMIFS('Enero - registro gastos'!$D$3:$D$300,'Enero - registro gastos'!$E$3:$E$300,Ene!$H$27,'Enero - registro gastos'!$F$3:$F$300,Ene!H31)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SUMIFS('Enero - registro gastos'!$D$3:$D$300,'Enero - registro gastos'!$E$3:$E$300,Ene!$B$27,'Enero - registro gastos'!$F$3:$F$300,Ene!B32)</f>
        <v>0</v>
      </c>
      <c r="F32" s="12">
        <f t="shared" si="2"/>
        <v>0</v>
      </c>
      <c r="H32" s="9"/>
      <c r="I32" s="10"/>
      <c r="J32" s="11"/>
      <c r="K32" s="11">
        <f>SUMIFS('Enero - registro gastos'!$D$3:$D$300,'Enero - registro gastos'!$E$3:$E$300,Ene!$H$27,'Enero - registro gastos'!$F$3:$F$300,Ene!H32)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SUMIFS('Enero - registro gastos'!$D$3:$D$300,'Enero - registro gastos'!$E$3:$E$300,Ene!$B$27,'Enero - registro gastos'!$F$3:$F$300,Ene!B33)</f>
        <v>0</v>
      </c>
      <c r="F33" s="12">
        <f t="shared" si="2"/>
        <v>0</v>
      </c>
      <c r="H33" s="9"/>
      <c r="I33" s="10"/>
      <c r="J33" s="11"/>
      <c r="K33" s="11">
        <f>SUMIFS('Enero - registro gastos'!$D$3:$D$300,'Enero - registro gastos'!$E$3:$E$300,Ene!$H$27,'Enero - registro gastos'!$F$3:$F$300,Ene!H33)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SUMIFS('Enero - registro gastos'!$D$3:$D$300,'Enero - registro gastos'!$E$3:$E$300,Ene!$B$27,'Enero - registro gastos'!$F$3:$F$300,Ene!B34)</f>
        <v>0</v>
      </c>
      <c r="F34" s="12">
        <f t="shared" si="2"/>
        <v>0</v>
      </c>
      <c r="H34" s="9"/>
      <c r="I34" s="10"/>
      <c r="J34" s="11"/>
      <c r="K34" s="11">
        <f>SUMIFS('Enero - registro gastos'!$D$3:$D$300,'Enero - registro gastos'!$E$3:$E$300,Ene!$H$27,'Enero - registro gastos'!$F$3:$F$300,Ene!H34)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SUMIFS('Enero - registro gastos'!$D$3:$D$300,'Enero - registro gastos'!$E$3:$E$300,Ene!$B$27,'Enero - registro gastos'!$F$3:$F$300,Ene!B35)</f>
        <v>0</v>
      </c>
      <c r="F35" s="15">
        <f t="shared" si="2"/>
        <v>0</v>
      </c>
      <c r="H35" s="13"/>
      <c r="I35" s="40"/>
      <c r="J35" s="14"/>
      <c r="K35" s="14">
        <f>SUMIFS('Enero - registro gastos'!$D$3:$D$300,'Enero - registro gastos'!$E$3:$E$300,Ene!$H$27,'Enero - registro gastos'!$F$3:$F$300,Ene!H35)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3917065</v>
      </c>
      <c r="E36" s="18">
        <f>SUM(E28:E35)</f>
        <v>3917064.8</v>
      </c>
      <c r="F36" s="19">
        <f>D36-E36</f>
        <v>0.20000000018626451</v>
      </c>
      <c r="H36" s="16" t="s">
        <v>54</v>
      </c>
      <c r="I36" s="17"/>
      <c r="J36" s="18">
        <f>SUM(J28:J35)</f>
        <v>205000</v>
      </c>
      <c r="K36" s="18">
        <f>SUM(K28:K35)</f>
        <v>55000</v>
      </c>
      <c r="L36" s="19">
        <f>J36-K36</f>
        <v>150000</v>
      </c>
    </row>
    <row r="37" spans="2:12" x14ac:dyDescent="0.2">
      <c r="D37" s="5"/>
      <c r="E37" s="5"/>
      <c r="F37" s="5"/>
      <c r="J37" s="5"/>
      <c r="K37" s="5"/>
      <c r="L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SUMIFS('Enero - registro gastos'!$D$3:$D$300,'Enero - registro gastos'!$E$3:$E$300,Ene!$B$38,'Enero - registro gastos'!$F$3:$F$300,Ene!B39)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SUMIFS('Enero - registro gastos'!$D$3:$D$300,'Enero - registro gastos'!$E$3:$E$300,Ene!$H$38,'Enero - registro gastos'!$F$3:$F$300,Ene!H39)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SUMIFS('Enero - registro gastos'!$D$3:$D$300,'Enero - registro gastos'!$E$3:$E$300,Ene!$B$38,'Enero - registro gastos'!$F$3:$F$300,Ene!B40)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SUMIFS('Enero - registro gastos'!$D$3:$D$300,'Enero - registro gastos'!$E$3:$E$300,Ene!$H$38,'Enero - registro gastos'!$F$3:$F$300,Ene!H40)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SUMIFS('Enero - registro gastos'!$D$3:$D$300,'Enero - registro gastos'!$E$3:$E$300,Ene!$B$38,'Enero - registro gastos'!$F$3:$F$300,Ene!B41)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SUMIFS('Enero - registro gastos'!$D$3:$D$300,'Enero - registro gastos'!$E$3:$E$300,Ene!$H$38,'Enero - registro gastos'!$F$3:$F$300,Ene!H41)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SUMIFS('Enero - registro gastos'!$D$3:$D$300,'Enero - registro gastos'!$E$3:$E$300,Ene!$B$38,'Enero - registro gastos'!$F$3:$F$300,Ene!B42)</f>
        <v>0</v>
      </c>
      <c r="F42" s="12">
        <f t="shared" si="4"/>
        <v>0</v>
      </c>
      <c r="G42" s="20"/>
      <c r="H42" s="9" t="s">
        <v>175</v>
      </c>
      <c r="I42" s="10" t="s">
        <v>45</v>
      </c>
      <c r="J42" s="106">
        <v>500000</v>
      </c>
      <c r="K42" s="11">
        <f>SUMIFS('Enero - registro gastos'!$D$3:$D$300,'Enero - registro gastos'!$E$3:$E$300,Ene!$H$38,'Enero - registro gastos'!$F$3:$F$300,Ene!H42)</f>
        <v>0</v>
      </c>
      <c r="L42" s="12">
        <f t="shared" si="5"/>
        <v>500000</v>
      </c>
    </row>
    <row r="43" spans="2:12" x14ac:dyDescent="0.2">
      <c r="B43" s="9"/>
      <c r="C43" s="10"/>
      <c r="D43" s="11"/>
      <c r="E43" s="11">
        <f>SUMIFS('Enero - registro gastos'!$D$3:$D$300,'Enero - registro gastos'!$E$3:$E$300,Ene!$B$38,'Enero - registro gastos'!$F$3:$F$300,Ene!B43)</f>
        <v>0</v>
      </c>
      <c r="F43" s="12">
        <f t="shared" si="4"/>
        <v>0</v>
      </c>
      <c r="G43" s="20"/>
      <c r="H43" s="9" t="s">
        <v>66</v>
      </c>
      <c r="I43" s="10"/>
      <c r="J43" s="11">
        <v>20000</v>
      </c>
      <c r="K43" s="11">
        <f>SUMIFS('Enero - registro gastos'!$D$3:$D$300,'Enero - registro gastos'!$E$3:$E$300,Ene!$H$38,'Enero - registro gastos'!$F$3:$F$300,Ene!H43)</f>
        <v>0</v>
      </c>
      <c r="L43" s="12">
        <f t="shared" si="5"/>
        <v>20000</v>
      </c>
    </row>
    <row r="44" spans="2:12" x14ac:dyDescent="0.2">
      <c r="B44" s="30"/>
      <c r="C44" s="10"/>
      <c r="D44" s="31"/>
      <c r="E44" s="31">
        <f>SUMIFS('Enero - registro gastos'!$D$3:$D$300,'Enero - registro gastos'!$E$3:$E$300,Ene!$B$38,'Enero - registro gastos'!$F$3:$F$300,Ene!B44)</f>
        <v>0</v>
      </c>
      <c r="F44" s="12">
        <f t="shared" si="4"/>
        <v>0</v>
      </c>
      <c r="G44" s="20"/>
      <c r="H44" s="30"/>
      <c r="I44" s="10"/>
      <c r="J44" s="31"/>
      <c r="K44" s="31">
        <f>SUMIFS('Enero - registro gastos'!$D$3:$D$300,'Enero - registro gastos'!$E$3:$E$300,Ene!$H$38,'Enero - registro gastos'!$F$3:$F$300,Ene!H44)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SUMIFS('Enero - registro gastos'!$D$3:$D$300,'Enero - registro gastos'!$E$3:$E$300,Ene!$B$38,'Enero - registro gastos'!$F$3:$F$300,Ene!B45)</f>
        <v>0</v>
      </c>
      <c r="F45" s="15">
        <f t="shared" si="4"/>
        <v>0</v>
      </c>
      <c r="G45" s="20"/>
      <c r="H45" s="13"/>
      <c r="I45" s="40"/>
      <c r="J45" s="14"/>
      <c r="K45" s="14">
        <f>SUMIFS('Enero - registro gastos'!$D$3:$D$300,'Enero - registro gastos'!$E$3:$E$300,Ene!$H$38,'Enero - registro gastos'!$F$3:$F$300,Ene!H45)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520000</v>
      </c>
      <c r="K46" s="18">
        <f>SUM(K39:K45)</f>
        <v>0</v>
      </c>
      <c r="L46" s="19">
        <f>J46-K46</f>
        <v>520000</v>
      </c>
    </row>
    <row r="47" spans="2:12" x14ac:dyDescent="0.2">
      <c r="D47" s="5"/>
      <c r="E47" s="5"/>
      <c r="F47" s="5"/>
      <c r="J47" s="5"/>
      <c r="K47" s="5"/>
      <c r="L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>
        <v>400000</v>
      </c>
      <c r="E49" s="59">
        <f>SUMIFS('Enero - registro gastos'!$D$3:$D$300,'Enero - registro gastos'!$E$3:$E$300,Ene!$B$48,'Enero - registro gastos'!$F$3:$F$300,Ene!B49)</f>
        <v>150890</v>
      </c>
      <c r="F49" s="12">
        <f t="shared" ref="F49:F54" si="6">D49-E49</f>
        <v>249110</v>
      </c>
      <c r="G49" s="20"/>
      <c r="H49" s="9" t="s">
        <v>176</v>
      </c>
      <c r="I49" s="10" t="s">
        <v>45</v>
      </c>
      <c r="J49" s="106">
        <v>500000</v>
      </c>
      <c r="K49" s="11">
        <f>SUMIFS('Enero - registro gastos'!$D$3:$D$300,'Enero - registro gastos'!$E$3:$E$300,Ene!$H$48,'Enero - registro gastos'!$F$3:$F$300,Ene!H49)</f>
        <v>0</v>
      </c>
      <c r="L49" s="12">
        <f t="shared" ref="L49:L54" si="7">J49-K49</f>
        <v>500000</v>
      </c>
    </row>
    <row r="50" spans="2:12" x14ac:dyDescent="0.2">
      <c r="B50" s="9" t="s">
        <v>69</v>
      </c>
      <c r="C50" s="10"/>
      <c r="D50" s="11"/>
      <c r="E50" s="11">
        <f>SUMIFS('Enero - registro gastos'!$D$3:$D$300,'Enero - registro gastos'!$E$3:$E$300,Ene!$B$48,'Enero - registro gastos'!$F$3:$F$300,Ene!B50)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SUMIFS('Enero - registro gastos'!$D$3:$D$300,'Enero - registro gastos'!$E$3:$E$300,Ene!$H$48,'Enero - registro gastos'!$F$3:$F$300,Ene!H50)</f>
        <v>0</v>
      </c>
      <c r="L50" s="12">
        <f t="shared" si="7"/>
        <v>0</v>
      </c>
    </row>
    <row r="51" spans="2:12" x14ac:dyDescent="0.2">
      <c r="B51" s="9" t="s">
        <v>155</v>
      </c>
      <c r="C51" s="10"/>
      <c r="D51" s="11">
        <v>300000</v>
      </c>
      <c r="E51" s="11">
        <f>SUMIFS('Enero - registro gastos'!$D$3:$D$300,'Enero - registro gastos'!$E$3:$E$300,Ene!$B$48,'Enero - registro gastos'!$F$3:$F$300,Ene!B51)</f>
        <v>28650</v>
      </c>
      <c r="F51" s="12">
        <f t="shared" si="6"/>
        <v>271350</v>
      </c>
      <c r="G51" s="20"/>
      <c r="H51" s="9" t="s">
        <v>70</v>
      </c>
      <c r="I51" s="10"/>
      <c r="J51" s="39"/>
      <c r="K51" s="11">
        <f>SUMIFS('Enero - registro gastos'!$D$3:$D$300,'Enero - registro gastos'!$E$3:$E$300,Ene!$H$48,'Enero - registro gastos'!$F$3:$F$300,Ene!H51)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SUMIFS('Enero - registro gastos'!$D$3:$D$300,'Enero - registro gastos'!$E$3:$E$300,Ene!$B$48,'Enero - registro gastos'!$F$3:$F$300,Ene!B52)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SUMIFS('Enero - registro gastos'!$D$3:$D$300,'Enero - registro gastos'!$E$3:$E$300,Ene!$H$48,'Enero - registro gastos'!$F$3:$F$300,Ene!H52)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SUMIFS('Enero - registro gastos'!$D$3:$D$300,'Enero - registro gastos'!$E$3:$E$300,Ene!$B$48,'Enero - registro gastos'!$F$3:$F$300,Ene!B53)</f>
        <v>0</v>
      </c>
      <c r="F53" s="12">
        <f t="shared" si="6"/>
        <v>0</v>
      </c>
      <c r="G53" s="20"/>
      <c r="H53" s="9"/>
      <c r="I53" s="10"/>
      <c r="J53" s="11"/>
      <c r="K53" s="11">
        <f>SUMIFS('Enero - registro gastos'!$D$3:$D$300,'Enero - registro gastos'!$E$3:$E$300,Ene!$H$48,'Enero - registro gastos'!$F$3:$F$300,Ene!H53)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SUMIFS('Enero - registro gastos'!$D$3:$D$300,'Enero - registro gastos'!$E$3:$E$300,Ene!$B$48,'Enero - registro gastos'!$F$3:$F$300,Ene!B54)</f>
        <v>0</v>
      </c>
      <c r="F54" s="15">
        <f t="shared" si="6"/>
        <v>0</v>
      </c>
      <c r="G54" s="20"/>
      <c r="H54" s="13"/>
      <c r="I54" s="40"/>
      <c r="J54" s="14"/>
      <c r="K54" s="14">
        <f>SUMIFS('Enero - registro gastos'!$D$3:$D$300,'Enero - registro gastos'!$E$3:$E$300,Ene!$H$48,'Enero - registro gastos'!$F$3:$F$300,Ene!H54)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700000</v>
      </c>
      <c r="E55" s="18">
        <f>SUM(E49:E54)</f>
        <v>179540</v>
      </c>
      <c r="F55" s="19">
        <f>D55-E55</f>
        <v>520460</v>
      </c>
      <c r="G55" s="20"/>
      <c r="H55" s="16" t="s">
        <v>54</v>
      </c>
      <c r="I55" s="17"/>
      <c r="J55" s="18">
        <f>SUM(J49:J54)</f>
        <v>500000</v>
      </c>
      <c r="K55" s="18">
        <f>SUM(K49:K54)</f>
        <v>0</v>
      </c>
      <c r="L55" s="19">
        <f>J55-K55</f>
        <v>500000</v>
      </c>
    </row>
    <row r="56" spans="2:12" x14ac:dyDescent="0.2">
      <c r="D56" s="5"/>
      <c r="E56" s="5"/>
      <c r="F56" s="5"/>
      <c r="J56" s="5"/>
      <c r="K56" s="5"/>
      <c r="L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>
        <v>80000</v>
      </c>
      <c r="E58" s="59">
        <f>SUMIFS('Enero - registro gastos'!$D$3:$D$300,'Enero - registro gastos'!$E$3:$E$300,Ene!$B$57,'Enero - registro gastos'!$F$3:$F$300,Ene!B58)</f>
        <v>0</v>
      </c>
      <c r="F58" s="12">
        <f>D58-E58</f>
        <v>80000</v>
      </c>
      <c r="G58" s="20"/>
      <c r="H58" s="9" t="s">
        <v>26</v>
      </c>
      <c r="I58" s="10"/>
      <c r="J58" s="11"/>
      <c r="K58" s="11">
        <f>SUMIFS('Enero - registro gastos'!$D$3:$D$300,'Enero - registro gastos'!$E$3:$E$300,Ene!$H$57,'Enero - registro gastos'!$F$3:$F$300,Ene!H58)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SUMIFS('Enero - registro gastos'!$D$3:$D$300,'Enero - registro gastos'!$E$3:$E$300,Ene!$B$57,'Enero - registro gastos'!$F$3:$F$300,Ene!B59)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SUMIFS('Enero - registro gastos'!$D$3:$D$300,'Enero - registro gastos'!$E$3:$E$300,Ene!$H$57,'Enero - registro gastos'!$F$3:$F$300,Ene!H59)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SUMIFS('Enero - registro gastos'!$D$3:$D$300,'Enero - registro gastos'!$E$3:$E$300,Ene!$B$57,'Enero - registro gastos'!$F$3:$F$300,Ene!B60)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SUMIFS('Enero - registro gastos'!$D$3:$D$300,'Enero - registro gastos'!$E$3:$E$300,Ene!$H$57,'Enero - registro gastos'!$F$3:$F$300,Ene!H60)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SUMIFS('Enero - registro gastos'!$D$3:$D$300,'Enero - registro gastos'!$E$3:$E$300,Ene!$B$57,'Enero - registro gastos'!$F$3:$F$300,Ene!B61)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SUMIFS('Enero - registro gastos'!$D$3:$D$300,'Enero - registro gastos'!$E$3:$E$300,Ene!$H$57,'Enero - registro gastos'!$F$3:$F$300,Ene!H61)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SUMIFS('Enero - registro gastos'!$D$3:$D$300,'Enero - registro gastos'!$E$3:$E$300,Ene!$B$57,'Enero - registro gastos'!$F$3:$F$300,Ene!B62)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SUMIFS('Enero - registro gastos'!$D$3:$D$300,'Enero - registro gastos'!$E$3:$E$300,Ene!$H$57,'Enero - registro gastos'!$F$3:$F$300,Ene!H62)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SUMIFS('Enero - registro gastos'!$D$3:$D$300,'Enero - registro gastos'!$E$3:$E$300,Ene!$B$57,'Enero - registro gastos'!$F$3:$F$300,Ene!B63)</f>
        <v>0</v>
      </c>
      <c r="F63" s="12">
        <f t="shared" si="9"/>
        <v>0</v>
      </c>
      <c r="G63" s="20"/>
      <c r="H63" s="30"/>
      <c r="I63" s="10"/>
      <c r="J63" s="31"/>
      <c r="K63" s="31">
        <f>SUMIFS('Enero - registro gastos'!$D$3:$D$300,'Enero - registro gastos'!$E$3:$E$300,Ene!$H$57,'Enero - registro gastos'!$F$3:$F$300,Ene!H63)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SUMIFS('Enero - registro gastos'!$D$3:$D$300,'Enero - registro gastos'!$E$3:$E$300,Ene!$B$57,'Enero - registro gastos'!$F$3:$F$300,Ene!B64)</f>
        <v>0</v>
      </c>
      <c r="F64" s="15">
        <f t="shared" si="9"/>
        <v>0</v>
      </c>
      <c r="G64" s="20"/>
      <c r="H64" s="13"/>
      <c r="I64" s="40"/>
      <c r="J64" s="14"/>
      <c r="K64" s="14">
        <f>SUMIFS('Enero - registro gastos'!$D$3:$D$300,'Enero - registro gastos'!$E$3:$E$300,Ene!$H$57,'Enero - registro gastos'!$F$3:$F$300,Ene!H64)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80000</v>
      </c>
      <c r="E65" s="18">
        <f>SUM(E58:E64)</f>
        <v>0</v>
      </c>
      <c r="F65" s="19">
        <f>D65-E65</f>
        <v>80000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D66" s="5"/>
      <c r="E66" s="5"/>
      <c r="F66" s="5"/>
      <c r="J66" s="5"/>
      <c r="K66" s="5"/>
      <c r="L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SUMIFS('Enero - registro gastos'!$D$3:$D$300,'Enero - registro gastos'!$E$3:$E$300,Ene!$B$67,'Enero - registro gastos'!$F$3:$F$300,Ene!B68)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SUMIFS('Enero - registro gastos'!$D$3:$D$300,'Enero - registro gastos'!$E$3:$E$300,Ene!$H$67,'Enero - registro gastos'!$F$3:$F$300,Ene!H68)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SUMIFS('Enero - registro gastos'!$D$3:$D$300,'Enero - registro gastos'!$E$3:$E$300,Ene!$B$67,'Enero - registro gastos'!$F$3:$F$300,Ene!B69)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SUMIFS('Enero - registro gastos'!$D$3:$D$300,'Enero - registro gastos'!$E$3:$E$300,Ene!$H$67,'Enero - registro gastos'!$F$3:$F$300,Ene!H69)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SUMIFS('Enero - registro gastos'!$D$3:$D$300,'Enero - registro gastos'!$E$3:$E$300,Ene!$B$67,'Enero - registro gastos'!$F$3:$F$300,Ene!B70)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SUMIFS('Enero - registro gastos'!$D$3:$D$300,'Enero - registro gastos'!$E$3:$E$300,Ene!$H$67,'Enero - registro gastos'!$F$3:$F$300,Ene!H70)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SUMIFS('Enero - registro gastos'!$D$3:$D$300,'Enero - registro gastos'!$E$3:$E$300,Ene!$B$67,'Enero - registro gastos'!$F$3:$F$300,Ene!B71)</f>
        <v>244000</v>
      </c>
      <c r="F71" s="12">
        <f t="shared" si="10"/>
        <v>-244000</v>
      </c>
      <c r="G71" s="20"/>
      <c r="H71" s="9" t="s">
        <v>84</v>
      </c>
      <c r="I71" s="10"/>
      <c r="J71" s="11"/>
      <c r="K71" s="11">
        <f>SUMIFS('Enero - registro gastos'!$D$3:$D$300,'Enero - registro gastos'!$E$3:$E$300,Ene!$H$67,'Enero - registro gastos'!$F$3:$F$300,Ene!H71)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>
        <v>150906</v>
      </c>
      <c r="E72" s="11">
        <f>SUMIFS('Enero - registro gastos'!$D$3:$D$300,'Enero - registro gastos'!$E$3:$E$300,Ene!$B$67,'Enero - registro gastos'!$F$3:$F$300,Ene!B72)</f>
        <v>148241.73000000001</v>
      </c>
      <c r="F72" s="12">
        <f t="shared" si="10"/>
        <v>2664.2699999999895</v>
      </c>
      <c r="G72" s="20"/>
      <c r="H72" s="9"/>
      <c r="I72" s="10"/>
      <c r="J72" s="11"/>
      <c r="K72" s="11">
        <f>SUMIFS('Enero - registro gastos'!$D$3:$D$300,'Enero - registro gastos'!$E$3:$E$300,Ene!$H$67,'Enero - registro gastos'!$F$3:$F$300,Ene!H72)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>
        <v>45000</v>
      </c>
      <c r="E73" s="11">
        <f>SUMIFS('Enero - registro gastos'!$D$3:$D$300,'Enero - registro gastos'!$E$3:$E$300,Ene!$B$67,'Enero - registro gastos'!$F$3:$F$300,Ene!B73)</f>
        <v>44900</v>
      </c>
      <c r="F73" s="12">
        <f t="shared" si="10"/>
        <v>100</v>
      </c>
      <c r="G73" s="20"/>
      <c r="H73" s="9"/>
      <c r="I73" s="10"/>
      <c r="J73" s="11"/>
      <c r="K73" s="11">
        <f>SUMIFS('Enero - registro gastos'!$D$3:$D$300,'Enero - registro gastos'!$E$3:$E$300,Ene!$H$67,'Enero - registro gastos'!$F$3:$F$300,Ene!H73)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>
        <v>30500</v>
      </c>
      <c r="E74" s="11">
        <f>SUMIFS('Enero - registro gastos'!$D$3:$D$300,'Enero - registro gastos'!$E$3:$E$300,Ene!$B$67,'Enero - registro gastos'!$F$3:$F$300,Ene!B74)</f>
        <v>0</v>
      </c>
      <c r="F74" s="12">
        <f t="shared" si="10"/>
        <v>30500</v>
      </c>
      <c r="G74" s="20"/>
      <c r="H74" s="9"/>
      <c r="I74" s="10"/>
      <c r="J74" s="11"/>
      <c r="K74" s="11">
        <f>SUMIFS('Enero - registro gastos'!$D$3:$D$300,'Enero - registro gastos'!$E$3:$E$300,Ene!$H$67,'Enero - registro gastos'!$F$3:$F$300,Ene!H74)</f>
        <v>0</v>
      </c>
      <c r="L74" s="12">
        <f>J74-K74</f>
        <v>0</v>
      </c>
    </row>
    <row r="75" spans="2:12" x14ac:dyDescent="0.2">
      <c r="B75" s="30" t="s">
        <v>153</v>
      </c>
      <c r="C75" s="10"/>
      <c r="D75" s="31">
        <v>9000</v>
      </c>
      <c r="E75" s="31">
        <f>SUMIFS('Enero - registro gastos'!$D$3:$D$300,'Enero - registro gastos'!$E$3:$E$300,Ene!$B$67,'Enero - registro gastos'!$F$3:$F$300,Ene!B75)</f>
        <v>0</v>
      </c>
      <c r="F75" s="12">
        <f t="shared" si="10"/>
        <v>9000</v>
      </c>
      <c r="G75" s="20"/>
      <c r="H75" s="30"/>
      <c r="I75" s="10"/>
      <c r="J75" s="31"/>
      <c r="K75" s="31">
        <f>SUMIFS('Enero - registro gastos'!$D$3:$D$300,'Enero - registro gastos'!$E$3:$E$300,Ene!$H$67,'Enero - registro gastos'!$F$3:$F$300,Ene!H75)</f>
        <v>0</v>
      </c>
      <c r="L75" s="12">
        <f t="shared" si="11"/>
        <v>0</v>
      </c>
    </row>
    <row r="76" spans="2:12" x14ac:dyDescent="0.2">
      <c r="B76" s="30" t="s">
        <v>159</v>
      </c>
      <c r="C76" s="10"/>
      <c r="D76" s="31">
        <v>25000</v>
      </c>
      <c r="E76" s="31">
        <f>SUMIFS('Enero - registro gastos'!$D$3:$D$300,'Enero - registro gastos'!$E$3:$E$300,Ene!$B$67,'Enero - registro gastos'!$F$3:$F$300,Ene!B76)</f>
        <v>14950</v>
      </c>
      <c r="F76" s="12">
        <f t="shared" si="10"/>
        <v>10050</v>
      </c>
      <c r="G76" s="20"/>
      <c r="H76" s="30"/>
      <c r="I76" s="10"/>
      <c r="J76" s="31"/>
      <c r="K76" s="31">
        <f>SUMIFS('Enero - registro gastos'!$D$3:$D$300,'Enero - registro gastos'!$E$3:$E$300,Ene!$H$67,'Enero - registro gastos'!$F$3:$F$300,Ene!H76)</f>
        <v>0</v>
      </c>
      <c r="L76" s="12">
        <f t="shared" si="11"/>
        <v>0</v>
      </c>
    </row>
    <row r="77" spans="2:12" x14ac:dyDescent="0.2">
      <c r="B77" s="30" t="s">
        <v>164</v>
      </c>
      <c r="C77" s="10"/>
      <c r="D77" s="31">
        <v>12900</v>
      </c>
      <c r="E77" s="31">
        <f>SUMIFS('Enero - registro gastos'!$D$3:$D$300,'Enero - registro gastos'!$E$3:$E$300,Ene!$B$67,'Enero - registro gastos'!$F$3:$F$300,Ene!B77)</f>
        <v>12900</v>
      </c>
      <c r="F77" s="12">
        <f t="shared" si="10"/>
        <v>0</v>
      </c>
      <c r="G77" s="20"/>
      <c r="H77" s="30"/>
      <c r="I77" s="10"/>
      <c r="J77" s="31"/>
      <c r="K77" s="31">
        <f>SUMIFS('Enero - registro gastos'!$D$3:$D$300,'Enero - registro gastos'!$E$3:$E$300,Ene!$H$67,'Enero - registro gastos'!$F$3:$F$300,Ene!H77)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SUMIFS('Enero - registro gastos'!$D$3:$D$300,'Enero - registro gastos'!$E$3:$E$300,Ene!$B$67,'Enero - registro gastos'!$F$3:$F$300,Ene!B78)</f>
        <v>0</v>
      </c>
      <c r="F78" s="15">
        <f t="shared" si="10"/>
        <v>0</v>
      </c>
      <c r="G78" s="20"/>
      <c r="H78" s="13"/>
      <c r="I78" s="40"/>
      <c r="J78" s="14"/>
      <c r="K78" s="14">
        <f>SUMIFS('Enero - registro gastos'!$D$3:$D$300,'Enero - registro gastos'!$E$3:$E$300,Ene!$H$67,'Enero - registro gastos'!$F$3:$F$300,Ene!H78)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273306</v>
      </c>
      <c r="E79" s="18">
        <f>SUM(E68:E78)</f>
        <v>464991.73</v>
      </c>
      <c r="F79" s="19">
        <f>D79-E79</f>
        <v>-191685.72999999998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D80" s="5"/>
      <c r="E80" s="5"/>
      <c r="F80" s="5"/>
      <c r="J80" s="5"/>
      <c r="K80" s="5"/>
      <c r="L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178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SUMIFS('Enero - registro gastos'!$D$3:$D$300,'Enero - registro gastos'!$E$3:$E$300,Ene!$B$81,'Enero - registro gastos'!$F$3:$F$300,Ene!B82)</f>
        <v>0</v>
      </c>
      <c r="F82" s="12">
        <f>D82-E82</f>
        <v>0</v>
      </c>
      <c r="G82" s="20"/>
      <c r="H82" s="9" t="s">
        <v>179</v>
      </c>
      <c r="I82" s="10"/>
      <c r="J82" s="11">
        <v>1000000</v>
      </c>
      <c r="K82" s="11">
        <f>SUMIFS('Enero - registro gastos'!$D$3:$D$300,'Enero - registro gastos'!$E$3:$E$300,Ene!$H$81,'Enero - registro gastos'!$F$3:$F$300,Ene!H82)</f>
        <v>0</v>
      </c>
      <c r="L82" s="12">
        <f>J82-K82</f>
        <v>1000000</v>
      </c>
    </row>
    <row r="83" spans="2:12" x14ac:dyDescent="0.2">
      <c r="B83" s="9" t="s">
        <v>33</v>
      </c>
      <c r="C83" s="10"/>
      <c r="D83" s="11"/>
      <c r="E83" s="11">
        <f>SUMIFS('Enero - registro gastos'!$D$3:$D$300,'Enero - registro gastos'!$E$3:$E$300,Ene!$B$81,'Enero - registro gastos'!$F$3:$F$300,Ene!B83)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SUMIFS('Enero - registro gastos'!$D$3:$D$300,'Enero - registro gastos'!$E$3:$E$300,Ene!$H$81,'Enero - registro gastos'!$F$3:$F$300,Ene!H83)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SUMIFS('Enero - registro gastos'!$D$3:$D$300,'Enero - registro gastos'!$E$3:$E$300,Ene!$B$81,'Enero - registro gastos'!$F$3:$F$300,Ene!B84)</f>
        <v>0</v>
      </c>
      <c r="F84" s="12">
        <f t="shared" si="12"/>
        <v>0</v>
      </c>
      <c r="G84" s="20"/>
      <c r="H84" s="9"/>
      <c r="I84" s="10"/>
      <c r="J84" s="11"/>
      <c r="K84" s="11">
        <f>SUMIFS('Enero - registro gastos'!$D$3:$D$300,'Enero - registro gastos'!$E$3:$E$300,Ene!$H$81,'Enero - registro gastos'!$F$3:$F$300,Ene!H84)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SUMIFS('Enero - registro gastos'!$D$3:$D$300,'Enero - registro gastos'!$E$3:$E$300,Ene!$B$81,'Enero - registro gastos'!$F$3:$F$300,Ene!B85)</f>
        <v>0</v>
      </c>
      <c r="F85" s="12">
        <f>D85-E85</f>
        <v>0</v>
      </c>
      <c r="G85" s="20"/>
      <c r="H85" s="9"/>
      <c r="I85" s="10"/>
      <c r="J85" s="11"/>
      <c r="K85" s="11">
        <f>SUMIFS('Enero - registro gastos'!$D$3:$D$300,'Enero - registro gastos'!$E$3:$E$300,Ene!$H$81,'Enero - registro gastos'!$F$3:$F$300,Ene!H85)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SUMIFS('Enero - registro gastos'!$D$3:$D$300,'Enero - registro gastos'!$E$3:$E$300,Ene!$B$81,'Enero - registro gastos'!$F$3:$F$300,Ene!B86)</f>
        <v>0</v>
      </c>
      <c r="F86" s="12">
        <f t="shared" si="12"/>
        <v>0</v>
      </c>
      <c r="G86" s="20"/>
      <c r="H86" s="9"/>
      <c r="I86" s="10"/>
      <c r="J86" s="11"/>
      <c r="K86" s="11">
        <f>SUMIFS('Enero - registro gastos'!$D$3:$D$300,'Enero - registro gastos'!$E$3:$E$300,Ene!$H$81,'Enero - registro gastos'!$F$3:$F$300,Ene!H86)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SUMIFS('Enero - registro gastos'!$D$3:$D$300,'Enero - registro gastos'!$E$3:$E$300,Ene!$B$81,'Enero - registro gastos'!$F$3:$F$300,Ene!B87)</f>
        <v>0</v>
      </c>
      <c r="F87" s="15">
        <f t="shared" si="12"/>
        <v>0</v>
      </c>
      <c r="G87" s="20"/>
      <c r="H87" s="13"/>
      <c r="I87" s="40"/>
      <c r="J87" s="14"/>
      <c r="K87" s="14">
        <f>SUMIFS('Enero - registro gastos'!$D$3:$D$300,'Enero - registro gastos'!$E$3:$E$300,Ene!$H$81,'Enero - registro gastos'!$F$3:$F$300,Ene!H87)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1000000</v>
      </c>
      <c r="K88" s="18">
        <f>SUM(K82:K87)</f>
        <v>0</v>
      </c>
      <c r="L88" s="19">
        <f>J88-K88</f>
        <v>1000000</v>
      </c>
    </row>
    <row r="89" spans="2:12" x14ac:dyDescent="0.2">
      <c r="D89" s="5"/>
      <c r="E89" s="5"/>
      <c r="F89" s="5"/>
      <c r="J89" s="5"/>
      <c r="K89" s="5"/>
      <c r="L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5" customHeight="1" x14ac:dyDescent="0.2">
      <c r="B91" s="9" t="s">
        <v>154</v>
      </c>
      <c r="C91" s="10"/>
      <c r="D91" s="11">
        <v>80000</v>
      </c>
      <c r="E91" s="11">
        <f>SUMIFS('Enero - registro gastos'!$D$3:$D$300,'Enero - registro gastos'!$E$3:$E$300,Ene!$B$90,'Enero - registro gastos'!$F$3:$F$300,Ene!B91)</f>
        <v>0</v>
      </c>
      <c r="F91" s="12">
        <f>D91-E91</f>
        <v>80000</v>
      </c>
      <c r="G91" s="20"/>
      <c r="H91" s="9"/>
      <c r="I91" s="10"/>
      <c r="J91" s="11"/>
      <c r="K91" s="11">
        <f>SUMIFS('Enero - registro gastos'!$D$3:$D$300,'Enero - registro gastos'!$E$3:$E$300,Ene!$H$90,'Enero - registro gastos'!$F$3:$F$300,Ene!H91)</f>
        <v>0</v>
      </c>
      <c r="L91" s="12">
        <f t="shared" ref="L91:L97" si="14">J91-K91</f>
        <v>0</v>
      </c>
    </row>
    <row r="92" spans="2:12" x14ac:dyDescent="0.2">
      <c r="B92" s="9" t="s">
        <v>156</v>
      </c>
      <c r="C92" s="10"/>
      <c r="D92" s="11">
        <f>45000*4</f>
        <v>180000</v>
      </c>
      <c r="E92" s="11">
        <f>SUMIFS('Enero - registro gastos'!$D$3:$D$300,'Enero - registro gastos'!$E$3:$E$300,Ene!$B$90,'Enero - registro gastos'!$F$3:$F$300,Ene!B92)</f>
        <v>0</v>
      </c>
      <c r="F92" s="12">
        <f t="shared" ref="F92:F97" si="15">D92-E92</f>
        <v>180000</v>
      </c>
      <c r="G92" s="20"/>
      <c r="H92" s="9"/>
      <c r="I92" s="10"/>
      <c r="J92" s="11"/>
      <c r="K92" s="11">
        <f>SUMIFS('Enero - registro gastos'!$D$3:$D$300,'Enero - registro gastos'!$E$3:$E$300,Ene!$H$90,'Enero - registro gastos'!$F$3:$F$300,Ene!H92)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SUMIFS('Enero - registro gastos'!$D$3:$D$300,'Enero - registro gastos'!$E$3:$E$300,Ene!$B$90,'Enero - registro gastos'!$F$3:$F$300,Ene!B93)</f>
        <v>0</v>
      </c>
      <c r="F93" s="12">
        <f t="shared" si="15"/>
        <v>0</v>
      </c>
      <c r="G93" s="20"/>
      <c r="H93" s="9"/>
      <c r="I93" s="10"/>
      <c r="J93" s="11"/>
      <c r="K93" s="11">
        <f>SUMIFS('Enero - registro gastos'!$D$3:$D$300,'Enero - registro gastos'!$E$3:$E$300,Ene!$H$90,'Enero - registro gastos'!$F$3:$F$300,Ene!H93)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SUMIFS('Enero - registro gastos'!$D$3:$D$300,'Enero - registro gastos'!$E$3:$E$300,Ene!$B$90,'Enero - registro gastos'!$F$3:$F$300,Ene!B94)</f>
        <v>0</v>
      </c>
      <c r="F94" s="12">
        <f t="shared" si="15"/>
        <v>0</v>
      </c>
      <c r="G94" s="20"/>
      <c r="H94" s="9"/>
      <c r="I94" s="10"/>
      <c r="J94" s="11"/>
      <c r="K94" s="11">
        <f>SUMIFS('Enero - registro gastos'!$D$3:$D$300,'Enero - registro gastos'!$E$3:$E$300,Ene!$H$90,'Enero - registro gastos'!$F$3:$F$300,Ene!H94)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SUMIFS('Enero - registro gastos'!$D$3:$D$300,'Enero - registro gastos'!$E$3:$E$300,Ene!$B$90,'Enero - registro gastos'!$F$3:$F$300,Ene!B95)</f>
        <v>0</v>
      </c>
      <c r="F95" s="12">
        <f>D95-E95</f>
        <v>0</v>
      </c>
      <c r="G95" s="20"/>
      <c r="H95" s="9"/>
      <c r="I95" s="10"/>
      <c r="J95" s="11"/>
      <c r="K95" s="11">
        <f>SUMIFS('Enero - registro gastos'!$D$3:$D$300,'Enero - registro gastos'!$E$3:$E$300,Ene!$H$90,'Enero - registro gastos'!$F$3:$F$300,Ene!H95)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SUMIFS('Enero - registro gastos'!$D$3:$D$300,'Enero - registro gastos'!$E$3:$E$300,Ene!$B$90,'Enero - registro gastos'!$F$3:$F$300,Ene!B96)</f>
        <v>0</v>
      </c>
      <c r="F96" s="12">
        <f t="shared" si="15"/>
        <v>0</v>
      </c>
      <c r="G96" s="20"/>
      <c r="H96" s="9"/>
      <c r="I96" s="10"/>
      <c r="J96" s="11"/>
      <c r="K96" s="11">
        <f>SUMIFS('Enero - registro gastos'!$D$3:$D$300,'Enero - registro gastos'!$E$3:$E$300,Ene!$H$90,'Enero - registro gastos'!$F$3:$F$300,Ene!H96)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SUMIFS('Enero - registro gastos'!$D$3:$D$300,'Enero - registro gastos'!$E$3:$E$300,Ene!$B$90,'Enero - registro gastos'!$F$3:$F$300,Ene!B97)</f>
        <v>0</v>
      </c>
      <c r="F97" s="15">
        <f t="shared" si="15"/>
        <v>0</v>
      </c>
      <c r="G97" s="20"/>
      <c r="H97" s="13"/>
      <c r="I97" s="40"/>
      <c r="J97" s="14"/>
      <c r="K97" s="14">
        <f>SUMIFS('Enero - registro gastos'!$D$3:$D$300,'Enero - registro gastos'!$E$3:$E$300,Ene!$H$90,'Enero - registro gastos'!$F$3:$F$300,Ene!H97)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260000</v>
      </c>
      <c r="E98" s="18">
        <f>SUM(E91:E97)</f>
        <v>0</v>
      </c>
      <c r="F98" s="19">
        <f>D98-E98</f>
        <v>260000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D99" s="5"/>
      <c r="E99" s="5"/>
      <c r="F99" s="5"/>
      <c r="J99" s="5"/>
      <c r="K99" s="5"/>
      <c r="L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/>
      <c r="C101" s="10"/>
      <c r="D101" s="11"/>
      <c r="E101" s="11">
        <f>SUMIFS('Enero - registro gastos'!$D$3:$D$300,'Enero - registro gastos'!$E$3:$E$300,Ene!$B$100,'Enero - registro gastos'!$F$3:$F$300,Ene!B101)</f>
        <v>0</v>
      </c>
      <c r="F101" s="12">
        <f>D101-E101</f>
        <v>0</v>
      </c>
      <c r="G101" s="20"/>
      <c r="H101" s="9"/>
      <c r="I101" s="10"/>
      <c r="J101" s="11"/>
      <c r="K101" s="11">
        <f>SUMIFS('Enero - registro gastos'!$D$3:$D$300,'Enero - registro gastos'!$E$3:$E$300,Ene!$H$100,'Enero - registro gastos'!$F$3:$F$300,Ene!H101)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SUMIFS('Enero - registro gastos'!$D$3:$D$300,'Enero - registro gastos'!$E$3:$E$300,Ene!$B$100,'Enero - registro gastos'!$F$3:$F$300,Ene!B102)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SUMIFS('Enero - registro gastos'!$D$3:$D$300,'Enero - registro gastos'!$E$3:$E$300,Ene!$H$100,'Enero - registro gastos'!$F$3:$F$300,Ene!H102)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SUMIFS('Enero - registro gastos'!$D$3:$D$300,'Enero - registro gastos'!$E$3:$E$300,Ene!$B$100,'Enero - registro gastos'!$F$3:$F$300,Ene!B103)</f>
        <v>0</v>
      </c>
      <c r="F103" s="12">
        <f t="shared" si="16"/>
        <v>0</v>
      </c>
      <c r="G103" s="20"/>
      <c r="H103" s="9"/>
      <c r="I103" s="10"/>
      <c r="J103" s="11"/>
      <c r="K103" s="11">
        <f>SUMIFS('Enero - registro gastos'!$D$3:$D$300,'Enero - registro gastos'!$E$3:$E$300,Ene!$H$100,'Enero - registro gastos'!$F$3:$F$300,Ene!H103)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SUMIFS('Enero - registro gastos'!$D$3:$D$300,'Enero - registro gastos'!$E$3:$E$300,Ene!$B$100,'Enero - registro gastos'!$F$3:$F$300,Ene!B104)</f>
        <v>0</v>
      </c>
      <c r="F104" s="12">
        <f t="shared" si="16"/>
        <v>0</v>
      </c>
      <c r="G104" s="20"/>
      <c r="H104" s="9"/>
      <c r="I104" s="10"/>
      <c r="J104" s="11"/>
      <c r="K104" s="11">
        <f>SUMIFS('Enero - registro gastos'!$D$3:$D$300,'Enero - registro gastos'!$E$3:$E$300,Ene!$H$100,'Enero - registro gastos'!$F$3:$F$300,Ene!H104)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SUMIFS('Enero - registro gastos'!$D$3:$D$300,'Enero - registro gastos'!$E$3:$E$300,Ene!$B$100,'Enero - registro gastos'!$F$3:$F$300,Ene!B105)</f>
        <v>0</v>
      </c>
      <c r="F105" s="12">
        <f t="shared" si="16"/>
        <v>0</v>
      </c>
      <c r="G105" s="20"/>
      <c r="H105" s="9"/>
      <c r="I105" s="10"/>
      <c r="J105" s="11"/>
      <c r="K105" s="11">
        <f>SUMIFS('Enero - registro gastos'!$D$3:$D$300,'Enero - registro gastos'!$E$3:$E$300,Ene!$H$100,'Enero - registro gastos'!$F$3:$F$300,Ene!H105)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SUMIFS('Enero - registro gastos'!$D$3:$D$300,'Enero - registro gastos'!$E$3:$E$300,Ene!$B$100,'Enero - registro gastos'!$F$3:$F$300,Ene!B106)</f>
        <v>0</v>
      </c>
      <c r="F106" s="12">
        <f t="shared" si="16"/>
        <v>0</v>
      </c>
      <c r="G106" s="20"/>
      <c r="H106" s="9"/>
      <c r="I106" s="10"/>
      <c r="J106" s="11"/>
      <c r="K106" s="11">
        <f>SUMIFS('Enero - registro gastos'!$D$3:$D$300,'Enero - registro gastos'!$E$3:$E$300,Ene!$H$100,'Enero - registro gastos'!$F$3:$F$300,Ene!H106)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SUMIFS('Enero - registro gastos'!$D$3:$D$300,'Enero - registro gastos'!$E$3:$E$300,Ene!$B$100,'Enero - registro gastos'!$F$3:$F$300,Ene!B107)</f>
        <v>0</v>
      </c>
      <c r="F107" s="15">
        <f>D107-E107</f>
        <v>0</v>
      </c>
      <c r="G107" s="20"/>
      <c r="H107" s="13"/>
      <c r="I107" s="40"/>
      <c r="J107" s="14"/>
      <c r="K107" s="14">
        <f>SUMIFS('Enero - registro gastos'!$D$3:$D$300,'Enero - registro gastos'!$E$3:$E$300,Ene!$H$100,'Enero - registro gastos'!$F$3:$F$300,Ene!H107)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B4:B10"/>
    <mergeCell ref="C4:D4"/>
    <mergeCell ref="C5:D5"/>
    <mergeCell ref="C6:D6"/>
    <mergeCell ref="C7:D7"/>
    <mergeCell ref="C8:D8"/>
    <mergeCell ref="C9:D9"/>
    <mergeCell ref="C10:D10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K14:K108 E65:E107 E39:E64 E14:E35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8B2C6A1-E307-174F-9883-475AADC58F05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9990A6AA-E0E9-ED46-A645-71B495CC996C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4895-37AE-4D46-8A8A-9187291044E9}">
  <sheetPr codeName="Hoja3">
    <tabColor rgb="FFFD9F00"/>
  </sheetPr>
  <dimension ref="B2:AR312"/>
  <sheetViews>
    <sheetView showGridLines="0" tabSelected="1" zoomScale="110" zoomScaleNormal="110" workbookViewId="0">
      <selection activeCell="E16" sqref="E16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38" width="11" customWidth="1"/>
    <col min="39" max="39" width="11" style="80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>
        <v>45658</v>
      </c>
      <c r="C3" s="75" t="s">
        <v>160</v>
      </c>
      <c r="D3" s="76">
        <v>63000</v>
      </c>
      <c r="E3" s="77" t="s">
        <v>67</v>
      </c>
      <c r="F3" s="77" t="s">
        <v>68</v>
      </c>
      <c r="H3" s="78" t="str">
        <f t="shared" ref="H3:H66" si="0">E3&amp;F3</f>
        <v>ALIMENTACIÓNRestaurantes</v>
      </c>
      <c r="I3" s="78" t="str">
        <f t="shared" ref="I3:I66" si="1">IFERROR(VLOOKUP(H3,$AP:$AQ,2,FALSE),"Error")</f>
        <v>ALIMENTACIÓNRestaurantes</v>
      </c>
      <c r="J3" s="79" t="str">
        <f t="shared" ref="J3:J4" si="2">IF(I3="Error","Revisa tu subcategoria",IF(I3=H3,"Es correcto",IF(H3="blanco","","")))</f>
        <v>Es correcto</v>
      </c>
      <c r="AN3" s="81" t="s">
        <v>125</v>
      </c>
      <c r="AO3" s="82" t="s">
        <v>126</v>
      </c>
    </row>
    <row r="4" spans="2:44" x14ac:dyDescent="0.2">
      <c r="B4" s="74">
        <v>45659</v>
      </c>
      <c r="C4" s="77" t="s">
        <v>161</v>
      </c>
      <c r="D4" s="76">
        <v>54270</v>
      </c>
      <c r="E4" s="77" t="s">
        <v>67</v>
      </c>
      <c r="F4" s="77" t="s">
        <v>68</v>
      </c>
      <c r="H4" s="78" t="str">
        <f t="shared" si="0"/>
        <v>ALIMENTACIÓNRestaurantes</v>
      </c>
      <c r="I4" s="78" t="str">
        <f t="shared" si="1"/>
        <v>ALIMENTACIÓNRestaurantes</v>
      </c>
      <c r="J4" s="79" t="str">
        <f t="shared" si="2"/>
        <v>Es correcto</v>
      </c>
      <c r="AN4" s="83" t="str">
        <f>Ene!$B$12</f>
        <v>NECESIDADES BÁSICAS</v>
      </c>
      <c r="AO4" s="84" t="str">
        <f>Ene!B13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>
        <v>45660</v>
      </c>
      <c r="C5" s="77" t="s">
        <v>162</v>
      </c>
      <c r="D5" s="76">
        <f>28620+5000</f>
        <v>33620</v>
      </c>
      <c r="E5" s="77" t="s">
        <v>67</v>
      </c>
      <c r="F5" s="77" t="s">
        <v>68</v>
      </c>
      <c r="H5" s="78" t="str">
        <f t="shared" si="0"/>
        <v>ALIMENTACIÓNRestaurantes</v>
      </c>
      <c r="I5" s="78" t="str">
        <f t="shared" si="1"/>
        <v>ALIMENTACIÓNRestaurantes</v>
      </c>
      <c r="J5" s="79" t="str">
        <f>IF(I5="Error","Revisa tu subcategoria",IF(I5=H5,"Es correcto",IF(H5="blanco","","")))</f>
        <v>Es correcto</v>
      </c>
      <c r="AN5" s="85" t="str">
        <f>Ene!$B$12</f>
        <v>NECESIDADES BÁSICAS</v>
      </c>
      <c r="AO5" s="86" t="str">
        <f>Ene!B14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>
        <v>45660</v>
      </c>
      <c r="C6" s="77" t="s">
        <v>163</v>
      </c>
      <c r="D6" s="76">
        <v>55000</v>
      </c>
      <c r="E6" s="77" t="s">
        <v>15</v>
      </c>
      <c r="F6" s="77" t="s">
        <v>16</v>
      </c>
      <c r="H6" s="78" t="str">
        <f t="shared" si="0"/>
        <v>REGALOS/ CARIDADCaridad</v>
      </c>
      <c r="I6" s="78" t="str">
        <f t="shared" si="1"/>
        <v>REGALOS/ CARIDADCaridad</v>
      </c>
      <c r="J6" s="79" t="str">
        <f>IF(I6="Error","Revisa tu subcategoria",IF(I6=H6,"Es correcto",IF(H6="blanco","","")))</f>
        <v>Es correcto</v>
      </c>
      <c r="AN6" s="85" t="str">
        <f>Ene!$B$12</f>
        <v>NECESIDADES BÁSICAS</v>
      </c>
      <c r="AO6" s="86" t="str">
        <f>Ene!B15</f>
        <v>Electricidad</v>
      </c>
      <c r="AP6" s="80" t="str">
        <f t="shared" ref="AP6:AP68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>
        <v>45660</v>
      </c>
      <c r="C7" s="77" t="s">
        <v>163</v>
      </c>
      <c r="D7" s="76">
        <v>14950</v>
      </c>
      <c r="E7" s="77" t="s">
        <v>28</v>
      </c>
      <c r="F7" s="77" t="s">
        <v>159</v>
      </c>
      <c r="H7" s="78" t="str">
        <f t="shared" si="0"/>
        <v>ENTRETENIMIENTOhbo</v>
      </c>
      <c r="I7" s="78" t="str">
        <f t="shared" si="1"/>
        <v>ENTRETENIMIENTOhbo</v>
      </c>
      <c r="J7" s="79" t="str">
        <f>IF(I7="Error","Revisa tu subcategoria",IF(I7=H7,"Es correcto",IF(H7="blanco","","")))</f>
        <v>Es correcto</v>
      </c>
      <c r="AN7" s="85" t="str">
        <f>Ene!$B$12</f>
        <v>NECESIDADES BÁSICAS</v>
      </c>
      <c r="AO7" s="86" t="str">
        <f>Ene!B16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>
        <v>45660</v>
      </c>
      <c r="C8" s="77" t="s">
        <v>163</v>
      </c>
      <c r="D8" s="76">
        <v>44900</v>
      </c>
      <c r="E8" s="77" t="s">
        <v>28</v>
      </c>
      <c r="F8" s="77" t="s">
        <v>86</v>
      </c>
      <c r="H8" s="78" t="str">
        <f t="shared" si="0"/>
        <v>ENTRETENIMIENTONetflix</v>
      </c>
      <c r="I8" s="78" t="str">
        <f t="shared" si="1"/>
        <v>ENTRETENIMIENTONetflix</v>
      </c>
      <c r="J8" s="79" t="str">
        <f t="shared" ref="J8:J71" si="5">IF(H8=I8,"Es correcto","Revisa tu subcategoria")</f>
        <v>Es correcto</v>
      </c>
      <c r="AN8" s="85" t="str">
        <f>Ene!$B$12</f>
        <v>NECESIDADES BÁSICAS</v>
      </c>
      <c r="AO8" s="86" t="str">
        <f>Ene!B17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>
        <v>45660</v>
      </c>
      <c r="C9" s="77" t="s">
        <v>165</v>
      </c>
      <c r="D9" s="76">
        <v>142988</v>
      </c>
      <c r="E9" s="77" t="s">
        <v>39</v>
      </c>
      <c r="F9" s="77" t="s">
        <v>50</v>
      </c>
      <c r="H9" s="78" t="str">
        <f t="shared" si="0"/>
        <v>NECESIDADES BÁSICASCable/Internet</v>
      </c>
      <c r="I9" s="78" t="str">
        <f t="shared" si="1"/>
        <v>NECESIDADES BÁSICASCable/Internet</v>
      </c>
      <c r="J9" s="79" t="str">
        <f t="shared" si="5"/>
        <v>Es correcto</v>
      </c>
      <c r="AN9" s="85" t="str">
        <f>Ene!$B$12</f>
        <v>NECESIDADES BÁSICAS</v>
      </c>
      <c r="AO9" s="86" t="str">
        <f>Ene!B18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>
        <v>45660</v>
      </c>
      <c r="C10" s="77" t="s">
        <v>165</v>
      </c>
      <c r="D10" s="76">
        <v>148241.73000000001</v>
      </c>
      <c r="E10" s="77" t="s">
        <v>28</v>
      </c>
      <c r="F10" s="77" t="s">
        <v>85</v>
      </c>
      <c r="H10" s="78" t="str">
        <f t="shared" si="0"/>
        <v>ENTRETENIMIENTODeporte</v>
      </c>
      <c r="I10" s="78" t="str">
        <f t="shared" si="1"/>
        <v>ENTRETENIMIENTODeporte</v>
      </c>
      <c r="J10" s="79" t="str">
        <f t="shared" si="5"/>
        <v>Es correcto</v>
      </c>
      <c r="AN10" s="85" t="str">
        <f>Ene!$B$12</f>
        <v>NECESIDADES BÁSICAS</v>
      </c>
      <c r="AO10" s="86" t="str">
        <f>Ene!B19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>
        <v>45660</v>
      </c>
      <c r="C11" s="77" t="s">
        <v>165</v>
      </c>
      <c r="D11" s="76">
        <v>77988</v>
      </c>
      <c r="E11" s="77" t="s">
        <v>39</v>
      </c>
      <c r="F11" s="77" t="s">
        <v>46</v>
      </c>
      <c r="H11" s="78" t="str">
        <f t="shared" si="0"/>
        <v>NECESIDADES BÁSICASTelefono/ Celular</v>
      </c>
      <c r="I11" s="78" t="str">
        <f t="shared" si="1"/>
        <v>NECESIDADES BÁSICASTelefono/ Celular</v>
      </c>
      <c r="J11" s="79" t="str">
        <f t="shared" si="5"/>
        <v>Es correcto</v>
      </c>
      <c r="AN11" s="85" t="str">
        <f>Ene!$B$12</f>
        <v>NECESIDADES BÁSICAS</v>
      </c>
      <c r="AO11" s="86" t="str">
        <f>Ene!B20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>
        <v>45660</v>
      </c>
      <c r="C12" s="77" t="s">
        <v>165</v>
      </c>
      <c r="D12" s="76">
        <v>28650</v>
      </c>
      <c r="E12" s="77" t="s">
        <v>67</v>
      </c>
      <c r="F12" s="77" t="s">
        <v>155</v>
      </c>
      <c r="H12" s="78" t="str">
        <f t="shared" si="0"/>
        <v>ALIMENTACIÓNRappi</v>
      </c>
      <c r="I12" s="78" t="str">
        <f t="shared" si="1"/>
        <v>ALIMENTACIÓNRappi</v>
      </c>
      <c r="J12" s="79" t="str">
        <f t="shared" si="5"/>
        <v>Es correcto</v>
      </c>
      <c r="AN12" s="85" t="str">
        <f>Ene!$B$12</f>
        <v>NECESIDADES BÁSICAS</v>
      </c>
      <c r="AO12" s="86" t="str">
        <f>Ene!B21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>
        <v>45661</v>
      </c>
      <c r="C13" s="77" t="s">
        <v>166</v>
      </c>
      <c r="D13" s="76">
        <v>3917064.8</v>
      </c>
      <c r="E13" s="77" t="s">
        <v>55</v>
      </c>
      <c r="F13" s="77" t="s">
        <v>142</v>
      </c>
      <c r="H13" s="78" t="str">
        <f t="shared" si="0"/>
        <v>DEUDASDeuda tarjeta Un</v>
      </c>
      <c r="I13" s="78" t="str">
        <f t="shared" si="1"/>
        <v>DEUDASDeuda tarjeta Un</v>
      </c>
      <c r="J13" s="79" t="str">
        <f t="shared" si="5"/>
        <v>Es correcto</v>
      </c>
      <c r="AN13" s="85" t="str">
        <f>Ene!$B$12</f>
        <v>NECESIDADES BÁSICAS</v>
      </c>
      <c r="AO13" s="86">
        <f>Ene!B22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>
        <v>45661</v>
      </c>
      <c r="C14" s="77" t="s">
        <v>167</v>
      </c>
      <c r="D14" s="76">
        <v>12900</v>
      </c>
      <c r="E14" s="77" t="s">
        <v>28</v>
      </c>
      <c r="F14" s="77" t="s">
        <v>164</v>
      </c>
      <c r="H14" s="78" t="str">
        <f t="shared" si="0"/>
        <v>ENTRETENIMIENTOApple cloud</v>
      </c>
      <c r="I14" s="78" t="str">
        <f t="shared" si="1"/>
        <v>ENTRETENIMIENTOApple cloud</v>
      </c>
      <c r="J14" s="79" t="str">
        <f t="shared" si="5"/>
        <v>Es correcto</v>
      </c>
      <c r="AN14" s="85" t="str">
        <f>Ene!$B$12</f>
        <v>NECESIDADES BÁSICAS</v>
      </c>
      <c r="AO14" s="86">
        <f>Ene!B23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>
        <v>45659</v>
      </c>
      <c r="C15" s="77" t="s">
        <v>180</v>
      </c>
      <c r="D15" s="76">
        <v>144000</v>
      </c>
      <c r="E15" s="77" t="s">
        <v>28</v>
      </c>
      <c r="F15" s="77" t="s">
        <v>83</v>
      </c>
      <c r="H15" s="78" t="str">
        <f t="shared" si="0"/>
        <v>ENTRETENIMIENTOCine</v>
      </c>
      <c r="I15" s="78" t="str">
        <f t="shared" si="1"/>
        <v>ENTRETENIMIENTOCine</v>
      </c>
      <c r="J15" s="79" t="str">
        <f t="shared" si="5"/>
        <v>Es correcto</v>
      </c>
      <c r="AN15" s="87" t="str">
        <f>Ene!$B$12</f>
        <v>NECESIDADES BÁSICAS</v>
      </c>
      <c r="AO15" s="88">
        <f>Ene!B24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>
        <v>45663</v>
      </c>
      <c r="C16" s="77" t="s">
        <v>181</v>
      </c>
      <c r="D16" s="76">
        <v>100000</v>
      </c>
      <c r="E16" s="77" t="s">
        <v>28</v>
      </c>
      <c r="F16" s="77" t="s">
        <v>83</v>
      </c>
      <c r="H16" s="78" t="str">
        <f t="shared" si="0"/>
        <v>ENTRETENIMIENTOCine</v>
      </c>
      <c r="I16" s="78" t="str">
        <f t="shared" si="1"/>
        <v>ENTRETENIMIENTOCine</v>
      </c>
      <c r="J16" s="79" t="str">
        <f t="shared" si="5"/>
        <v>Es correcto</v>
      </c>
      <c r="AN16" s="83" t="str">
        <f>Ene!$H$12</f>
        <v>AHORROS</v>
      </c>
      <c r="AO16" s="84" t="str">
        <f>Ene!H13</f>
        <v xml:space="preserve">Efectivo </v>
      </c>
      <c r="AP16" s="80" t="str">
        <f t="shared" si="4"/>
        <v xml:space="preserve">AHORROSEfectivo </v>
      </c>
      <c r="AQ16" s="80" t="str">
        <f t="shared" si="3"/>
        <v xml:space="preserve">AHORROSEfectivo 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Ene!$H$12</f>
        <v>AHORROS</v>
      </c>
      <c r="AO17" s="86" t="str">
        <f>Ene!H14</f>
        <v>Cuenta Bancol</v>
      </c>
      <c r="AP17" s="80" t="str">
        <f t="shared" si="4"/>
        <v>AHORROSCuenta Bancol</v>
      </c>
      <c r="AQ17" s="80" t="str">
        <f t="shared" si="3"/>
        <v>AHORROSCuenta Bancol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Ene!$H$12</f>
        <v>AHORROS</v>
      </c>
      <c r="AO18" s="86" t="str">
        <f>Ene!H15</f>
        <v>pension voluntaria ahorro casa</v>
      </c>
      <c r="AP18" s="80" t="str">
        <f t="shared" si="4"/>
        <v>AHORROSpension voluntaria ahorro casa</v>
      </c>
      <c r="AQ18" s="80" t="str">
        <f t="shared" si="3"/>
        <v>AHORROSpension voluntaria ahorro casa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Ene!$H$12</f>
        <v>AHORROS</v>
      </c>
      <c r="AO19" s="86" t="str">
        <f>Ene!H16</f>
        <v>Investor trust 1200</v>
      </c>
      <c r="AP19" s="80" t="str">
        <f t="shared" si="4"/>
        <v>AHORROSInvestor trust 1200</v>
      </c>
      <c r="AQ19" s="80" t="str">
        <f t="shared" si="3"/>
        <v>AHORROSInvestor trust 1200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Ene!$H$12</f>
        <v>AHORROS</v>
      </c>
      <c r="AO20" s="86" t="str">
        <f>Ene!H17</f>
        <v>Investor trust 2400</v>
      </c>
      <c r="AP20" s="80" t="str">
        <f t="shared" si="4"/>
        <v>AHORROSInvestor trust 2400</v>
      </c>
      <c r="AQ20" s="80" t="str">
        <f t="shared" si="3"/>
        <v>AHORROSInvestor trust 2400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Ene!$H$12</f>
        <v>AHORROS</v>
      </c>
      <c r="AO21" s="86" t="str">
        <f>Ene!H18</f>
        <v>poliza pensiones skandia</v>
      </c>
      <c r="AP21" s="80" t="str">
        <f t="shared" si="4"/>
        <v>AHORROSpoliza pensiones skandia</v>
      </c>
      <c r="AQ21" s="80" t="str">
        <f t="shared" si="3"/>
        <v>AHORROSpoliza pensiones skandia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Ene!$H$12</f>
        <v>AHORROS</v>
      </c>
      <c r="AO22" s="86" t="str">
        <f>Ene!H19</f>
        <v>Fondo de emergencia lulo</v>
      </c>
      <c r="AP22" s="80" t="str">
        <f t="shared" si="4"/>
        <v>AHORROSFondo de emergencia lulo</v>
      </c>
      <c r="AQ22" s="80" t="str">
        <f t="shared" si="3"/>
        <v>AHORROSFondo de emergencia lulo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Ene!$H$12</f>
        <v>AHORROS</v>
      </c>
      <c r="AO23" s="86" t="str">
        <f>Ene!H20</f>
        <v>Littio</v>
      </c>
      <c r="AP23" s="80" t="str">
        <f t="shared" si="4"/>
        <v>AHORROSLittio</v>
      </c>
      <c r="AQ23" s="80" t="str">
        <f t="shared" si="3"/>
        <v>AHORROSLittio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Ene!$H$12</f>
        <v>AHORROS</v>
      </c>
      <c r="AO24" s="86" t="str">
        <f>Ene!H21</f>
        <v>Nequi</v>
      </c>
      <c r="AP24" s="80" t="str">
        <f t="shared" si="4"/>
        <v>AHORROSNequi</v>
      </c>
      <c r="AQ24" s="80" t="str">
        <f t="shared" si="3"/>
        <v>AHORROSNequi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Ene!$H$12</f>
        <v>AHORROS</v>
      </c>
      <c r="AO25" s="86" t="str">
        <f>Ene!H22</f>
        <v>viajes varios</v>
      </c>
      <c r="AP25" s="80" t="str">
        <f t="shared" si="4"/>
        <v>AHORROSviajes varios</v>
      </c>
      <c r="AQ25" s="80" t="str">
        <f t="shared" si="3"/>
        <v>AHORROSviajes varios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Ene!$H$12</f>
        <v>AHORROS</v>
      </c>
      <c r="AO26" s="86" t="str">
        <f>Ene!H23</f>
        <v>Viaje Japon lulo</v>
      </c>
      <c r="AP26" s="80" t="str">
        <f t="shared" si="4"/>
        <v>AHORROSViaje Japon lulo</v>
      </c>
      <c r="AQ26" s="80" t="str">
        <f t="shared" si="3"/>
        <v>AHORROSViaje Japon lulo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Ene!$H$12</f>
        <v>AHORROS</v>
      </c>
      <c r="AO27" s="88" t="str">
        <f>Ene!H24</f>
        <v>Viaje Estados unidos lulo</v>
      </c>
      <c r="AP27" s="80" t="str">
        <f t="shared" si="4"/>
        <v>AHORROSViaje Estados unidos lulo</v>
      </c>
      <c r="AQ27" s="80" t="str">
        <f t="shared" si="3"/>
        <v>AHORROSViaje Estados unidos lulo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Ene!$B$27</f>
        <v>DEUDAS</v>
      </c>
      <c r="AO28" s="84" t="str">
        <f>Ene!B28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Ene!$B$27</f>
        <v>DEUDAS</v>
      </c>
      <c r="AO29" s="86" t="str">
        <f>Ene!B29</f>
        <v>Deuda tarjeta Un</v>
      </c>
      <c r="AP29" s="80" t="str">
        <f t="shared" si="4"/>
        <v>DEUDASDeuda tarjeta Un</v>
      </c>
      <c r="AQ29" s="80" t="str">
        <f t="shared" si="3"/>
        <v>DEUDASDeuda tarjeta Un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Ene!$B$27</f>
        <v>DEUDAS</v>
      </c>
      <c r="AO30" s="86" t="str">
        <f>Ene!B30</f>
        <v>Deuda Banco de occidente</v>
      </c>
      <c r="AP30" s="80" t="str">
        <f t="shared" si="4"/>
        <v>DEUDASDeuda Banco de occidente</v>
      </c>
      <c r="AQ30" s="80" t="str">
        <f t="shared" si="3"/>
        <v>DEUDASDeuda Banco de occidente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Ene!$B$27</f>
        <v>DEUDAS</v>
      </c>
      <c r="AO31" s="86" t="str">
        <f>Ene!B31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Ene!$B$27</f>
        <v>DEUDAS</v>
      </c>
      <c r="AO32" s="86" t="str">
        <f>Ene!B32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Ene!$B$27</f>
        <v>DEUDAS</v>
      </c>
      <c r="AO33" s="86">
        <f>Ene!B33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Ene!$B$27</f>
        <v>DEUDAS</v>
      </c>
      <c r="AO34" s="86">
        <f>Ene!B34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Ene!$B$27</f>
        <v>DEUDAS</v>
      </c>
      <c r="AO35" s="88">
        <f>Ene!B35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Ene!$H$27</f>
        <v>REGALOS/ CARIDAD</v>
      </c>
      <c r="AO36" s="84" t="str">
        <f>Ene!H28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Ene!$H$27</f>
        <v>REGALOS/ CARIDAD</v>
      </c>
      <c r="AO37" s="86" t="str">
        <f>Ene!H29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Ene!$H$27</f>
        <v>REGALOS/ CARIDAD</v>
      </c>
      <c r="AO38" s="86" t="str">
        <f>Ene!H30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Ene!$H$27</f>
        <v>REGALOS/ CARIDAD</v>
      </c>
      <c r="AO39" s="86">
        <f>Ene!H31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Ene!$H$27</f>
        <v>REGALOS/ CARIDAD</v>
      </c>
      <c r="AO40" s="86">
        <f>Ene!H32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Ene!$H$27</f>
        <v>REGALOS/ CARIDAD</v>
      </c>
      <c r="AO41" s="86">
        <f>Ene!H33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Ene!$H$27</f>
        <v>REGALOS/ CARIDAD</v>
      </c>
      <c r="AO42" s="86">
        <f>Ene!H34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Ene!$H$27</f>
        <v>REGALOS/ CARIDAD</v>
      </c>
      <c r="AO43" s="88">
        <f>Ene!H35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Ene!$B$38</f>
        <v>CASA</v>
      </c>
      <c r="AO44" s="84" t="str">
        <f>Ene!B39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Ene!$B$38</f>
        <v>CASA</v>
      </c>
      <c r="AO45" s="86" t="str">
        <f>Ene!B40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Ene!$B$38</f>
        <v>CASA</v>
      </c>
      <c r="AO46" s="86" t="str">
        <f>Ene!B41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Ene!$B$38</f>
        <v>CASA</v>
      </c>
      <c r="AO47" s="86" t="str">
        <f>Ene!B42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Ene!$B$38</f>
        <v>CASA</v>
      </c>
      <c r="AO48" s="86">
        <f>Ene!B43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Ene!$B$38</f>
        <v>CASA</v>
      </c>
      <c r="AO49" s="86">
        <f>Ene!B44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Ene!$B$38</f>
        <v>CASA</v>
      </c>
      <c r="AO50" s="88">
        <f>Ene!B45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Ene!$H$38</f>
        <v>TRANSPORTE</v>
      </c>
      <c r="AO51" s="84" t="str">
        <f>Ene!H39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Ene!$H$38</f>
        <v>TRANSPORTE</v>
      </c>
      <c r="AO52" s="86" t="str">
        <f>Ene!H40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Ene!$H$38</f>
        <v>TRANSPORTE</v>
      </c>
      <c r="AO53" s="86" t="str">
        <f>Ene!H41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Ene!$H$38</f>
        <v>TRANSPORTE</v>
      </c>
      <c r="AO54" s="86" t="str">
        <f>Ene!H42</f>
        <v>Impuestos lulo</v>
      </c>
      <c r="AP54" s="80" t="str">
        <f t="shared" si="4"/>
        <v>TRANSPORTEImpuestos lulo</v>
      </c>
      <c r="AQ54" s="80" t="str">
        <f t="shared" si="3"/>
        <v>TRANSPORTEImpuestos lulo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Ene!$H$38</f>
        <v>TRANSPORTE</v>
      </c>
      <c r="AO55" s="86" t="str">
        <f>Ene!H43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Ene!$H$38</f>
        <v>TRANSPORTE</v>
      </c>
      <c r="AO56" s="86">
        <f>Ene!H44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Ene!$H$38</f>
        <v>TRANSPORTE</v>
      </c>
      <c r="AO57" s="88">
        <f>Ene!H45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Ene!$B$48</f>
        <v>ALIMENTACIÓN</v>
      </c>
      <c r="AO58" s="84" t="str">
        <f>Ene!B49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Ene!$B$48</f>
        <v>ALIMENTACIÓN</v>
      </c>
      <c r="AO59" s="86" t="str">
        <f>Ene!B50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Ene!$B$48</f>
        <v>ALIMENTACIÓN</v>
      </c>
      <c r="AO60" s="86" t="str">
        <f>Ene!B51</f>
        <v>Rappi</v>
      </c>
      <c r="AP60" s="80" t="str">
        <f t="shared" si="4"/>
        <v>ALIMENTACIÓNRappi</v>
      </c>
      <c r="AQ60" s="80" t="str">
        <f t="shared" si="3"/>
        <v>ALIMENTACIÓNRappi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Ene!$B$48</f>
        <v>ALIMENTACIÓN</v>
      </c>
      <c r="AO61" s="86">
        <f>Ene!B52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Ene!$B$48</f>
        <v>ALIMENTACIÓN</v>
      </c>
      <c r="AO62" s="86">
        <f>Ene!B53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Ene!$B$48</f>
        <v>ALIMENTACIÓN</v>
      </c>
      <c r="AO63" s="88">
        <f>Ene!B54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Ene!$H$48</f>
        <v>SEGUROS</v>
      </c>
      <c r="AO64" s="84" t="str">
        <f>Ene!H49</f>
        <v>Carro lulo</v>
      </c>
      <c r="AP64" s="80" t="str">
        <f t="shared" si="4"/>
        <v>SEGUROSCarro lulo</v>
      </c>
      <c r="AQ64" s="80" t="str">
        <f t="shared" si="3"/>
        <v>SEGUROSCarro lulo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Ene!$H$48</f>
        <v>SEGUROS</v>
      </c>
      <c r="AO65" s="86" t="str">
        <f>Ene!H50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Ene!$H$48</f>
        <v>SEGUROS</v>
      </c>
      <c r="AO66" s="86" t="str">
        <f>Ene!H51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Ene!$H$48</f>
        <v>SEGUROS</v>
      </c>
      <c r="AO67" s="86" t="str">
        <f>Ene!H52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Ene!$H$48</f>
        <v>SEGUROS</v>
      </c>
      <c r="AO68" s="86">
        <f>Ene!H53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Ene!$H$48</f>
        <v>SEGUROS</v>
      </c>
      <c r="AO69" s="88">
        <f>Ene!H54</f>
        <v>0</v>
      </c>
      <c r="AP69" s="80" t="str">
        <f t="shared" ref="AP69:AP132" si="8">AN69&amp;AO69</f>
        <v>SEGUROS0</v>
      </c>
      <c r="AQ69" s="80" t="str">
        <f t="shared" ref="AQ69:AQ132" si="9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Ene!$B$57</f>
        <v>SALUD</v>
      </c>
      <c r="AO70" s="84" t="str">
        <f>Ene!B58</f>
        <v>Medicinas</v>
      </c>
      <c r="AP70" s="80" t="str">
        <f t="shared" si="8"/>
        <v>SALUDMedicinas</v>
      </c>
      <c r="AQ70" s="80" t="str">
        <f t="shared" si="9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Ene!$B$57</f>
        <v>SALUD</v>
      </c>
      <c r="AO71" s="86" t="str">
        <f>Ene!B59</f>
        <v>Dentista</v>
      </c>
      <c r="AP71" s="80" t="str">
        <f t="shared" si="8"/>
        <v>SALUDDentista</v>
      </c>
      <c r="AQ71" s="80" t="str">
        <f t="shared" si="9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Ene!$B$57</f>
        <v>SALUD</v>
      </c>
      <c r="AO72" s="86" t="str">
        <f>Ene!B60</f>
        <v>Tratamientos</v>
      </c>
      <c r="AP72" s="80" t="str">
        <f t="shared" si="8"/>
        <v>SALUDTratamientos</v>
      </c>
      <c r="AQ72" s="80" t="str">
        <f t="shared" si="9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Ene!$B$57</f>
        <v>SALUD</v>
      </c>
      <c r="AO73" s="86">
        <f>Ene!B61</f>
        <v>0</v>
      </c>
      <c r="AP73" s="80" t="str">
        <f t="shared" si="8"/>
        <v>SALUD0</v>
      </c>
      <c r="AQ73" s="80" t="str">
        <f t="shared" si="9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Ene!$B$57</f>
        <v>SALUD</v>
      </c>
      <c r="AO74" s="86">
        <f>Ene!B62</f>
        <v>0</v>
      </c>
      <c r="AP74" s="80" t="str">
        <f t="shared" si="8"/>
        <v>SALUD0</v>
      </c>
      <c r="AQ74" s="80" t="str">
        <f t="shared" si="9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Ene!$B$57</f>
        <v>SALUD</v>
      </c>
      <c r="AO75" s="86">
        <f>Ene!B63</f>
        <v>0</v>
      </c>
      <c r="AP75" s="80" t="str">
        <f t="shared" si="8"/>
        <v>SALUD0</v>
      </c>
      <c r="AQ75" s="80" t="str">
        <f t="shared" si="9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Ene!$B$57</f>
        <v>SALUD</v>
      </c>
      <c r="AO76" s="88">
        <f>Ene!B64</f>
        <v>0</v>
      </c>
      <c r="AP76" s="80" t="str">
        <f t="shared" si="8"/>
        <v>SALUD0</v>
      </c>
      <c r="AQ76" s="80" t="str">
        <f t="shared" si="9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Ene!$H$57</f>
        <v>CUIDADO PERSONAL</v>
      </c>
      <c r="AO77" s="84" t="str">
        <f>Ene!H58</f>
        <v>Ropa</v>
      </c>
      <c r="AP77" s="80" t="str">
        <f t="shared" si="8"/>
        <v>CUIDADO PERSONALRopa</v>
      </c>
      <c r="AQ77" s="80" t="str">
        <f t="shared" si="9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Ene!$H$57</f>
        <v>CUIDADO PERSONAL</v>
      </c>
      <c r="AO78" s="86" t="str">
        <f>Ene!H59</f>
        <v>Belleza</v>
      </c>
      <c r="AP78" s="80" t="str">
        <f t="shared" si="8"/>
        <v>CUIDADO PERSONALBelleza</v>
      </c>
      <c r="AQ78" s="80" t="str">
        <f t="shared" si="9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Ene!$H$57</f>
        <v>CUIDADO PERSONAL</v>
      </c>
      <c r="AO79" s="86" t="str">
        <f>Ene!H60</f>
        <v>Peluquería</v>
      </c>
      <c r="AP79" s="80" t="str">
        <f t="shared" si="8"/>
        <v>CUIDADO PERSONALPeluquería</v>
      </c>
      <c r="AQ79" s="80" t="str">
        <f t="shared" si="9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Ene!$H$57</f>
        <v>CUIDADO PERSONAL</v>
      </c>
      <c r="AO80" s="86" t="str">
        <f>Ene!H61</f>
        <v>Sastre</v>
      </c>
      <c r="AP80" s="80" t="str">
        <f t="shared" si="8"/>
        <v>CUIDADO PERSONALSastre</v>
      </c>
      <c r="AQ80" s="80" t="str">
        <f t="shared" si="9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Ene!$H$57</f>
        <v>CUIDADO PERSONAL</v>
      </c>
      <c r="AO81" s="86" t="str">
        <f>Ene!H62</f>
        <v>Tintorería</v>
      </c>
      <c r="AP81" s="80" t="str">
        <f t="shared" si="8"/>
        <v>CUIDADO PERSONALTintorería</v>
      </c>
      <c r="AQ81" s="80" t="str">
        <f t="shared" si="9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Ene!$H$57</f>
        <v>CUIDADO PERSONAL</v>
      </c>
      <c r="AO82" s="86">
        <f>Ene!H63</f>
        <v>0</v>
      </c>
      <c r="AP82" s="80" t="str">
        <f t="shared" si="8"/>
        <v>CUIDADO PERSONAL0</v>
      </c>
      <c r="AQ82" s="80" t="str">
        <f t="shared" si="9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Ene!$H$57</f>
        <v>CUIDADO PERSONAL</v>
      </c>
      <c r="AO83" s="88">
        <f>Ene!H64</f>
        <v>0</v>
      </c>
      <c r="AP83" s="80" t="str">
        <f t="shared" si="8"/>
        <v>CUIDADO PERSONAL0</v>
      </c>
      <c r="AQ83" s="80" t="str">
        <f t="shared" si="9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Ene!$B$67</f>
        <v>ENTRETENIMIENTO</v>
      </c>
      <c r="AO84" s="84" t="str">
        <f>Ene!B68</f>
        <v>Vacaciones</v>
      </c>
      <c r="AP84" s="80" t="str">
        <f t="shared" si="8"/>
        <v>ENTRETENIMIENTOVacaciones</v>
      </c>
      <c r="AQ84" s="80" t="str">
        <f t="shared" si="9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Ene!$B$67</f>
        <v>ENTRETENIMIENTO</v>
      </c>
      <c r="AO85" s="86" t="str">
        <f>Ene!B69</f>
        <v>Rumba</v>
      </c>
      <c r="AP85" s="80" t="str">
        <f t="shared" si="8"/>
        <v>ENTRETENIMIENTORumba</v>
      </c>
      <c r="AQ85" s="80" t="str">
        <f t="shared" si="9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Ene!$B$67</f>
        <v>ENTRETENIMIENTO</v>
      </c>
      <c r="AO86" s="86" t="str">
        <f>Ene!B70</f>
        <v>Citas</v>
      </c>
      <c r="AP86" s="80" t="str">
        <f t="shared" si="8"/>
        <v>ENTRETENIMIENTOCitas</v>
      </c>
      <c r="AQ86" s="80" t="str">
        <f t="shared" si="9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Ene!$B$67</f>
        <v>ENTRETENIMIENTO</v>
      </c>
      <c r="AO87" s="86" t="str">
        <f>Ene!B71</f>
        <v>Cine</v>
      </c>
      <c r="AP87" s="80" t="str">
        <f t="shared" si="8"/>
        <v>ENTRETENIMIENTOCine</v>
      </c>
      <c r="AQ87" s="80" t="str">
        <f t="shared" si="9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Ene!$B$67</f>
        <v>ENTRETENIMIENTO</v>
      </c>
      <c r="AO88" s="86" t="str">
        <f>Ene!B72</f>
        <v>Deporte</v>
      </c>
      <c r="AP88" s="80" t="str">
        <f t="shared" si="8"/>
        <v>ENTRETENIMIENTODeporte</v>
      </c>
      <c r="AQ88" s="80" t="str">
        <f t="shared" si="9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Ene!$B$67</f>
        <v>ENTRETENIMIENTO</v>
      </c>
      <c r="AO89" s="86" t="str">
        <f>Ene!B73</f>
        <v>Netflix</v>
      </c>
      <c r="AP89" s="80" t="str">
        <f t="shared" si="8"/>
        <v>ENTRETENIMIENTONetflix</v>
      </c>
      <c r="AQ89" s="80" t="str">
        <f t="shared" si="9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Ene!$B$67</f>
        <v>ENTRETENIMIENTO</v>
      </c>
      <c r="AO90" s="86" t="str">
        <f>Ene!B74</f>
        <v xml:space="preserve">Spotify </v>
      </c>
      <c r="AP90" s="80" t="str">
        <f t="shared" si="8"/>
        <v xml:space="preserve">ENTRETENIMIENTOSpotify </v>
      </c>
      <c r="AQ90" s="80" t="str">
        <f t="shared" si="9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Ene!$B$67</f>
        <v>ENTRETENIMIENTO</v>
      </c>
      <c r="AO91" s="86" t="str">
        <f>Ene!B75</f>
        <v>google</v>
      </c>
      <c r="AP91" s="80" t="str">
        <f t="shared" si="8"/>
        <v>ENTRETENIMIENTOgoogle</v>
      </c>
      <c r="AQ91" s="80" t="str">
        <f t="shared" si="9"/>
        <v>ENTRETENIMIENTOgoogle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Ene!$B$67</f>
        <v>ENTRETENIMIENTO</v>
      </c>
      <c r="AO92" s="86" t="str">
        <f>Ene!B76</f>
        <v>hbo</v>
      </c>
      <c r="AP92" s="80" t="str">
        <f t="shared" si="8"/>
        <v>ENTRETENIMIENTOhbo</v>
      </c>
      <c r="AQ92" s="80" t="str">
        <f t="shared" si="9"/>
        <v>ENTRETENIMIENTOhbo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Ene!$B$67</f>
        <v>ENTRETENIMIENTO</v>
      </c>
      <c r="AO93" s="86" t="str">
        <f>Ene!B77</f>
        <v>Apple cloud</v>
      </c>
      <c r="AP93" s="80" t="str">
        <f t="shared" si="8"/>
        <v>ENTRETENIMIENTOApple cloud</v>
      </c>
      <c r="AQ93" s="80" t="str">
        <f t="shared" si="9"/>
        <v>ENTRETENIMIENTOApple cloud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Ene!$B$67</f>
        <v>ENTRETENIMIENTO</v>
      </c>
      <c r="AO94" s="88">
        <f>Ene!B78</f>
        <v>0</v>
      </c>
      <c r="AP94" s="80" t="str">
        <f t="shared" si="8"/>
        <v>ENTRETENIMIENTO0</v>
      </c>
      <c r="AQ94" s="80" t="str">
        <f t="shared" si="9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Ene!$H$67</f>
        <v>HIJOS</v>
      </c>
      <c r="AO95" s="84" t="str">
        <f>Ene!H68</f>
        <v>Ropa</v>
      </c>
      <c r="AP95" s="80" t="str">
        <f t="shared" si="8"/>
        <v>HIJOSRopa</v>
      </c>
      <c r="AQ95" s="80" t="str">
        <f t="shared" si="9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Ene!$H$67</f>
        <v>HIJOS</v>
      </c>
      <c r="AO96" s="86" t="str">
        <f>Ene!H69</f>
        <v xml:space="preserve">Estudio </v>
      </c>
      <c r="AP96" s="80" t="str">
        <f t="shared" si="8"/>
        <v xml:space="preserve">HIJOSEstudio </v>
      </c>
      <c r="AQ96" s="80" t="str">
        <f t="shared" si="9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Ene!$H$67</f>
        <v>HIJOS</v>
      </c>
      <c r="AO97" s="86" t="str">
        <f>Ene!H70</f>
        <v>Utiles Escolares</v>
      </c>
      <c r="AP97" s="80" t="str">
        <f t="shared" si="8"/>
        <v>HIJOSUtiles Escolares</v>
      </c>
      <c r="AQ97" s="80" t="str">
        <f t="shared" si="9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Ene!$H$67</f>
        <v>HIJOS</v>
      </c>
      <c r="AO98" s="86" t="str">
        <f>Ene!H71</f>
        <v>Niñera</v>
      </c>
      <c r="AP98" s="80" t="str">
        <f t="shared" si="8"/>
        <v>HIJOSNiñera</v>
      </c>
      <c r="AQ98" s="80" t="str">
        <f t="shared" si="9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Ene!$H$67</f>
        <v>HIJOS</v>
      </c>
      <c r="AO99" s="86">
        <f>Ene!H72</f>
        <v>0</v>
      </c>
      <c r="AP99" s="80" t="str">
        <f t="shared" si="8"/>
        <v>HIJOS0</v>
      </c>
      <c r="AQ99" s="80" t="str">
        <f t="shared" si="9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Ene!$H$67</f>
        <v>HIJOS</v>
      </c>
      <c r="AO100" s="86">
        <f>Ene!H73</f>
        <v>0</v>
      </c>
      <c r="AP100" s="80" t="str">
        <f t="shared" si="8"/>
        <v>HIJOS0</v>
      </c>
      <c r="AQ100" s="80" t="str">
        <f t="shared" si="9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Ene!$H$67</f>
        <v>HIJOS</v>
      </c>
      <c r="AO101" s="86">
        <f>Ene!H74</f>
        <v>0</v>
      </c>
      <c r="AP101" s="80" t="str">
        <f t="shared" si="8"/>
        <v>HIJOS0</v>
      </c>
      <c r="AQ101" s="80" t="str">
        <f t="shared" si="9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Ene!$H$67</f>
        <v>HIJOS</v>
      </c>
      <c r="AO102" s="86">
        <f>Ene!H75</f>
        <v>0</v>
      </c>
      <c r="AP102" s="80" t="str">
        <f t="shared" si="8"/>
        <v>HIJOS0</v>
      </c>
      <c r="AQ102" s="80" t="str">
        <f t="shared" si="9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Ene!$H$67</f>
        <v>HIJOS</v>
      </c>
      <c r="AO103" s="86">
        <f>Ene!H76</f>
        <v>0</v>
      </c>
      <c r="AP103" s="80" t="str">
        <f t="shared" si="8"/>
        <v>HIJOS0</v>
      </c>
      <c r="AQ103" s="80" t="str">
        <f t="shared" si="9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Ene!$H$67</f>
        <v>HIJOS</v>
      </c>
      <c r="AO104" s="86">
        <f>Ene!H77</f>
        <v>0</v>
      </c>
      <c r="AP104" s="80" t="str">
        <f t="shared" si="8"/>
        <v>HIJOS0</v>
      </c>
      <c r="AQ104" s="80" t="str">
        <f t="shared" si="9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Ene!$H$67</f>
        <v>HIJOS</v>
      </c>
      <c r="AO105" s="88">
        <f>Ene!H78</f>
        <v>0</v>
      </c>
      <c r="AP105" s="80" t="str">
        <f t="shared" si="8"/>
        <v>HIJOS0</v>
      </c>
      <c r="AQ105" s="80" t="str">
        <f t="shared" si="9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Ene!$B$81</f>
        <v>MASCOTA</v>
      </c>
      <c r="AO106" s="84" t="str">
        <f>Ene!B82</f>
        <v>Comida</v>
      </c>
      <c r="AP106" s="80" t="str">
        <f t="shared" si="8"/>
        <v>MASCOTAComida</v>
      </c>
      <c r="AQ106" s="80" t="str">
        <f t="shared" si="9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Ene!$B$81</f>
        <v>MASCOTA</v>
      </c>
      <c r="AO107" s="86" t="str">
        <f>Ene!B83</f>
        <v>Veterinario</v>
      </c>
      <c r="AP107" s="80" t="str">
        <f t="shared" si="8"/>
        <v>MASCOTAVeterinario</v>
      </c>
      <c r="AQ107" s="80" t="str">
        <f t="shared" si="9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Ene!$B$81</f>
        <v>MASCOTA</v>
      </c>
      <c r="AO108" s="86" t="str">
        <f>Ene!B84</f>
        <v>Juguetes</v>
      </c>
      <c r="AP108" s="80" t="str">
        <f t="shared" si="8"/>
        <v>MASCOTAJuguetes</v>
      </c>
      <c r="AQ108" s="80" t="str">
        <f t="shared" si="9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Ene!$B$81</f>
        <v>MASCOTA</v>
      </c>
      <c r="AO109" s="86" t="str">
        <f>Ene!B85</f>
        <v>Medicinas</v>
      </c>
      <c r="AP109" s="80" t="str">
        <f t="shared" si="8"/>
        <v>MASCOTAMedicinas</v>
      </c>
      <c r="AQ109" s="80" t="str">
        <f t="shared" si="9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Ene!$B$81</f>
        <v>MASCOTA</v>
      </c>
      <c r="AO110" s="86">
        <f>Ene!B86</f>
        <v>0</v>
      </c>
      <c r="AP110" s="80" t="str">
        <f t="shared" si="8"/>
        <v>MASCOTA0</v>
      </c>
      <c r="AQ110" s="80" t="str">
        <f t="shared" si="9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Ene!$B$81</f>
        <v>MASCOTA</v>
      </c>
      <c r="AO111" s="88">
        <f>Ene!B87</f>
        <v>0</v>
      </c>
      <c r="AP111" s="80" t="str">
        <f t="shared" si="8"/>
        <v>MASCOTA0</v>
      </c>
      <c r="AQ111" s="80" t="str">
        <f t="shared" si="9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Ene!$H$81</f>
        <v>VIAJES</v>
      </c>
      <c r="AO112" s="84" t="str">
        <f>Ene!H82</f>
        <v>Meddlin</v>
      </c>
      <c r="AP112" s="80" t="str">
        <f t="shared" si="8"/>
        <v>VIAJESMeddlin</v>
      </c>
      <c r="AQ112" s="80" t="str">
        <f t="shared" si="9"/>
        <v>VIAJESMeddlin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Ene!$H$81</f>
        <v>VIAJES</v>
      </c>
      <c r="AO113" s="86">
        <f>Ene!H83</f>
        <v>0</v>
      </c>
      <c r="AP113" s="80" t="str">
        <f t="shared" si="8"/>
        <v>VIAJES0</v>
      </c>
      <c r="AQ113" s="80" t="str">
        <f t="shared" si="9"/>
        <v>VIAJES0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Ene!$H$81</f>
        <v>VIAJES</v>
      </c>
      <c r="AO114" s="86">
        <f>Ene!H84</f>
        <v>0</v>
      </c>
      <c r="AP114" s="80" t="str">
        <f t="shared" si="8"/>
        <v>VIAJES0</v>
      </c>
      <c r="AQ114" s="80" t="str">
        <f t="shared" si="9"/>
        <v>VIAJES0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Ene!$H$81</f>
        <v>VIAJES</v>
      </c>
      <c r="AO115" s="86">
        <f>Ene!H85</f>
        <v>0</v>
      </c>
      <c r="AP115" s="80" t="str">
        <f t="shared" si="8"/>
        <v>VIAJES0</v>
      </c>
      <c r="AQ115" s="80" t="str">
        <f t="shared" si="9"/>
        <v>VIAJES0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Ene!$H$81</f>
        <v>VIAJES</v>
      </c>
      <c r="AO116" s="86">
        <f>Ene!H86</f>
        <v>0</v>
      </c>
      <c r="AP116" s="80" t="str">
        <f t="shared" si="8"/>
        <v>VIAJES0</v>
      </c>
      <c r="AQ116" s="80" t="str">
        <f t="shared" si="9"/>
        <v>VIAJES0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Ene!$H$81</f>
        <v>VIAJES</v>
      </c>
      <c r="AO117" s="88">
        <f>Ene!H87</f>
        <v>0</v>
      </c>
      <c r="AP117" s="80" t="str">
        <f t="shared" si="8"/>
        <v>VIAJES0</v>
      </c>
      <c r="AQ117" s="80" t="str">
        <f t="shared" si="9"/>
        <v>VIAJES0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Ene!$B$90</f>
        <v>OTROS 2</v>
      </c>
      <c r="AO118" s="84" t="str">
        <f>Ene!B91</f>
        <v>OPENAI</v>
      </c>
      <c r="AP118" s="80" t="str">
        <f t="shared" si="8"/>
        <v>OTROS 2OPENAI</v>
      </c>
      <c r="AQ118" s="80" t="str">
        <f t="shared" si="9"/>
        <v>OTROS 2OPENAI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Ene!$B$90</f>
        <v>OTROS 2</v>
      </c>
      <c r="AO119" s="86" t="str">
        <f>Ene!B92</f>
        <v>clases de canto</v>
      </c>
      <c r="AP119" s="80" t="str">
        <f t="shared" si="8"/>
        <v>OTROS 2clases de canto</v>
      </c>
      <c r="AQ119" s="80" t="str">
        <f t="shared" si="9"/>
        <v>OTROS 2clases de canto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Ene!$B$90</f>
        <v>OTROS 2</v>
      </c>
      <c r="AO120" s="86">
        <f>Ene!B93</f>
        <v>0</v>
      </c>
      <c r="AP120" s="80" t="str">
        <f t="shared" si="8"/>
        <v>OTROS 20</v>
      </c>
      <c r="AQ120" s="80" t="str">
        <f t="shared" si="9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Ene!$B$90</f>
        <v>OTROS 2</v>
      </c>
      <c r="AO121" s="86">
        <f>Ene!B94</f>
        <v>0</v>
      </c>
      <c r="AP121" s="80" t="str">
        <f t="shared" si="8"/>
        <v>OTROS 20</v>
      </c>
      <c r="AQ121" s="80" t="str">
        <f t="shared" si="9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Ene!$B$90</f>
        <v>OTROS 2</v>
      </c>
      <c r="AO122" s="86">
        <f>Ene!B95</f>
        <v>0</v>
      </c>
      <c r="AP122" s="80" t="str">
        <f t="shared" si="8"/>
        <v>OTROS 20</v>
      </c>
      <c r="AQ122" s="80" t="str">
        <f t="shared" si="9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Ene!$B$90</f>
        <v>OTROS 2</v>
      </c>
      <c r="AO123" s="88">
        <f>Ene!B96</f>
        <v>0</v>
      </c>
      <c r="AP123" s="80" t="str">
        <f t="shared" si="8"/>
        <v>OTROS 20</v>
      </c>
      <c r="AQ123" s="80" t="str">
        <f t="shared" si="9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Ene!$H$90</f>
        <v>OTROS 3</v>
      </c>
      <c r="AO124" s="84">
        <f>Ene!H91</f>
        <v>0</v>
      </c>
      <c r="AP124" s="80" t="str">
        <f t="shared" si="8"/>
        <v>OTROS 30</v>
      </c>
      <c r="AQ124" s="80" t="str">
        <f t="shared" si="9"/>
        <v>OTROS 30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Ene!$H$90</f>
        <v>OTROS 3</v>
      </c>
      <c r="AO125" s="86">
        <f>Ene!H92</f>
        <v>0</v>
      </c>
      <c r="AP125" s="80" t="str">
        <f t="shared" si="8"/>
        <v>OTROS 30</v>
      </c>
      <c r="AQ125" s="80" t="str">
        <f t="shared" si="9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Ene!$H$90</f>
        <v>OTROS 3</v>
      </c>
      <c r="AO126" s="86">
        <f>Ene!H93</f>
        <v>0</v>
      </c>
      <c r="AP126" s="80" t="str">
        <f t="shared" si="8"/>
        <v>OTROS 30</v>
      </c>
      <c r="AQ126" s="80" t="str">
        <f t="shared" si="9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Ene!$H$90</f>
        <v>OTROS 3</v>
      </c>
      <c r="AO127" s="86">
        <f>Ene!H94</f>
        <v>0</v>
      </c>
      <c r="AP127" s="80" t="str">
        <f t="shared" si="8"/>
        <v>OTROS 30</v>
      </c>
      <c r="AQ127" s="80" t="str">
        <f t="shared" si="9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Ene!$H$90</f>
        <v>OTROS 3</v>
      </c>
      <c r="AO128" s="86">
        <f>Ene!H95</f>
        <v>0</v>
      </c>
      <c r="AP128" s="80" t="str">
        <f t="shared" si="8"/>
        <v>OTROS 30</v>
      </c>
      <c r="AQ128" s="80" t="str">
        <f t="shared" si="9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Ene!$H$90</f>
        <v>OTROS 3</v>
      </c>
      <c r="AO129" s="88">
        <f>Ene!H96</f>
        <v>0</v>
      </c>
      <c r="AP129" s="80" t="str">
        <f t="shared" si="8"/>
        <v>OTROS 30</v>
      </c>
      <c r="AQ129" s="80" t="str">
        <f t="shared" si="9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Ene!$B$100</f>
        <v>OTROS 4</v>
      </c>
      <c r="AO130" s="84">
        <f>Ene!B101</f>
        <v>0</v>
      </c>
      <c r="AP130" s="80" t="str">
        <f t="shared" si="8"/>
        <v>OTROS 40</v>
      </c>
      <c r="AQ130" s="80" t="str">
        <f t="shared" si="9"/>
        <v>OTROS 40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40" si="11">E131&amp;F131</f>
        <v/>
      </c>
      <c r="I131" s="78" t="str">
        <f t="shared" ref="I131:I140" si="12">IFERROR(VLOOKUP(H131,$AP:$AQ,2,FALSE),"Error")</f>
        <v>Error</v>
      </c>
      <c r="J131" s="79" t="str">
        <f t="shared" si="10"/>
        <v>Revisa tu subcategoria</v>
      </c>
      <c r="AN131" s="85" t="str">
        <f>Ene!$B$100</f>
        <v>OTROS 4</v>
      </c>
      <c r="AO131" s="86">
        <f>Ene!B102</f>
        <v>0</v>
      </c>
      <c r="AP131" s="80" t="str">
        <f t="shared" si="8"/>
        <v>OTROS 40</v>
      </c>
      <c r="AQ131" s="80" t="str">
        <f t="shared" si="9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Ene!$B$100</f>
        <v>OTROS 4</v>
      </c>
      <c r="AO132" s="86">
        <f>Ene!B103</f>
        <v>0</v>
      </c>
      <c r="AP132" s="80" t="str">
        <f t="shared" si="8"/>
        <v>OTROS 40</v>
      </c>
      <c r="AQ132" s="80" t="str">
        <f t="shared" si="9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Ene!$B$100</f>
        <v>OTROS 4</v>
      </c>
      <c r="AO133" s="86">
        <f>Ene!B104</f>
        <v>0</v>
      </c>
      <c r="AP133" s="80" t="str">
        <f t="shared" ref="AP133:AP141" si="13">AN133&amp;AO133</f>
        <v>OTROS 40</v>
      </c>
      <c r="AQ133" s="80" t="str">
        <f t="shared" ref="AQ133:AQ141" si="14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Ene!$B$100</f>
        <v>OTROS 4</v>
      </c>
      <c r="AO134" s="86">
        <f>Ene!B105</f>
        <v>0</v>
      </c>
      <c r="AP134" s="80" t="str">
        <f t="shared" si="13"/>
        <v>OTROS 40</v>
      </c>
      <c r="AQ134" s="80" t="str">
        <f t="shared" si="14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Ene!$B$100</f>
        <v>OTROS 4</v>
      </c>
      <c r="AO135" s="88">
        <f>Ene!B106</f>
        <v>0</v>
      </c>
      <c r="AP135" s="80" t="str">
        <f t="shared" si="13"/>
        <v>OTROS 40</v>
      </c>
      <c r="AQ135" s="80" t="str">
        <f t="shared" si="14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40" si="15">IF(H136=I136,"Es correcto","Revisa tu subcategoria")</f>
        <v>Revisa tu subcategoria</v>
      </c>
      <c r="AN136" s="83" t="str">
        <f>Ene!$H$100</f>
        <v>OTROS 5</v>
      </c>
      <c r="AO136" s="84">
        <f>Ene!H101</f>
        <v>0</v>
      </c>
      <c r="AP136" s="80" t="str">
        <f t="shared" si="13"/>
        <v>OTROS 50</v>
      </c>
      <c r="AQ136" s="80" t="str">
        <f t="shared" si="14"/>
        <v>OTROS 50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Ene!$H$100</f>
        <v>OTROS 5</v>
      </c>
      <c r="AO137" s="86">
        <f>Ene!H102</f>
        <v>0</v>
      </c>
      <c r="AP137" s="80" t="str">
        <f t="shared" si="13"/>
        <v>OTROS 50</v>
      </c>
      <c r="AQ137" s="80" t="str">
        <f t="shared" si="14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Ene!$H$100</f>
        <v>OTROS 5</v>
      </c>
      <c r="AO138" s="86">
        <f>Ene!H103</f>
        <v>0</v>
      </c>
      <c r="AP138" s="80" t="str">
        <f t="shared" si="13"/>
        <v>OTROS 50</v>
      </c>
      <c r="AQ138" s="80" t="str">
        <f t="shared" si="14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Ene!$H$100</f>
        <v>OTROS 5</v>
      </c>
      <c r="AO139" s="86">
        <f>Ene!H104</f>
        <v>0</v>
      </c>
      <c r="AP139" s="80" t="str">
        <f t="shared" si="13"/>
        <v>OTROS 50</v>
      </c>
      <c r="AQ139" s="80" t="str">
        <f t="shared" si="14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Ene!$H$100</f>
        <v>OTROS 5</v>
      </c>
      <c r="AO140" s="86">
        <f>Ene!H105</f>
        <v>0</v>
      </c>
      <c r="AP140" s="80" t="str">
        <f t="shared" si="13"/>
        <v>OTROS 50</v>
      </c>
      <c r="AQ140" s="80" t="str">
        <f t="shared" si="14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ref="H141:H204" si="16">E141&amp;F141</f>
        <v/>
      </c>
      <c r="I141" s="78" t="str">
        <f t="shared" ref="I141:I204" si="17">IFERROR(VLOOKUP(H141,$AP:$AQ,2,FALSE),"Error")</f>
        <v>Error</v>
      </c>
      <c r="J141" s="79" t="str">
        <f t="shared" ref="J141:J204" si="18">IF(H141=I141,"Es correcto","Revisa tu subcategoria")</f>
        <v>Revisa tu subcategoria</v>
      </c>
      <c r="AN141" s="87" t="str">
        <f>Ene!$H$100</f>
        <v>OTROS 5</v>
      </c>
      <c r="AO141" s="88">
        <f>Ene!H106</f>
        <v>0</v>
      </c>
      <c r="AP141" s="80" t="str">
        <f t="shared" si="13"/>
        <v>OTROS 50</v>
      </c>
      <c r="AQ141" s="80" t="str">
        <f t="shared" si="14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6"/>
        <v/>
      </c>
      <c r="I142" s="78" t="str">
        <f t="shared" si="17"/>
        <v>Error</v>
      </c>
      <c r="J142" s="79" t="str">
        <f t="shared" si="18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6"/>
        <v/>
      </c>
      <c r="I143" s="78" t="str">
        <f t="shared" si="17"/>
        <v>Error</v>
      </c>
      <c r="J143" s="79" t="str">
        <f t="shared" si="18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6"/>
        <v/>
      </c>
      <c r="I144" s="78" t="str">
        <f t="shared" si="17"/>
        <v>Error</v>
      </c>
      <c r="J144" s="79" t="str">
        <f t="shared" si="18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6"/>
        <v/>
      </c>
      <c r="I145" s="78" t="str">
        <f t="shared" si="17"/>
        <v>Error</v>
      </c>
      <c r="J145" s="79" t="str">
        <f t="shared" si="18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6"/>
        <v/>
      </c>
      <c r="I146" s="78" t="str">
        <f t="shared" si="17"/>
        <v>Error</v>
      </c>
      <c r="J146" s="79" t="str">
        <f t="shared" si="18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6"/>
        <v/>
      </c>
      <c r="I147" s="78" t="str">
        <f t="shared" si="17"/>
        <v>Error</v>
      </c>
      <c r="J147" s="79" t="str">
        <f t="shared" si="18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6"/>
        <v/>
      </c>
      <c r="I148" s="78" t="str">
        <f t="shared" si="17"/>
        <v>Error</v>
      </c>
      <c r="J148" s="79" t="str">
        <f t="shared" si="18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6"/>
        <v/>
      </c>
      <c r="I149" s="78" t="str">
        <f t="shared" si="17"/>
        <v>Error</v>
      </c>
      <c r="J149" s="79" t="str">
        <f t="shared" si="18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6"/>
        <v/>
      </c>
      <c r="I150" s="78" t="str">
        <f t="shared" si="17"/>
        <v>Error</v>
      </c>
      <c r="J150" s="79" t="str">
        <f t="shared" si="18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6"/>
        <v/>
      </c>
      <c r="I151" s="78" t="str">
        <f t="shared" si="17"/>
        <v>Error</v>
      </c>
      <c r="J151" s="79" t="str">
        <f t="shared" si="18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6"/>
        <v/>
      </c>
      <c r="I152" s="78" t="str">
        <f t="shared" si="17"/>
        <v>Error</v>
      </c>
      <c r="J152" s="79" t="str">
        <f t="shared" si="18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6"/>
        <v/>
      </c>
      <c r="I153" s="78" t="str">
        <f t="shared" si="17"/>
        <v>Error</v>
      </c>
      <c r="J153" s="79" t="str">
        <f t="shared" si="18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6"/>
        <v/>
      </c>
      <c r="I154" s="78" t="str">
        <f t="shared" si="17"/>
        <v>Error</v>
      </c>
      <c r="J154" s="79" t="str">
        <f t="shared" si="18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6"/>
        <v/>
      </c>
      <c r="I155" s="78" t="str">
        <f t="shared" si="17"/>
        <v>Error</v>
      </c>
      <c r="J155" s="79" t="str">
        <f t="shared" si="18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6"/>
        <v/>
      </c>
      <c r="I156" s="78" t="str">
        <f t="shared" si="17"/>
        <v>Error</v>
      </c>
      <c r="J156" s="79" t="str">
        <f t="shared" si="18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6"/>
        <v/>
      </c>
      <c r="I157" s="78" t="str">
        <f t="shared" si="17"/>
        <v>Error</v>
      </c>
      <c r="J157" s="79" t="str">
        <f t="shared" si="18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6"/>
        <v/>
      </c>
      <c r="I158" s="78" t="str">
        <f t="shared" si="17"/>
        <v>Error</v>
      </c>
      <c r="J158" s="79" t="str">
        <f t="shared" si="18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6"/>
        <v/>
      </c>
      <c r="I159" s="78" t="str">
        <f t="shared" si="17"/>
        <v>Error</v>
      </c>
      <c r="J159" s="79" t="str">
        <f t="shared" si="18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6"/>
        <v/>
      </c>
      <c r="I160" s="78" t="str">
        <f t="shared" si="17"/>
        <v>Error</v>
      </c>
      <c r="J160" s="79" t="str">
        <f t="shared" si="18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6"/>
        <v/>
      </c>
      <c r="I161" s="78" t="str">
        <f t="shared" si="17"/>
        <v>Error</v>
      </c>
      <c r="J161" s="79" t="str">
        <f t="shared" si="18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6"/>
        <v/>
      </c>
      <c r="I162" s="78" t="str">
        <f t="shared" si="17"/>
        <v>Error</v>
      </c>
      <c r="J162" s="79" t="str">
        <f t="shared" si="18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6"/>
        <v/>
      </c>
      <c r="I163" s="78" t="str">
        <f t="shared" si="17"/>
        <v>Error</v>
      </c>
      <c r="J163" s="79" t="str">
        <f t="shared" si="18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6"/>
        <v/>
      </c>
      <c r="I164" s="78" t="str">
        <f t="shared" si="17"/>
        <v>Error</v>
      </c>
      <c r="J164" s="79" t="str">
        <f t="shared" si="18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6"/>
        <v/>
      </c>
      <c r="I165" s="78" t="str">
        <f t="shared" si="17"/>
        <v>Error</v>
      </c>
      <c r="J165" s="79" t="str">
        <f t="shared" si="18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6"/>
        <v/>
      </c>
      <c r="I166" s="78" t="str">
        <f t="shared" si="17"/>
        <v>Error</v>
      </c>
      <c r="J166" s="79" t="str">
        <f t="shared" si="18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6"/>
        <v/>
      </c>
      <c r="I167" s="78" t="str">
        <f t="shared" si="17"/>
        <v>Error</v>
      </c>
      <c r="J167" s="79" t="str">
        <f t="shared" si="18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6"/>
        <v/>
      </c>
      <c r="I168" s="78" t="str">
        <f t="shared" si="17"/>
        <v>Error</v>
      </c>
      <c r="J168" s="79" t="str">
        <f t="shared" si="18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6"/>
        <v/>
      </c>
      <c r="I169" s="78" t="str">
        <f t="shared" si="17"/>
        <v>Error</v>
      </c>
      <c r="J169" s="79" t="str">
        <f t="shared" si="18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6"/>
        <v/>
      </c>
      <c r="I170" s="78" t="str">
        <f t="shared" si="17"/>
        <v>Error</v>
      </c>
      <c r="J170" s="79" t="str">
        <f t="shared" si="18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6"/>
        <v/>
      </c>
      <c r="I171" s="78" t="str">
        <f t="shared" si="17"/>
        <v>Error</v>
      </c>
      <c r="J171" s="79" t="str">
        <f t="shared" si="18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6"/>
        <v/>
      </c>
      <c r="I172" s="78" t="str">
        <f t="shared" si="17"/>
        <v>Error</v>
      </c>
      <c r="J172" s="79" t="str">
        <f t="shared" si="18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6"/>
        <v/>
      </c>
      <c r="I173" s="78" t="str">
        <f t="shared" si="17"/>
        <v>Error</v>
      </c>
      <c r="J173" s="79" t="str">
        <f t="shared" si="18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6"/>
        <v/>
      </c>
      <c r="I174" s="78" t="str">
        <f t="shared" si="17"/>
        <v>Error</v>
      </c>
      <c r="J174" s="79" t="str">
        <f t="shared" si="18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6"/>
        <v/>
      </c>
      <c r="I175" s="78" t="str">
        <f t="shared" si="17"/>
        <v>Error</v>
      </c>
      <c r="J175" s="79" t="str">
        <f t="shared" si="18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6"/>
        <v/>
      </c>
      <c r="I176" s="78" t="str">
        <f t="shared" si="17"/>
        <v>Error</v>
      </c>
      <c r="J176" s="79" t="str">
        <f t="shared" si="18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6"/>
        <v/>
      </c>
      <c r="I177" s="78" t="str">
        <f t="shared" si="17"/>
        <v>Error</v>
      </c>
      <c r="J177" s="79" t="str">
        <f t="shared" si="18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6"/>
        <v/>
      </c>
      <c r="I178" s="78" t="str">
        <f t="shared" si="17"/>
        <v>Error</v>
      </c>
      <c r="J178" s="79" t="str">
        <f t="shared" si="18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6"/>
        <v/>
      </c>
      <c r="I179" s="78" t="str">
        <f t="shared" si="17"/>
        <v>Error</v>
      </c>
      <c r="J179" s="79" t="str">
        <f t="shared" si="18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6"/>
        <v/>
      </c>
      <c r="I180" s="78" t="str">
        <f t="shared" si="17"/>
        <v>Error</v>
      </c>
      <c r="J180" s="79" t="str">
        <f t="shared" si="18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6"/>
        <v/>
      </c>
      <c r="I181" s="78" t="str">
        <f t="shared" si="17"/>
        <v>Error</v>
      </c>
      <c r="J181" s="79" t="str">
        <f t="shared" si="18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6"/>
        <v/>
      </c>
      <c r="I182" s="78" t="str">
        <f t="shared" si="17"/>
        <v>Error</v>
      </c>
      <c r="J182" s="79" t="str">
        <f t="shared" si="18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6"/>
        <v/>
      </c>
      <c r="I183" s="78" t="str">
        <f t="shared" si="17"/>
        <v>Error</v>
      </c>
      <c r="J183" s="79" t="str">
        <f t="shared" si="18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6"/>
        <v/>
      </c>
      <c r="I184" s="78" t="str">
        <f t="shared" si="17"/>
        <v>Error</v>
      </c>
      <c r="J184" s="79" t="str">
        <f t="shared" si="18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6"/>
        <v/>
      </c>
      <c r="I185" s="78" t="str">
        <f t="shared" si="17"/>
        <v>Error</v>
      </c>
      <c r="J185" s="79" t="str">
        <f t="shared" si="18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6"/>
        <v/>
      </c>
      <c r="I186" s="78" t="str">
        <f t="shared" si="17"/>
        <v>Error</v>
      </c>
      <c r="J186" s="79" t="str">
        <f t="shared" si="18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6"/>
        <v/>
      </c>
      <c r="I187" s="78" t="str">
        <f t="shared" si="17"/>
        <v>Error</v>
      </c>
      <c r="J187" s="79" t="str">
        <f t="shared" si="18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6"/>
        <v/>
      </c>
      <c r="I188" s="78" t="str">
        <f t="shared" si="17"/>
        <v>Error</v>
      </c>
      <c r="J188" s="79" t="str">
        <f t="shared" si="18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6"/>
        <v/>
      </c>
      <c r="I189" s="78" t="str">
        <f t="shared" si="17"/>
        <v>Error</v>
      </c>
      <c r="J189" s="79" t="str">
        <f t="shared" si="18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6"/>
        <v/>
      </c>
      <c r="I190" s="78" t="str">
        <f t="shared" si="17"/>
        <v>Error</v>
      </c>
      <c r="J190" s="79" t="str">
        <f t="shared" si="18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6"/>
        <v/>
      </c>
      <c r="I191" s="78" t="str">
        <f t="shared" si="17"/>
        <v>Error</v>
      </c>
      <c r="J191" s="79" t="str">
        <f t="shared" si="18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6"/>
        <v/>
      </c>
      <c r="I192" s="78" t="str">
        <f t="shared" si="17"/>
        <v>Error</v>
      </c>
      <c r="J192" s="79" t="str">
        <f t="shared" si="18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6"/>
        <v/>
      </c>
      <c r="I193" s="78" t="str">
        <f t="shared" si="17"/>
        <v>Error</v>
      </c>
      <c r="J193" s="79" t="str">
        <f t="shared" si="18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6"/>
        <v/>
      </c>
      <c r="I194" s="78" t="str">
        <f t="shared" si="17"/>
        <v>Error</v>
      </c>
      <c r="J194" s="79" t="str">
        <f t="shared" si="18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si="16"/>
        <v/>
      </c>
      <c r="I195" s="78" t="str">
        <f t="shared" si="17"/>
        <v>Error</v>
      </c>
      <c r="J195" s="79" t="str">
        <f t="shared" si="18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8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8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8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8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si="18"/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ref="H205:H268" si="19">E205&amp;F205</f>
        <v/>
      </c>
      <c r="I205" s="78" t="str">
        <f t="shared" ref="I205:I268" si="20">IFERROR(VLOOKUP(H205,$AP:$AQ,2,FALSE),"Error")</f>
        <v>Error</v>
      </c>
      <c r="J205" s="79" t="str">
        <f t="shared" ref="J205:J268" si="21">IF(H205=I205,"Es correcto","Revisa tu subcategoria")</f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9"/>
        <v/>
      </c>
      <c r="I206" s="78" t="str">
        <f t="shared" si="20"/>
        <v>Error</v>
      </c>
      <c r="J206" s="79" t="str">
        <f t="shared" si="21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9"/>
        <v/>
      </c>
      <c r="I207" s="78" t="str">
        <f t="shared" si="20"/>
        <v>Error</v>
      </c>
      <c r="J207" s="79" t="str">
        <f t="shared" si="21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9"/>
        <v/>
      </c>
      <c r="I208" s="78" t="str">
        <f t="shared" si="20"/>
        <v>Error</v>
      </c>
      <c r="J208" s="79" t="str">
        <f t="shared" si="21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9"/>
        <v/>
      </c>
      <c r="I209" s="78" t="str">
        <f t="shared" si="20"/>
        <v>Error</v>
      </c>
      <c r="J209" s="79" t="str">
        <f t="shared" si="21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9"/>
        <v/>
      </c>
      <c r="I210" s="78" t="str">
        <f t="shared" si="20"/>
        <v>Error</v>
      </c>
      <c r="J210" s="79" t="str">
        <f t="shared" si="21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9"/>
        <v/>
      </c>
      <c r="I211" s="78" t="str">
        <f t="shared" si="20"/>
        <v>Error</v>
      </c>
      <c r="J211" s="79" t="str">
        <f t="shared" si="21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9"/>
        <v/>
      </c>
      <c r="I212" s="78" t="str">
        <f t="shared" si="20"/>
        <v>Error</v>
      </c>
      <c r="J212" s="79" t="str">
        <f t="shared" si="21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9"/>
        <v/>
      </c>
      <c r="I213" s="78" t="str">
        <f t="shared" si="20"/>
        <v>Error</v>
      </c>
      <c r="J213" s="79" t="str">
        <f t="shared" si="21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9"/>
        <v/>
      </c>
      <c r="I214" s="78" t="str">
        <f t="shared" si="20"/>
        <v>Error</v>
      </c>
      <c r="J214" s="79" t="str">
        <f t="shared" si="21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9"/>
        <v/>
      </c>
      <c r="I215" s="78" t="str">
        <f t="shared" si="20"/>
        <v>Error</v>
      </c>
      <c r="J215" s="79" t="str">
        <f t="shared" si="21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9"/>
        <v/>
      </c>
      <c r="I216" s="78" t="str">
        <f t="shared" si="20"/>
        <v>Error</v>
      </c>
      <c r="J216" s="79" t="str">
        <f t="shared" si="21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9"/>
        <v/>
      </c>
      <c r="I217" s="78" t="str">
        <f t="shared" si="20"/>
        <v>Error</v>
      </c>
      <c r="J217" s="79" t="str">
        <f t="shared" si="21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9"/>
        <v/>
      </c>
      <c r="I218" s="78" t="str">
        <f t="shared" si="20"/>
        <v>Error</v>
      </c>
      <c r="J218" s="79" t="str">
        <f t="shared" si="21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9"/>
        <v/>
      </c>
      <c r="I219" s="78" t="str">
        <f t="shared" si="20"/>
        <v>Error</v>
      </c>
      <c r="J219" s="79" t="str">
        <f t="shared" si="21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9"/>
        <v/>
      </c>
      <c r="I220" s="78" t="str">
        <f t="shared" si="20"/>
        <v>Error</v>
      </c>
      <c r="J220" s="79" t="str">
        <f t="shared" si="21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9"/>
        <v/>
      </c>
      <c r="I221" s="78" t="str">
        <f t="shared" si="20"/>
        <v>Error</v>
      </c>
      <c r="J221" s="79" t="str">
        <f t="shared" si="21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9"/>
        <v/>
      </c>
      <c r="I222" s="78" t="str">
        <f t="shared" si="20"/>
        <v>Error</v>
      </c>
      <c r="J222" s="79" t="str">
        <f t="shared" si="21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9"/>
        <v/>
      </c>
      <c r="I223" s="78" t="str">
        <f t="shared" si="20"/>
        <v>Error</v>
      </c>
      <c r="J223" s="79" t="str">
        <f t="shared" si="21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9"/>
        <v/>
      </c>
      <c r="I224" s="78" t="str">
        <f t="shared" si="20"/>
        <v>Error</v>
      </c>
      <c r="J224" s="79" t="str">
        <f t="shared" si="21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9"/>
        <v/>
      </c>
      <c r="I225" s="78" t="str">
        <f t="shared" si="20"/>
        <v>Error</v>
      </c>
      <c r="J225" s="79" t="str">
        <f t="shared" si="21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9"/>
        <v/>
      </c>
      <c r="I226" s="78" t="str">
        <f t="shared" si="20"/>
        <v>Error</v>
      </c>
      <c r="J226" s="79" t="str">
        <f t="shared" si="21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9"/>
        <v/>
      </c>
      <c r="I227" s="78" t="str">
        <f t="shared" si="20"/>
        <v>Error</v>
      </c>
      <c r="J227" s="79" t="str">
        <f t="shared" si="21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9"/>
        <v/>
      </c>
      <c r="I228" s="78" t="str">
        <f t="shared" si="20"/>
        <v>Error</v>
      </c>
      <c r="J228" s="79" t="str">
        <f t="shared" si="21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9"/>
        <v/>
      </c>
      <c r="I229" s="78" t="str">
        <f t="shared" si="20"/>
        <v>Error</v>
      </c>
      <c r="J229" s="79" t="str">
        <f t="shared" si="21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9"/>
        <v/>
      </c>
      <c r="I230" s="78" t="str">
        <f t="shared" si="20"/>
        <v>Error</v>
      </c>
      <c r="J230" s="79" t="str">
        <f t="shared" si="21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9"/>
        <v/>
      </c>
      <c r="I231" s="78" t="str">
        <f t="shared" si="20"/>
        <v>Error</v>
      </c>
      <c r="J231" s="79" t="str">
        <f t="shared" si="21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9"/>
        <v/>
      </c>
      <c r="I232" s="78" t="str">
        <f t="shared" si="20"/>
        <v>Error</v>
      </c>
      <c r="J232" s="79" t="str">
        <f t="shared" si="21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9"/>
        <v/>
      </c>
      <c r="I233" s="78" t="str">
        <f t="shared" si="20"/>
        <v>Error</v>
      </c>
      <c r="J233" s="79" t="str">
        <f t="shared" si="21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9"/>
        <v/>
      </c>
      <c r="I234" s="78" t="str">
        <f t="shared" si="20"/>
        <v>Error</v>
      </c>
      <c r="J234" s="79" t="str">
        <f t="shared" si="21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9"/>
        <v/>
      </c>
      <c r="I235" s="78" t="str">
        <f t="shared" si="20"/>
        <v>Error</v>
      </c>
      <c r="J235" s="79" t="str">
        <f t="shared" si="21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9"/>
        <v/>
      </c>
      <c r="I236" s="78" t="str">
        <f t="shared" si="20"/>
        <v>Error</v>
      </c>
      <c r="J236" s="79" t="str">
        <f t="shared" si="21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9"/>
        <v/>
      </c>
      <c r="I237" s="78" t="str">
        <f t="shared" si="20"/>
        <v>Error</v>
      </c>
      <c r="J237" s="79" t="str">
        <f t="shared" si="21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9"/>
        <v/>
      </c>
      <c r="I238" s="78" t="str">
        <f t="shared" si="20"/>
        <v>Error</v>
      </c>
      <c r="J238" s="79" t="str">
        <f t="shared" si="21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9"/>
        <v/>
      </c>
      <c r="I239" s="78" t="str">
        <f t="shared" si="20"/>
        <v>Error</v>
      </c>
      <c r="J239" s="79" t="str">
        <f t="shared" si="21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9"/>
        <v/>
      </c>
      <c r="I240" s="78" t="str">
        <f t="shared" si="20"/>
        <v>Error</v>
      </c>
      <c r="J240" s="79" t="str">
        <f t="shared" si="21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9"/>
        <v/>
      </c>
      <c r="I241" s="78" t="str">
        <f t="shared" si="20"/>
        <v>Error</v>
      </c>
      <c r="J241" s="79" t="str">
        <f t="shared" si="21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9"/>
        <v/>
      </c>
      <c r="I242" s="78" t="str">
        <f t="shared" si="20"/>
        <v>Error</v>
      </c>
      <c r="J242" s="79" t="str">
        <f t="shared" si="21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9"/>
        <v/>
      </c>
      <c r="I243" s="78" t="str">
        <f t="shared" si="20"/>
        <v>Error</v>
      </c>
      <c r="J243" s="79" t="str">
        <f t="shared" si="21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9"/>
        <v/>
      </c>
      <c r="I244" s="78" t="str">
        <f t="shared" si="20"/>
        <v>Error</v>
      </c>
      <c r="J244" s="79" t="str">
        <f t="shared" si="21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9"/>
        <v/>
      </c>
      <c r="I245" s="78" t="str">
        <f t="shared" si="20"/>
        <v>Error</v>
      </c>
      <c r="J245" s="79" t="str">
        <f t="shared" si="21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9"/>
        <v/>
      </c>
      <c r="I246" s="78" t="str">
        <f t="shared" si="20"/>
        <v>Error</v>
      </c>
      <c r="J246" s="79" t="str">
        <f t="shared" si="21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9"/>
        <v/>
      </c>
      <c r="I247" s="78" t="str">
        <f t="shared" si="20"/>
        <v>Error</v>
      </c>
      <c r="J247" s="79" t="str">
        <f t="shared" si="21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9"/>
        <v/>
      </c>
      <c r="I248" s="78" t="str">
        <f t="shared" si="20"/>
        <v>Error</v>
      </c>
      <c r="J248" s="79" t="str">
        <f t="shared" si="21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9"/>
        <v/>
      </c>
      <c r="I249" s="78" t="str">
        <f t="shared" si="20"/>
        <v>Error</v>
      </c>
      <c r="J249" s="79" t="str">
        <f t="shared" si="21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9"/>
        <v/>
      </c>
      <c r="I250" s="78" t="str">
        <f t="shared" si="20"/>
        <v>Error</v>
      </c>
      <c r="J250" s="79" t="str">
        <f t="shared" si="21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9"/>
        <v/>
      </c>
      <c r="I251" s="78" t="str">
        <f t="shared" si="20"/>
        <v>Error</v>
      </c>
      <c r="J251" s="79" t="str">
        <f t="shared" si="21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9"/>
        <v/>
      </c>
      <c r="I252" s="78" t="str">
        <f t="shared" si="20"/>
        <v>Error</v>
      </c>
      <c r="J252" s="79" t="str">
        <f t="shared" si="21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9"/>
        <v/>
      </c>
      <c r="I253" s="78" t="str">
        <f t="shared" si="20"/>
        <v>Error</v>
      </c>
      <c r="J253" s="79" t="str">
        <f t="shared" si="21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9"/>
        <v/>
      </c>
      <c r="I254" s="78" t="str">
        <f t="shared" si="20"/>
        <v>Error</v>
      </c>
      <c r="J254" s="79" t="str">
        <f t="shared" si="21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9"/>
        <v/>
      </c>
      <c r="I255" s="78" t="str">
        <f t="shared" si="20"/>
        <v>Error</v>
      </c>
      <c r="J255" s="79" t="str">
        <f t="shared" si="21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9"/>
        <v/>
      </c>
      <c r="I256" s="78" t="str">
        <f t="shared" si="20"/>
        <v>Error</v>
      </c>
      <c r="J256" s="79" t="str">
        <f t="shared" si="21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9"/>
        <v/>
      </c>
      <c r="I257" s="78" t="str">
        <f t="shared" si="20"/>
        <v>Error</v>
      </c>
      <c r="J257" s="79" t="str">
        <f t="shared" si="21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9"/>
        <v/>
      </c>
      <c r="I258" s="78" t="str">
        <f t="shared" si="20"/>
        <v>Error</v>
      </c>
      <c r="J258" s="79" t="str">
        <f t="shared" si="21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si="19"/>
        <v/>
      </c>
      <c r="I259" s="78" t="str">
        <f t="shared" si="20"/>
        <v>Error</v>
      </c>
      <c r="J259" s="79" t="str">
        <f t="shared" si="21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21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21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21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21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si="21"/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ref="H269:H300" si="22">E269&amp;F269</f>
        <v/>
      </c>
      <c r="I269" s="78" t="str">
        <f t="shared" ref="I269:I300" si="23">IFERROR(VLOOKUP(H269,$AP:$AQ,2,FALSE),"Error")</f>
        <v>Error</v>
      </c>
      <c r="J269" s="79" t="str">
        <f t="shared" ref="J269:J300" si="24">IF(H269=I269,"Es correcto","Revisa tu subcategoria")</f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22"/>
        <v/>
      </c>
      <c r="I270" s="78" t="str">
        <f t="shared" si="23"/>
        <v>Error</v>
      </c>
      <c r="J270" s="79" t="str">
        <f t="shared" si="24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22"/>
        <v/>
      </c>
      <c r="I271" s="78" t="str">
        <f t="shared" si="23"/>
        <v>Error</v>
      </c>
      <c r="J271" s="79" t="str">
        <f t="shared" si="24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22"/>
        <v/>
      </c>
      <c r="I272" s="78" t="str">
        <f t="shared" si="23"/>
        <v>Error</v>
      </c>
      <c r="J272" s="79" t="str">
        <f t="shared" si="24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22"/>
        <v/>
      </c>
      <c r="I273" s="78" t="str">
        <f t="shared" si="23"/>
        <v>Error</v>
      </c>
      <c r="J273" s="79" t="str">
        <f t="shared" si="24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22"/>
        <v/>
      </c>
      <c r="I274" s="78" t="str">
        <f t="shared" si="23"/>
        <v>Error</v>
      </c>
      <c r="J274" s="79" t="str">
        <f t="shared" si="24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22"/>
        <v/>
      </c>
      <c r="I275" s="78" t="str">
        <f t="shared" si="23"/>
        <v>Error</v>
      </c>
      <c r="J275" s="79" t="str">
        <f t="shared" si="24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22"/>
        <v/>
      </c>
      <c r="I276" s="78" t="str">
        <f t="shared" si="23"/>
        <v>Error</v>
      </c>
      <c r="J276" s="79" t="str">
        <f t="shared" si="24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22"/>
        <v/>
      </c>
      <c r="I277" s="78" t="str">
        <f t="shared" si="23"/>
        <v>Error</v>
      </c>
      <c r="J277" s="79" t="str">
        <f t="shared" si="24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22"/>
        <v/>
      </c>
      <c r="I278" s="78" t="str">
        <f t="shared" si="23"/>
        <v>Error</v>
      </c>
      <c r="J278" s="79" t="str">
        <f t="shared" si="24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22"/>
        <v/>
      </c>
      <c r="I279" s="78" t="str">
        <f t="shared" si="23"/>
        <v>Error</v>
      </c>
      <c r="J279" s="79" t="str">
        <f t="shared" si="24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22"/>
        <v/>
      </c>
      <c r="I280" s="78" t="str">
        <f t="shared" si="23"/>
        <v>Error</v>
      </c>
      <c r="J280" s="79" t="str">
        <f t="shared" si="24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22"/>
        <v/>
      </c>
      <c r="I281" s="78" t="str">
        <f t="shared" si="23"/>
        <v>Error</v>
      </c>
      <c r="J281" s="79" t="str">
        <f t="shared" si="24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22"/>
        <v/>
      </c>
      <c r="I282" s="78" t="str">
        <f t="shared" si="23"/>
        <v>Error</v>
      </c>
      <c r="J282" s="79" t="str">
        <f t="shared" si="24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22"/>
        <v/>
      </c>
      <c r="I283" s="78" t="str">
        <f t="shared" si="23"/>
        <v>Error</v>
      </c>
      <c r="J283" s="79" t="str">
        <f t="shared" si="24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22"/>
        <v/>
      </c>
      <c r="I284" s="78" t="str">
        <f t="shared" si="23"/>
        <v>Error</v>
      </c>
      <c r="J284" s="79" t="str">
        <f t="shared" si="24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22"/>
        <v/>
      </c>
      <c r="I285" s="78" t="str">
        <f t="shared" si="23"/>
        <v>Error</v>
      </c>
      <c r="J285" s="79" t="str">
        <f t="shared" si="24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22"/>
        <v/>
      </c>
      <c r="I286" s="78" t="str">
        <f t="shared" si="23"/>
        <v>Error</v>
      </c>
      <c r="J286" s="79" t="str">
        <f t="shared" si="24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22"/>
        <v/>
      </c>
      <c r="I287" s="78" t="str">
        <f t="shared" si="23"/>
        <v>Error</v>
      </c>
      <c r="J287" s="79" t="str">
        <f t="shared" si="24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22"/>
        <v/>
      </c>
      <c r="I288" s="78" t="str">
        <f t="shared" si="23"/>
        <v>Error</v>
      </c>
      <c r="J288" s="79" t="str">
        <f t="shared" si="24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22"/>
        <v/>
      </c>
      <c r="I289" s="78" t="str">
        <f t="shared" si="23"/>
        <v>Error</v>
      </c>
      <c r="J289" s="79" t="str">
        <f t="shared" si="24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22"/>
        <v/>
      </c>
      <c r="I290" s="78" t="str">
        <f t="shared" si="23"/>
        <v>Error</v>
      </c>
      <c r="J290" s="79" t="str">
        <f t="shared" si="24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22"/>
        <v/>
      </c>
      <c r="I291" s="78" t="str">
        <f t="shared" si="23"/>
        <v>Error</v>
      </c>
      <c r="J291" s="79" t="str">
        <f t="shared" si="24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22"/>
        <v/>
      </c>
      <c r="I292" s="78" t="str">
        <f t="shared" si="23"/>
        <v>Error</v>
      </c>
      <c r="J292" s="79" t="str">
        <f t="shared" si="24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22"/>
        <v/>
      </c>
      <c r="I293" s="78" t="str">
        <f t="shared" si="23"/>
        <v>Error</v>
      </c>
      <c r="J293" s="79" t="str">
        <f t="shared" si="24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22"/>
        <v/>
      </c>
      <c r="I294" s="78" t="str">
        <f t="shared" si="23"/>
        <v>Error</v>
      </c>
      <c r="J294" s="79" t="str">
        <f t="shared" si="24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22"/>
        <v/>
      </c>
      <c r="I295" s="78" t="str">
        <f t="shared" si="23"/>
        <v>Error</v>
      </c>
      <c r="J295" s="79" t="str">
        <f t="shared" si="24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22"/>
        <v/>
      </c>
      <c r="I296" s="78" t="str">
        <f t="shared" si="23"/>
        <v>Error</v>
      </c>
      <c r="J296" s="79" t="str">
        <f t="shared" si="24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22"/>
        <v/>
      </c>
      <c r="I297" s="78" t="str">
        <f t="shared" si="23"/>
        <v>Error</v>
      </c>
      <c r="J297" s="79" t="str">
        <f t="shared" si="24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22"/>
        <v/>
      </c>
      <c r="I298" s="78" t="str">
        <f t="shared" si="23"/>
        <v>Error</v>
      </c>
      <c r="J298" s="79" t="str">
        <f t="shared" si="24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22"/>
        <v/>
      </c>
      <c r="I299" s="78" t="str">
        <f t="shared" si="23"/>
        <v>Error</v>
      </c>
      <c r="J299" s="79" t="str">
        <f t="shared" si="24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22"/>
        <v/>
      </c>
      <c r="I300" s="78" t="str">
        <f t="shared" si="23"/>
        <v>Error</v>
      </c>
      <c r="J300" s="79" t="str">
        <f t="shared" si="24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zU4tYKltM+zFygFEnCx1RvbyxBctFCScbHw6kNuxJIvPwm69EYpKFy93y73fqLAHhatp+1iF6yj5DFJ/h4dJvw==" saltValue="Fna5OTW+w5/Cf+YnhpU9wg==" spinCount="100000" sheet="1" selectLockedCells="1"/>
  <conditionalFormatting sqref="J1:J300 J313:J1048576">
    <cfRule type="containsText" dxfId="23" priority="1" operator="containsText" text="Revisa">
      <formula>NOT(ISERROR(SEARCH("Revisa",J1)))</formula>
    </cfRule>
    <cfRule type="beginsWith" dxfId="22" priority="2" operator="beginsWith" text="Es">
      <formula>LEFT(J1,LEN("Es"))="Es"</formula>
    </cfRule>
  </conditionalFormatting>
  <dataValidations count="2">
    <dataValidation type="list" allowBlank="1" showInputMessage="1" showErrorMessage="1" sqref="E3:E300" xr:uid="{5E8988D8-3B87-DC4F-9BA6-7FC23B127FFC}">
      <formula1>$AN$4:$AN$141</formula1>
    </dataValidation>
    <dataValidation type="list" allowBlank="1" showInputMessage="1" showErrorMessage="1" sqref="F3:F300" xr:uid="{10F53B8A-88F3-C34E-8CE7-E6E5032225D9}">
      <formula1>$AO$4:$AO$141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EF7522"/>
    <pageSetUpPr autoPageBreaks="0" fitToPage="1"/>
  </sheetPr>
  <dimension ref="B1:U110"/>
  <sheetViews>
    <sheetView showGridLines="0" zoomScaleNormal="90" zoomScalePageLayoutView="80" workbookViewId="0">
      <selection activeCell="K107" sqref="K13:K107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TiFeb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SUMIFS('Feb - registro gastos'!$D$3:$D$300,'Feb - registro gastos'!$E$3:$E$300,Feb!$B$12,'Feb - registro gastos'!$F$3:$F$300,Feb!B13)</f>
        <v>0</v>
      </c>
      <c r="F13" s="12">
        <f>D13-E13</f>
        <v>0</v>
      </c>
      <c r="H13" s="9" t="s">
        <v>13</v>
      </c>
      <c r="I13" s="10"/>
      <c r="J13" s="11"/>
      <c r="K13" s="11">
        <f>SUMIFS('Feb - registro gastos'!$D$3:$D$300,'Feb - registro gastos'!$E$3:$E$300,Feb!$H$12,'Feb - registro gastos'!$F$3:$F$300,Feb!H13)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SUMIFS('Feb - registro gastos'!$D$3:$D$300,'Feb - registro gastos'!$E$3:$E$300,Feb!$B$12,'Feb - registro gastos'!$F$3:$F$300,Feb!B14)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SUMIFS('Feb - registro gastos'!$D$3:$D$300,'Feb - registro gastos'!$E$3:$E$300,Feb!$H$12,'Feb - registro gastos'!$F$3:$F$300,Feb!H14)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SUMIFS('Feb - registro gastos'!$D$3:$D$300,'Feb - registro gastos'!$E$3:$E$300,Feb!$B$12,'Feb - registro gastos'!$F$3:$F$300,Feb!B15)</f>
        <v>0</v>
      </c>
      <c r="F15" s="12">
        <f t="shared" si="1"/>
        <v>0</v>
      </c>
      <c r="H15" s="9" t="s">
        <v>11</v>
      </c>
      <c r="I15" s="10"/>
      <c r="J15" s="39"/>
      <c r="K15" s="11">
        <f>SUMIFS('Feb - registro gastos'!$D$3:$D$300,'Feb - registro gastos'!$E$3:$E$300,Feb!$H$12,'Feb - registro gastos'!$F$3:$F$300,Feb!H15)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SUMIFS('Feb - registro gastos'!$D$3:$D$300,'Feb - registro gastos'!$E$3:$E$300,Feb!$B$12,'Feb - registro gastos'!$F$3:$F$300,Feb!B16)</f>
        <v>0</v>
      </c>
      <c r="F16" s="12">
        <f t="shared" si="1"/>
        <v>0</v>
      </c>
      <c r="H16" s="9" t="s">
        <v>10</v>
      </c>
      <c r="I16" s="10"/>
      <c r="J16" s="11"/>
      <c r="K16" s="11">
        <f>SUMIFS('Feb - registro gastos'!$D$3:$D$300,'Feb - registro gastos'!$E$3:$E$300,Feb!$H$12,'Feb - registro gastos'!$F$3:$F$300,Feb!H16)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SUMIFS('Feb - registro gastos'!$D$3:$D$300,'Feb - registro gastos'!$E$3:$E$300,Feb!$B$12,'Feb - registro gastos'!$F$3:$F$300,Feb!B17)</f>
        <v>0</v>
      </c>
      <c r="F17" s="12">
        <f t="shared" si="1"/>
        <v>0</v>
      </c>
      <c r="H17" s="9" t="s">
        <v>9</v>
      </c>
      <c r="I17" s="10"/>
      <c r="J17" s="11"/>
      <c r="K17" s="11">
        <f>SUMIFS('Feb - registro gastos'!$D$3:$D$300,'Feb - registro gastos'!$E$3:$E$300,Feb!$H$12,'Feb - registro gastos'!$F$3:$F$300,Feb!H17)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SUMIFS('Feb - registro gastos'!$D$3:$D$300,'Feb - registro gastos'!$E$3:$E$300,Feb!$B$12,'Feb - registro gastos'!$F$3:$F$300,Feb!B18)</f>
        <v>0</v>
      </c>
      <c r="F18" s="12">
        <f t="shared" si="1"/>
        <v>0</v>
      </c>
      <c r="H18" s="9"/>
      <c r="I18" s="10"/>
      <c r="J18" s="11"/>
      <c r="K18" s="11">
        <f>SUMIFS('Feb - registro gastos'!$D$3:$D$300,'Feb - registro gastos'!$E$3:$E$300,Feb!$H$12,'Feb - registro gastos'!$F$3:$F$300,Feb!H18)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SUMIFS('Feb - registro gastos'!$D$3:$D$300,'Feb - registro gastos'!$E$3:$E$300,Feb!$B$12,'Feb - registro gastos'!$F$3:$F$300,Feb!B19)</f>
        <v>0</v>
      </c>
      <c r="F19" s="12">
        <f t="shared" si="1"/>
        <v>0</v>
      </c>
      <c r="H19" s="9"/>
      <c r="I19" s="10"/>
      <c r="J19" s="11"/>
      <c r="K19" s="11">
        <f>SUMIFS('Feb - registro gastos'!$D$3:$D$300,'Feb - registro gastos'!$E$3:$E$300,Feb!$H$12,'Feb - registro gastos'!$F$3:$F$300,Feb!H19)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SUMIFS('Feb - registro gastos'!$D$3:$D$300,'Feb - registro gastos'!$E$3:$E$300,Feb!$B$12,'Feb - registro gastos'!$F$3:$F$300,Feb!B20)</f>
        <v>0</v>
      </c>
      <c r="F20" s="12">
        <f t="shared" si="1"/>
        <v>0</v>
      </c>
      <c r="H20" s="9"/>
      <c r="I20" s="10"/>
      <c r="J20" s="11"/>
      <c r="K20" s="11">
        <f>SUMIFS('Feb - registro gastos'!$D$3:$D$300,'Feb - registro gastos'!$E$3:$E$300,Feb!$H$12,'Feb - registro gastos'!$F$3:$F$300,Feb!H20)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SUMIFS('Feb - registro gastos'!$D$3:$D$300,'Feb - registro gastos'!$E$3:$E$300,Feb!$B$12,'Feb - registro gastos'!$F$3:$F$300,Feb!B21)</f>
        <v>0</v>
      </c>
      <c r="F21" s="12">
        <f t="shared" si="1"/>
        <v>0</v>
      </c>
      <c r="H21" s="9"/>
      <c r="I21" s="10"/>
      <c r="J21" s="11"/>
      <c r="K21" s="11">
        <f>SUMIFS('Feb - registro gastos'!$D$3:$D$300,'Feb - registro gastos'!$E$3:$E$300,Feb!$H$12,'Feb - registro gastos'!$F$3:$F$300,Feb!H21)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SUMIFS('Feb - registro gastos'!$D$3:$D$300,'Feb - registro gastos'!$E$3:$E$300,Feb!$B$12,'Feb - registro gastos'!$F$3:$F$300,Feb!B22)</f>
        <v>0</v>
      </c>
      <c r="F22" s="12">
        <f t="shared" si="1"/>
        <v>0</v>
      </c>
      <c r="H22" s="9"/>
      <c r="I22" s="10"/>
      <c r="J22" s="11"/>
      <c r="K22" s="11">
        <f>SUMIFS('Feb - registro gastos'!$D$3:$D$300,'Feb - registro gastos'!$E$3:$E$300,Feb!$H$12,'Feb - registro gastos'!$F$3:$F$300,Feb!H22)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SUMIFS('Feb - registro gastos'!$D$3:$D$300,'Feb - registro gastos'!$E$3:$E$300,Feb!$B$12,'Feb - registro gastos'!$F$3:$F$300,Feb!B23)</f>
        <v>0</v>
      </c>
      <c r="F23" s="12">
        <f t="shared" si="1"/>
        <v>0</v>
      </c>
      <c r="H23" s="9"/>
      <c r="I23" s="10"/>
      <c r="J23" s="11"/>
      <c r="K23" s="11">
        <f>SUMIFS('Feb - registro gastos'!$D$3:$D$300,'Feb - registro gastos'!$E$3:$E$300,Feb!$H$12,'Feb - registro gastos'!$F$3:$F$300,Feb!H23)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SUMIFS('Feb - registro gastos'!$D$3:$D$300,'Feb - registro gastos'!$E$3:$E$300,Feb!$B$12,'Feb - registro gastos'!$F$3:$F$300,Feb!B24)</f>
        <v>0</v>
      </c>
      <c r="F24" s="15">
        <f t="shared" si="1"/>
        <v>0</v>
      </c>
      <c r="H24" s="13"/>
      <c r="I24" s="40"/>
      <c r="J24" s="14"/>
      <c r="K24" s="14">
        <f>SUMIFS('Feb - registro gastos'!$D$3:$D$300,'Feb - registro gastos'!$E$3:$E$300,Feb!$H$12,'Feb - registro gastos'!$F$3:$F$300,Feb!H24)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D26" s="5"/>
      <c r="E26" s="95"/>
      <c r="F26" s="5"/>
      <c r="J26" s="5"/>
      <c r="K26" s="5"/>
      <c r="L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SUMIFS('Feb - registro gastos'!$D$3:$D$300,'Feb - registro gastos'!$E$3:$E$300,Feb!$B$27,'Feb - registro gastos'!$F$3:$F$300,Feb!B28)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SUMIFS('Feb - registro gastos'!$D$3:$D$300,'Feb - registro gastos'!$E$3:$E$300,Feb!$H$27,'Feb - registro gastos'!$F$3:$F$300,Feb!H28)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SUMIFS('Feb - registro gastos'!$D$3:$D$300,'Feb - registro gastos'!$E$3:$E$300,Feb!$B$27,'Feb - registro gastos'!$F$3:$F$300,Feb!B29)</f>
        <v>0</v>
      </c>
      <c r="F29" s="12">
        <f t="shared" si="2"/>
        <v>0</v>
      </c>
      <c r="H29" s="9" t="s">
        <v>17</v>
      </c>
      <c r="I29" s="10"/>
      <c r="J29" s="11"/>
      <c r="K29" s="11">
        <f>SUMIFS('Feb - registro gastos'!$D$3:$D$300,'Feb - registro gastos'!$E$3:$E$300,Feb!$H$27,'Feb - registro gastos'!$F$3:$F$300,Feb!H29)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SUMIFS('Feb - registro gastos'!$D$3:$D$300,'Feb - registro gastos'!$E$3:$E$300,Feb!$B$27,'Feb - registro gastos'!$F$3:$F$300,Feb!B30)</f>
        <v>0</v>
      </c>
      <c r="F30" s="12">
        <f t="shared" si="2"/>
        <v>0</v>
      </c>
      <c r="H30" s="9" t="s">
        <v>16</v>
      </c>
      <c r="I30" s="10"/>
      <c r="J30" s="11"/>
      <c r="K30" s="11">
        <f>SUMIFS('Feb - registro gastos'!$D$3:$D$300,'Feb - registro gastos'!$E$3:$E$300,Feb!$H$27,'Feb - registro gastos'!$F$3:$F$300,Feb!H30)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SUMIFS('Feb - registro gastos'!$D$3:$D$300,'Feb - registro gastos'!$E$3:$E$300,Feb!$B$27,'Feb - registro gastos'!$F$3:$F$300,Feb!B31)</f>
        <v>0</v>
      </c>
      <c r="F31" s="12">
        <f t="shared" si="2"/>
        <v>0</v>
      </c>
      <c r="H31" s="9"/>
      <c r="I31" s="10"/>
      <c r="J31" s="11"/>
      <c r="K31" s="11">
        <f>SUMIFS('Feb - registro gastos'!$D$3:$D$300,'Feb - registro gastos'!$E$3:$E$300,Feb!$H$27,'Feb - registro gastos'!$F$3:$F$300,Feb!H31)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SUMIFS('Feb - registro gastos'!$D$3:$D$300,'Feb - registro gastos'!$E$3:$E$300,Feb!$B$27,'Feb - registro gastos'!$F$3:$F$300,Feb!B32)</f>
        <v>0</v>
      </c>
      <c r="F32" s="12">
        <f t="shared" si="2"/>
        <v>0</v>
      </c>
      <c r="H32" s="9"/>
      <c r="I32" s="10"/>
      <c r="J32" s="11"/>
      <c r="K32" s="11">
        <f>SUMIFS('Feb - registro gastos'!$D$3:$D$300,'Feb - registro gastos'!$E$3:$E$300,Feb!$H$27,'Feb - registro gastos'!$F$3:$F$300,Feb!H32)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SUMIFS('Feb - registro gastos'!$D$3:$D$300,'Feb - registro gastos'!$E$3:$E$300,Feb!$B$27,'Feb - registro gastos'!$F$3:$F$300,Feb!B33)</f>
        <v>0</v>
      </c>
      <c r="F33" s="12">
        <f t="shared" si="2"/>
        <v>0</v>
      </c>
      <c r="H33" s="9"/>
      <c r="I33" s="10"/>
      <c r="J33" s="11"/>
      <c r="K33" s="11">
        <f>SUMIFS('Feb - registro gastos'!$D$3:$D$300,'Feb - registro gastos'!$E$3:$E$300,Feb!$H$27,'Feb - registro gastos'!$F$3:$F$300,Feb!H33)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SUMIFS('Feb - registro gastos'!$D$3:$D$300,'Feb - registro gastos'!$E$3:$E$300,Feb!$B$27,'Feb - registro gastos'!$F$3:$F$300,Feb!B34)</f>
        <v>0</v>
      </c>
      <c r="F34" s="12">
        <f t="shared" si="2"/>
        <v>0</v>
      </c>
      <c r="H34" s="9"/>
      <c r="I34" s="10"/>
      <c r="J34" s="11"/>
      <c r="K34" s="11">
        <f>SUMIFS('Feb - registro gastos'!$D$3:$D$300,'Feb - registro gastos'!$E$3:$E$300,Feb!$H$27,'Feb - registro gastos'!$F$3:$F$300,Feb!H34)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SUMIFS('Feb - registro gastos'!$D$3:$D$300,'Feb - registro gastos'!$E$3:$E$300,Feb!$B$27,'Feb - registro gastos'!$F$3:$F$300,Feb!B35)</f>
        <v>0</v>
      </c>
      <c r="F35" s="15">
        <f t="shared" si="2"/>
        <v>0</v>
      </c>
      <c r="H35" s="13"/>
      <c r="I35" s="40"/>
      <c r="J35" s="14"/>
      <c r="K35" s="14">
        <f>SUMIFS('Feb - registro gastos'!$D$3:$D$300,'Feb - registro gastos'!$E$3:$E$300,Feb!$H$27,'Feb - registro gastos'!$F$3:$F$300,Feb!H35)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D37" s="5"/>
      <c r="E37" s="5"/>
      <c r="F37" s="5"/>
      <c r="J37" s="5"/>
      <c r="K37" s="5"/>
      <c r="L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SUMIFS('Feb - registro gastos'!$D$3:$D$300,'Feb - registro gastos'!$E$3:$E$300,Feb!$B$38,'Feb - registro gastos'!$F$3:$F$300,Feb!B39)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SUMIFS('Feb - registro gastos'!$D$3:$D$300,'Feb - registro gastos'!$E$3:$E$300,Feb!$H$38,'Feb - registro gastos'!$F$3:$F$300,Feb!H39)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SUMIFS('Feb - registro gastos'!$D$3:$D$300,'Feb - registro gastos'!$E$3:$E$300,Feb!$B$38,'Feb - registro gastos'!$F$3:$F$300,Feb!B40)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SUMIFS('Feb - registro gastos'!$D$3:$D$300,'Feb - registro gastos'!$E$3:$E$300,Feb!$H$38,'Feb - registro gastos'!$F$3:$F$300,Feb!H40)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SUMIFS('Feb - registro gastos'!$D$3:$D$300,'Feb - registro gastos'!$E$3:$E$300,Feb!$B$38,'Feb - registro gastos'!$F$3:$F$300,Feb!B41)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SUMIFS('Feb - registro gastos'!$D$3:$D$300,'Feb - registro gastos'!$E$3:$E$300,Feb!$H$38,'Feb - registro gastos'!$F$3:$F$300,Feb!H41)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SUMIFS('Feb - registro gastos'!$D$3:$D$300,'Feb - registro gastos'!$E$3:$E$300,Feb!$B$38,'Feb - registro gastos'!$F$3:$F$300,Feb!B42)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SUMIFS('Feb - registro gastos'!$D$3:$D$300,'Feb - registro gastos'!$E$3:$E$300,Feb!$H$38,'Feb - registro gastos'!$F$3:$F$300,Feb!H42)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SUMIFS('Feb - registro gastos'!$D$3:$D$300,'Feb - registro gastos'!$E$3:$E$300,Feb!$B$38,'Feb - registro gastos'!$F$3:$F$300,Feb!B43)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SUMIFS('Feb - registro gastos'!$D$3:$D$300,'Feb - registro gastos'!$E$3:$E$300,Feb!$H$38,'Feb - registro gastos'!$F$3:$F$300,Feb!H43)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SUMIFS('Feb - registro gastos'!$D$3:$D$300,'Feb - registro gastos'!$E$3:$E$300,Feb!$B$38,'Feb - registro gastos'!$F$3:$F$300,Feb!B44)</f>
        <v>0</v>
      </c>
      <c r="F44" s="12">
        <f t="shared" si="4"/>
        <v>0</v>
      </c>
      <c r="G44" s="20"/>
      <c r="H44" s="30"/>
      <c r="I44" s="10"/>
      <c r="J44" s="31"/>
      <c r="K44" s="31">
        <f>SUMIFS('Feb - registro gastos'!$D$3:$D$300,'Feb - registro gastos'!$E$3:$E$300,Feb!$H$38,'Feb - registro gastos'!$F$3:$F$300,Feb!H44)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SUMIFS('Feb - registro gastos'!$D$3:$D$300,'Feb - registro gastos'!$E$3:$E$300,Feb!$B$38,'Feb - registro gastos'!$F$3:$F$300,Feb!B45)</f>
        <v>0</v>
      </c>
      <c r="F45" s="15">
        <f t="shared" si="4"/>
        <v>0</v>
      </c>
      <c r="G45" s="20"/>
      <c r="H45" s="13"/>
      <c r="I45" s="40"/>
      <c r="J45" s="14"/>
      <c r="K45" s="14">
        <f>SUMIFS('Feb - registro gastos'!$D$3:$D$300,'Feb - registro gastos'!$E$3:$E$300,Feb!$H$38,'Feb - registro gastos'!$F$3:$F$300,Feb!H45)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D47" s="5"/>
      <c r="E47" s="5"/>
      <c r="F47" s="5"/>
      <c r="J47" s="5"/>
      <c r="K47" s="5"/>
      <c r="L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SUMIFS('Feb - registro gastos'!$D$3:$D$300,'Feb - registro gastos'!$E$3:$E$300,Feb!$B$48,'Feb - registro gastos'!$F$3:$F$300,Feb!B49)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SUMIFS('Feb - registro gastos'!$D$3:$D$300,'Feb - registro gastos'!$E$3:$E$300,Feb!$H$48,'Feb - registro gastos'!$F$3:$F$300,Feb!H49)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SUMIFS('Feb - registro gastos'!$D$3:$D$300,'Feb - registro gastos'!$E$3:$E$300,Feb!$B$48,'Feb - registro gastos'!$F$3:$F$300,Feb!B50)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SUMIFS('Feb - registro gastos'!$D$3:$D$300,'Feb - registro gastos'!$E$3:$E$300,Feb!$H$48,'Feb - registro gastos'!$F$3:$F$300,Feb!H50)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SUMIFS('Feb - registro gastos'!$D$3:$D$300,'Feb - registro gastos'!$E$3:$E$300,Feb!$B$48,'Feb - registro gastos'!$F$3:$F$300,Feb!B51)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SUMIFS('Feb - registro gastos'!$D$3:$D$300,'Feb - registro gastos'!$E$3:$E$300,Feb!$H$48,'Feb - registro gastos'!$F$3:$F$300,Feb!H51)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SUMIFS('Feb - registro gastos'!$D$3:$D$300,'Feb - registro gastos'!$E$3:$E$300,Feb!$B$48,'Feb - registro gastos'!$F$3:$F$300,Feb!B52)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SUMIFS('Feb - registro gastos'!$D$3:$D$300,'Feb - registro gastos'!$E$3:$E$300,Feb!$H$48,'Feb - registro gastos'!$F$3:$F$300,Feb!H52)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SUMIFS('Feb - registro gastos'!$D$3:$D$300,'Feb - registro gastos'!$E$3:$E$300,Feb!$B$48,'Feb - registro gastos'!$F$3:$F$300,Feb!B53)</f>
        <v>0</v>
      </c>
      <c r="F53" s="12">
        <f t="shared" si="6"/>
        <v>0</v>
      </c>
      <c r="G53" s="20"/>
      <c r="H53" s="9"/>
      <c r="I53" s="10"/>
      <c r="J53" s="11"/>
      <c r="K53" s="11">
        <f>SUMIFS('Feb - registro gastos'!$D$3:$D$300,'Feb - registro gastos'!$E$3:$E$300,Feb!$H$48,'Feb - registro gastos'!$F$3:$F$300,Feb!H53)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SUMIFS('Feb - registro gastos'!$D$3:$D$300,'Feb - registro gastos'!$E$3:$E$300,Feb!$B$48,'Feb - registro gastos'!$F$3:$F$300,Feb!B54)</f>
        <v>0</v>
      </c>
      <c r="F54" s="15">
        <f t="shared" si="6"/>
        <v>0</v>
      </c>
      <c r="G54" s="20"/>
      <c r="H54" s="13"/>
      <c r="I54" s="40"/>
      <c r="J54" s="14"/>
      <c r="K54" s="14">
        <f>SUMIFS('Feb - registro gastos'!$D$3:$D$300,'Feb - registro gastos'!$E$3:$E$300,Feb!$H$48,'Feb - registro gastos'!$F$3:$F$300,Feb!H54)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D56" s="5"/>
      <c r="E56" s="5"/>
      <c r="F56" s="5"/>
      <c r="J56" s="5"/>
      <c r="K56" s="5"/>
      <c r="L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SUMIFS('Feb - registro gastos'!$D$3:$D$300,'Feb - registro gastos'!$E$3:$E$300,Feb!$B$57,'Feb - registro gastos'!$F$3:$F$300,Feb!B58)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SUMIFS('Feb - registro gastos'!$D$3:$D$300,'Feb - registro gastos'!$E$3:$E$300,Feb!$H$57,'Feb - registro gastos'!$F$3:$F$300,Feb!H58)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SUMIFS('Feb - registro gastos'!$D$3:$D$300,'Feb - registro gastos'!$E$3:$E$300,Feb!$B$57,'Feb - registro gastos'!$F$3:$F$300,Feb!B59)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SUMIFS('Feb - registro gastos'!$D$3:$D$300,'Feb - registro gastos'!$E$3:$E$300,Feb!$H$57,'Feb - registro gastos'!$F$3:$F$300,Feb!H59)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SUMIFS('Feb - registro gastos'!$D$3:$D$300,'Feb - registro gastos'!$E$3:$E$300,Feb!$B$57,'Feb - registro gastos'!$F$3:$F$300,Feb!B60)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SUMIFS('Feb - registro gastos'!$D$3:$D$300,'Feb - registro gastos'!$E$3:$E$300,Feb!$H$57,'Feb - registro gastos'!$F$3:$F$300,Feb!H60)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SUMIFS('Feb - registro gastos'!$D$3:$D$300,'Feb - registro gastos'!$E$3:$E$300,Feb!$B$57,'Feb - registro gastos'!$F$3:$F$300,Feb!B61)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SUMIFS('Feb - registro gastos'!$D$3:$D$300,'Feb - registro gastos'!$E$3:$E$300,Feb!$H$57,'Feb - registro gastos'!$F$3:$F$300,Feb!H61)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SUMIFS('Feb - registro gastos'!$D$3:$D$300,'Feb - registro gastos'!$E$3:$E$300,Feb!$B$57,'Feb - registro gastos'!$F$3:$F$300,Feb!B62)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SUMIFS('Feb - registro gastos'!$D$3:$D$300,'Feb - registro gastos'!$E$3:$E$300,Feb!$H$57,'Feb - registro gastos'!$F$3:$F$300,Feb!H62)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SUMIFS('Feb - registro gastos'!$D$3:$D$300,'Feb - registro gastos'!$E$3:$E$300,Feb!$B$57,'Feb - registro gastos'!$F$3:$F$300,Feb!B63)</f>
        <v>0</v>
      </c>
      <c r="F63" s="12">
        <f t="shared" si="9"/>
        <v>0</v>
      </c>
      <c r="G63" s="20"/>
      <c r="H63" s="30"/>
      <c r="I63" s="10"/>
      <c r="J63" s="31"/>
      <c r="K63" s="31">
        <f>SUMIFS('Feb - registro gastos'!$D$3:$D$300,'Feb - registro gastos'!$E$3:$E$300,Feb!$H$57,'Feb - registro gastos'!$F$3:$F$300,Feb!H63)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SUMIFS('Feb - registro gastos'!$D$3:$D$300,'Feb - registro gastos'!$E$3:$E$300,Feb!$B$57,'Feb - registro gastos'!$F$3:$F$300,Feb!B64)</f>
        <v>0</v>
      </c>
      <c r="F64" s="15">
        <f t="shared" si="9"/>
        <v>0</v>
      </c>
      <c r="G64" s="20"/>
      <c r="H64" s="13"/>
      <c r="I64" s="40"/>
      <c r="J64" s="14"/>
      <c r="K64" s="14">
        <f>SUMIFS('Feb - registro gastos'!$D$3:$D$300,'Feb - registro gastos'!$E$3:$E$300,Feb!$H$57,'Feb - registro gastos'!$F$3:$F$300,Feb!H64)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D66" s="5"/>
      <c r="E66" s="5"/>
      <c r="F66" s="5"/>
      <c r="J66" s="5"/>
      <c r="K66" s="5"/>
      <c r="L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SUMIFS('Feb - registro gastos'!$D$3:$D$300,'Feb - registro gastos'!$E$3:$E$300,Feb!$B$67,'Feb - registro gastos'!$F$3:$F$300,Feb!B68)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SUMIFS('Feb - registro gastos'!$D$3:$D$300,'Feb - registro gastos'!$E$3:$E$300,Feb!$H$67,'Feb - registro gastos'!$F$3:$F$300,Feb!H68)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SUMIFS('Feb - registro gastos'!$D$3:$D$300,'Feb - registro gastos'!$E$3:$E$300,Feb!$B$67,'Feb - registro gastos'!$F$3:$F$300,Feb!B69)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SUMIFS('Feb - registro gastos'!$D$3:$D$300,'Feb - registro gastos'!$E$3:$E$300,Feb!$H$67,'Feb - registro gastos'!$F$3:$F$300,Feb!H69)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SUMIFS('Feb - registro gastos'!$D$3:$D$300,'Feb - registro gastos'!$E$3:$E$300,Feb!$B$67,'Feb - registro gastos'!$F$3:$F$300,Feb!B70)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SUMIFS('Feb - registro gastos'!$D$3:$D$300,'Feb - registro gastos'!$E$3:$E$300,Feb!$H$67,'Feb - registro gastos'!$F$3:$F$300,Feb!H70)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SUMIFS('Feb - registro gastos'!$D$3:$D$300,'Feb - registro gastos'!$E$3:$E$300,Feb!$B$67,'Feb - registro gastos'!$F$3:$F$300,Feb!B71)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SUMIFS('Feb - registro gastos'!$D$3:$D$300,'Feb - registro gastos'!$E$3:$E$300,Feb!$H$67,'Feb - registro gastos'!$F$3:$F$300,Feb!H71)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SUMIFS('Feb - registro gastos'!$D$3:$D$300,'Feb - registro gastos'!$E$3:$E$300,Feb!$B$67,'Feb - registro gastos'!$F$3:$F$300,Feb!B72)</f>
        <v>0</v>
      </c>
      <c r="F72" s="12">
        <f t="shared" si="10"/>
        <v>0</v>
      </c>
      <c r="G72" s="20"/>
      <c r="H72" s="9"/>
      <c r="I72" s="10"/>
      <c r="J72" s="11"/>
      <c r="K72" s="11">
        <f>SUMIFS('Feb - registro gastos'!$D$3:$D$300,'Feb - registro gastos'!$E$3:$E$300,Feb!$H$67,'Feb - registro gastos'!$F$3:$F$300,Feb!H72)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SUMIFS('Feb - registro gastos'!$D$3:$D$300,'Feb - registro gastos'!$E$3:$E$300,Feb!$B$67,'Feb - registro gastos'!$F$3:$F$300,Feb!B73)</f>
        <v>0</v>
      </c>
      <c r="F73" s="12">
        <f t="shared" si="10"/>
        <v>0</v>
      </c>
      <c r="G73" s="20"/>
      <c r="H73" s="9"/>
      <c r="I73" s="10"/>
      <c r="J73" s="11"/>
      <c r="K73" s="11">
        <f>SUMIFS('Feb - registro gastos'!$D$3:$D$300,'Feb - registro gastos'!$E$3:$E$300,Feb!$H$67,'Feb - registro gastos'!$F$3:$F$300,Feb!H73)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SUMIFS('Feb - registro gastos'!$D$3:$D$300,'Feb - registro gastos'!$E$3:$E$300,Feb!$B$67,'Feb - registro gastos'!$F$3:$F$300,Feb!B74)</f>
        <v>0</v>
      </c>
      <c r="F74" s="12">
        <f t="shared" si="10"/>
        <v>0</v>
      </c>
      <c r="G74" s="20"/>
      <c r="H74" s="9"/>
      <c r="I74" s="10"/>
      <c r="J74" s="11"/>
      <c r="K74" s="11">
        <f>SUMIFS('Feb - registro gastos'!$D$3:$D$300,'Feb - registro gastos'!$E$3:$E$300,Feb!$H$67,'Feb - registro gastos'!$F$3:$F$300,Feb!H74)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SUMIFS('Feb - registro gastos'!$D$3:$D$300,'Feb - registro gastos'!$E$3:$E$300,Feb!$B$67,'Feb - registro gastos'!$F$3:$F$300,Feb!B75)</f>
        <v>0</v>
      </c>
      <c r="F75" s="12">
        <f t="shared" si="10"/>
        <v>0</v>
      </c>
      <c r="G75" s="20"/>
      <c r="H75" s="30"/>
      <c r="I75" s="10"/>
      <c r="J75" s="31"/>
      <c r="K75" s="31">
        <f>SUMIFS('Feb - registro gastos'!$D$3:$D$300,'Feb - registro gastos'!$E$3:$E$300,Feb!$H$67,'Feb - registro gastos'!$F$3:$F$300,Feb!H75)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SUMIFS('Feb - registro gastos'!$D$3:$D$300,'Feb - registro gastos'!$E$3:$E$300,Feb!$B$67,'Feb - registro gastos'!$F$3:$F$300,Feb!B76)</f>
        <v>0</v>
      </c>
      <c r="F76" s="12">
        <f t="shared" si="10"/>
        <v>0</v>
      </c>
      <c r="G76" s="20"/>
      <c r="H76" s="30"/>
      <c r="I76" s="10"/>
      <c r="J76" s="31"/>
      <c r="K76" s="31">
        <f>SUMIFS('Feb - registro gastos'!$D$3:$D$300,'Feb - registro gastos'!$E$3:$E$300,Feb!$H$67,'Feb - registro gastos'!$F$3:$F$300,Feb!H76)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SUMIFS('Feb - registro gastos'!$D$3:$D$300,'Feb - registro gastos'!$E$3:$E$300,Feb!$B$67,'Feb - registro gastos'!$F$3:$F$300,Feb!B77)</f>
        <v>0</v>
      </c>
      <c r="F77" s="12">
        <f t="shared" si="10"/>
        <v>0</v>
      </c>
      <c r="G77" s="20"/>
      <c r="H77" s="30"/>
      <c r="I77" s="10"/>
      <c r="J77" s="31"/>
      <c r="K77" s="31">
        <f>SUMIFS('Feb - registro gastos'!$D$3:$D$300,'Feb - registro gastos'!$E$3:$E$300,Feb!$H$67,'Feb - registro gastos'!$F$3:$F$300,Feb!H77)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SUMIFS('Feb - registro gastos'!$D$3:$D$300,'Feb - registro gastos'!$E$3:$E$300,Feb!$B$67,'Feb - registro gastos'!$F$3:$F$300,Feb!B78)</f>
        <v>0</v>
      </c>
      <c r="F78" s="15">
        <f t="shared" si="10"/>
        <v>0</v>
      </c>
      <c r="G78" s="20"/>
      <c r="H78" s="13"/>
      <c r="I78" s="40"/>
      <c r="J78" s="14"/>
      <c r="K78" s="14">
        <f>SUMIFS('Feb - registro gastos'!$D$3:$D$300,'Feb - registro gastos'!$E$3:$E$300,Feb!$H$67,'Feb - registro gastos'!$F$3:$F$300,Feb!H78)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D80" s="5"/>
      <c r="E80" s="5"/>
      <c r="F80" s="5"/>
      <c r="J80" s="5"/>
      <c r="K80" s="5"/>
      <c r="L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SUMIFS('Feb - registro gastos'!$D$3:$D$300,'Feb - registro gastos'!$E$3:$E$300,Feb!$B$81,'Feb - registro gastos'!$F$3:$F$300,Feb!B82)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SUMIFS('Feb - registro gastos'!$D$3:$D$300,'Feb - registro gastos'!$E$3:$E$300,Feb!$H$81,'Feb - registro gastos'!$F$3:$F$300,Feb!H82)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SUMIFS('Feb - registro gastos'!$D$3:$D$300,'Feb - registro gastos'!$E$3:$E$300,Feb!$B$81,'Feb - registro gastos'!$F$3:$F$300,Feb!B83)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SUMIFS('Feb - registro gastos'!$D$3:$D$300,'Feb - registro gastos'!$E$3:$E$300,Feb!$H$81,'Feb - registro gastos'!$F$3:$F$300,Feb!H83)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SUMIFS('Feb - registro gastos'!$D$3:$D$300,'Feb - registro gastos'!$E$3:$E$300,Feb!$B$81,'Feb - registro gastos'!$F$3:$F$300,Feb!B84)</f>
        <v>0</v>
      </c>
      <c r="F84" s="12">
        <f t="shared" si="12"/>
        <v>0</v>
      </c>
      <c r="G84" s="20"/>
      <c r="H84" s="9"/>
      <c r="I84" s="10"/>
      <c r="J84" s="11"/>
      <c r="K84" s="11">
        <f>SUMIFS('Feb - registro gastos'!$D$3:$D$300,'Feb - registro gastos'!$E$3:$E$300,Feb!$H$81,'Feb - registro gastos'!$F$3:$F$300,Feb!H84)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SUMIFS('Feb - registro gastos'!$D$3:$D$300,'Feb - registro gastos'!$E$3:$E$300,Feb!$B$81,'Feb - registro gastos'!$F$3:$F$300,Feb!B85)</f>
        <v>0</v>
      </c>
      <c r="F85" s="12">
        <f>D85-E85</f>
        <v>0</v>
      </c>
      <c r="G85" s="20"/>
      <c r="H85" s="9"/>
      <c r="I85" s="10"/>
      <c r="J85" s="11"/>
      <c r="K85" s="11">
        <f>SUMIFS('Feb - registro gastos'!$D$3:$D$300,'Feb - registro gastos'!$E$3:$E$300,Feb!$H$81,'Feb - registro gastos'!$F$3:$F$300,Feb!H85)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SUMIFS('Feb - registro gastos'!$D$3:$D$300,'Feb - registro gastos'!$E$3:$E$300,Feb!$B$81,'Feb - registro gastos'!$F$3:$F$300,Feb!B86)</f>
        <v>0</v>
      </c>
      <c r="F86" s="12">
        <f t="shared" si="12"/>
        <v>0</v>
      </c>
      <c r="G86" s="20"/>
      <c r="H86" s="9"/>
      <c r="I86" s="10"/>
      <c r="J86" s="11"/>
      <c r="K86" s="11">
        <f>SUMIFS('Feb - registro gastos'!$D$3:$D$300,'Feb - registro gastos'!$E$3:$E$300,Feb!$H$81,'Feb - registro gastos'!$F$3:$F$300,Feb!H86)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SUMIFS('Feb - registro gastos'!$D$3:$D$300,'Feb - registro gastos'!$E$3:$E$300,Feb!$B$81,'Feb - registro gastos'!$F$3:$F$300,Feb!B87)</f>
        <v>0</v>
      </c>
      <c r="F87" s="15">
        <f t="shared" si="12"/>
        <v>0</v>
      </c>
      <c r="G87" s="20"/>
      <c r="H87" s="13"/>
      <c r="I87" s="40"/>
      <c r="J87" s="14"/>
      <c r="K87" s="14">
        <f>SUMIFS('Feb - registro gastos'!$D$3:$D$300,'Feb - registro gastos'!$E$3:$E$300,Feb!$H$81,'Feb - registro gastos'!$F$3:$F$300,Feb!H87)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D89" s="5"/>
      <c r="E89" s="5"/>
      <c r="F89" s="5"/>
      <c r="J89" s="5"/>
      <c r="K89" s="5"/>
      <c r="L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SUMIFS('Feb - registro gastos'!$D$3:$D$300,'Feb - registro gastos'!$E$3:$E$300,Feb!$B$90,'Feb - registro gastos'!$F$3:$F$300,Feb!B91)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SUMIFS('Feb - registro gastos'!$D$3:$D$300,'Feb - registro gastos'!$E$3:$E$300,Feb!$H$90,'Feb - registro gastos'!$F$3:$F$300,Feb!H91)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SUMIFS('Feb - registro gastos'!$D$3:$D$300,'Feb - registro gastos'!$E$3:$E$300,Feb!$B$90,'Feb - registro gastos'!$F$3:$F$300,Feb!B92)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SUMIFS('Feb - registro gastos'!$D$3:$D$300,'Feb - registro gastos'!$E$3:$E$300,Feb!$H$90,'Feb - registro gastos'!$F$3:$F$300,Feb!H92)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SUMIFS('Feb - registro gastos'!$D$3:$D$300,'Feb - registro gastos'!$E$3:$E$300,Feb!$B$90,'Feb - registro gastos'!$F$3:$F$300,Feb!B93)</f>
        <v>0</v>
      </c>
      <c r="F93" s="12">
        <f t="shared" si="15"/>
        <v>0</v>
      </c>
      <c r="G93" s="20"/>
      <c r="H93" s="9"/>
      <c r="I93" s="10"/>
      <c r="J93" s="11"/>
      <c r="K93" s="11">
        <f>SUMIFS('Feb - registro gastos'!$D$3:$D$300,'Feb - registro gastos'!$E$3:$E$300,Feb!$H$90,'Feb - registro gastos'!$F$3:$F$300,Feb!H93)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SUMIFS('Feb - registro gastos'!$D$3:$D$300,'Feb - registro gastos'!$E$3:$E$300,Feb!$B$90,'Feb - registro gastos'!$F$3:$F$300,Feb!B94)</f>
        <v>0</v>
      </c>
      <c r="F94" s="12">
        <f t="shared" si="15"/>
        <v>0</v>
      </c>
      <c r="G94" s="20"/>
      <c r="H94" s="9"/>
      <c r="I94" s="10"/>
      <c r="J94" s="11"/>
      <c r="K94" s="11">
        <f>SUMIFS('Feb - registro gastos'!$D$3:$D$300,'Feb - registro gastos'!$E$3:$E$300,Feb!$H$90,'Feb - registro gastos'!$F$3:$F$300,Feb!H94)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SUMIFS('Feb - registro gastos'!$D$3:$D$300,'Feb - registro gastos'!$E$3:$E$300,Feb!$B$90,'Feb - registro gastos'!$F$3:$F$300,Feb!B95)</f>
        <v>0</v>
      </c>
      <c r="F95" s="12">
        <f>D95-E95</f>
        <v>0</v>
      </c>
      <c r="G95" s="20"/>
      <c r="H95" s="9"/>
      <c r="I95" s="10"/>
      <c r="J95" s="11"/>
      <c r="K95" s="11">
        <f>SUMIFS('Feb - registro gastos'!$D$3:$D$300,'Feb - registro gastos'!$E$3:$E$300,Feb!$H$90,'Feb - registro gastos'!$F$3:$F$300,Feb!H95)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SUMIFS('Feb - registro gastos'!$D$3:$D$300,'Feb - registro gastos'!$E$3:$E$300,Feb!$B$90,'Feb - registro gastos'!$F$3:$F$300,Feb!B96)</f>
        <v>0</v>
      </c>
      <c r="F96" s="12">
        <f t="shared" si="15"/>
        <v>0</v>
      </c>
      <c r="G96" s="20"/>
      <c r="H96" s="9"/>
      <c r="I96" s="10"/>
      <c r="J96" s="11"/>
      <c r="K96" s="11">
        <f>SUMIFS('Feb - registro gastos'!$D$3:$D$300,'Feb - registro gastos'!$E$3:$E$300,Feb!$H$90,'Feb - registro gastos'!$F$3:$F$300,Feb!H96)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SUMIFS('Feb - registro gastos'!$D$3:$D$300,'Feb - registro gastos'!$E$3:$E$300,Feb!$B$90,'Feb - registro gastos'!$F$3:$F$300,Feb!B97)</f>
        <v>0</v>
      </c>
      <c r="F97" s="15">
        <f t="shared" si="15"/>
        <v>0</v>
      </c>
      <c r="G97" s="20"/>
      <c r="H97" s="13"/>
      <c r="I97" s="40"/>
      <c r="J97" s="14"/>
      <c r="K97" s="14">
        <f>SUMIFS('Feb - registro gastos'!$D$3:$D$300,'Feb - registro gastos'!$E$3:$E$300,Feb!$H$90,'Feb - registro gastos'!$F$3:$F$300,Feb!H97)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D99" s="5"/>
      <c r="E99" s="5"/>
      <c r="F99" s="5"/>
      <c r="J99" s="5"/>
      <c r="K99" s="5"/>
      <c r="L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SUMIFS('Feb - registro gastos'!$D$3:$D$300,'Feb - registro gastos'!$E$3:$E$300,Feb!$B$100,'Feb - registro gastos'!$F$3:$F$300,Feb!B101)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SUMIFS('Feb - registro gastos'!$D$3:$D$300,'Feb - registro gastos'!$E$3:$E$300,Feb!$H$100,'Feb - registro gastos'!$F$3:$F$300,Feb!H101)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SUMIFS('Feb - registro gastos'!$D$3:$D$300,'Feb - registro gastos'!$E$3:$E$300,Feb!$B$100,'Feb - registro gastos'!$F$3:$F$300,Feb!B102)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SUMIFS('Feb - registro gastos'!$D$3:$D$300,'Feb - registro gastos'!$E$3:$E$300,Feb!$H$100,'Feb - registro gastos'!$F$3:$F$300,Feb!H102)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SUMIFS('Feb - registro gastos'!$D$3:$D$300,'Feb - registro gastos'!$E$3:$E$300,Feb!$B$100,'Feb - registro gastos'!$F$3:$F$300,Feb!B103)</f>
        <v>0</v>
      </c>
      <c r="F103" s="12">
        <f t="shared" si="16"/>
        <v>0</v>
      </c>
      <c r="G103" s="20"/>
      <c r="H103" s="9"/>
      <c r="I103" s="10"/>
      <c r="J103" s="11"/>
      <c r="K103" s="11">
        <f>SUMIFS('Feb - registro gastos'!$D$3:$D$300,'Feb - registro gastos'!$E$3:$E$300,Feb!$H$100,'Feb - registro gastos'!$F$3:$F$300,Feb!H103)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SUMIFS('Feb - registro gastos'!$D$3:$D$300,'Feb - registro gastos'!$E$3:$E$300,Feb!$B$100,'Feb - registro gastos'!$F$3:$F$300,Feb!B104)</f>
        <v>0</v>
      </c>
      <c r="F104" s="12">
        <f t="shared" si="16"/>
        <v>0</v>
      </c>
      <c r="G104" s="20"/>
      <c r="H104" s="9"/>
      <c r="I104" s="10"/>
      <c r="J104" s="11"/>
      <c r="K104" s="11">
        <f>SUMIFS('Feb - registro gastos'!$D$3:$D$300,'Feb - registro gastos'!$E$3:$E$300,Feb!$H$100,'Feb - registro gastos'!$F$3:$F$300,Feb!H104)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SUMIFS('Feb - registro gastos'!$D$3:$D$300,'Feb - registro gastos'!$E$3:$E$300,Feb!$B$100,'Feb - registro gastos'!$F$3:$F$300,Feb!B105)</f>
        <v>0</v>
      </c>
      <c r="F105" s="12">
        <f t="shared" si="16"/>
        <v>0</v>
      </c>
      <c r="G105" s="20"/>
      <c r="H105" s="9"/>
      <c r="I105" s="10"/>
      <c r="J105" s="11"/>
      <c r="K105" s="11">
        <f>SUMIFS('Feb - registro gastos'!$D$3:$D$300,'Feb - registro gastos'!$E$3:$E$300,Feb!$H$100,'Feb - registro gastos'!$F$3:$F$300,Feb!H105)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SUMIFS('Feb - registro gastos'!$D$3:$D$300,'Feb - registro gastos'!$E$3:$E$300,Feb!$B$100,'Feb - registro gastos'!$F$3:$F$300,Feb!B106)</f>
        <v>0</v>
      </c>
      <c r="F106" s="12">
        <f t="shared" si="16"/>
        <v>0</v>
      </c>
      <c r="G106" s="20"/>
      <c r="H106" s="9"/>
      <c r="I106" s="10"/>
      <c r="J106" s="11"/>
      <c r="K106" s="11">
        <f>SUMIFS('Feb - registro gastos'!$D$3:$D$300,'Feb - registro gastos'!$E$3:$E$300,Feb!$H$100,'Feb - registro gastos'!$F$3:$F$300,Feb!H106)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SUMIFS('Feb - registro gastos'!$D$3:$D$300,'Feb - registro gastos'!$E$3:$E$300,Feb!$B$100,'Feb - registro gastos'!$F$3:$F$300,Feb!B107)</f>
        <v>0</v>
      </c>
      <c r="F107" s="15">
        <f>D107-E107</f>
        <v>0</v>
      </c>
      <c r="G107" s="20"/>
      <c r="H107" s="13"/>
      <c r="I107" s="40"/>
      <c r="J107" s="14"/>
      <c r="K107" s="14">
        <f>SUMIFS('Feb - registro gastos'!$D$3:$D$300,'Feb - registro gastos'!$E$3:$E$300,Feb!$H$100,'Feb - registro gastos'!$F$3:$F$300,Feb!H107)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B4:B10"/>
    <mergeCell ref="C4:D4"/>
    <mergeCell ref="C5:D5"/>
    <mergeCell ref="C6:D6"/>
    <mergeCell ref="C7:D7"/>
    <mergeCell ref="C8:D8"/>
    <mergeCell ref="C9:D9"/>
    <mergeCell ref="C10:D10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7 K13:K107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2B1A4DE-782C-C64D-BB92-174787913A76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2571BC8D-8885-E848-8E1C-7D00664DDB20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BB0E-B72B-1640-9CBF-E6237B85697F}">
  <sheetPr codeName="Hoja4">
    <tabColor rgb="FFFD9F00"/>
  </sheetPr>
  <dimension ref="B2:AR312"/>
  <sheetViews>
    <sheetView showGridLines="0" zoomScale="120" zoomScaleNormal="12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2" width="11" customWidth="1"/>
    <col min="13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Feb!$B$12</f>
        <v>NECESIDADES BÁSICAS</v>
      </c>
      <c r="AO4" s="84" t="str">
        <f>Feb!B13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Feb!$B$12</f>
        <v>NECESIDADES BÁSICAS</v>
      </c>
      <c r="AO5" s="86" t="str">
        <f>Feb!B14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Feb!$B$12</f>
        <v>NECESIDADES BÁSICAS</v>
      </c>
      <c r="AO6" s="86" t="str">
        <f>Feb!B15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Feb!$B$12</f>
        <v>NECESIDADES BÁSICAS</v>
      </c>
      <c r="AO7" s="86" t="str">
        <f>Feb!B16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Feb!$B$12</f>
        <v>NECESIDADES BÁSICAS</v>
      </c>
      <c r="AO8" s="86" t="str">
        <f>Feb!B17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Feb!$B$12</f>
        <v>NECESIDADES BÁSICAS</v>
      </c>
      <c r="AO9" s="86" t="str">
        <f>Feb!B18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Feb!$B$12</f>
        <v>NECESIDADES BÁSICAS</v>
      </c>
      <c r="AO10" s="86" t="str">
        <f>Feb!B19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Feb!$B$12</f>
        <v>NECESIDADES BÁSICAS</v>
      </c>
      <c r="AO11" s="86" t="str">
        <f>Feb!B20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Feb!$B$12</f>
        <v>NECESIDADES BÁSICAS</v>
      </c>
      <c r="AO12" s="86" t="str">
        <f>Feb!B21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Feb!$B$12</f>
        <v>NECESIDADES BÁSICAS</v>
      </c>
      <c r="AO13" s="86">
        <f>Feb!B22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Feb!$B$12</f>
        <v>NECESIDADES BÁSICAS</v>
      </c>
      <c r="AO14" s="86">
        <f>Feb!B23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Feb!$B$12</f>
        <v>NECESIDADES BÁSICAS</v>
      </c>
      <c r="AO15" s="88">
        <f>Feb!B24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Feb!$H$12</f>
        <v>AHORROS</v>
      </c>
      <c r="AO16" s="84" t="str">
        <f>Feb!H13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Feb!$H$12</f>
        <v>AHORROS</v>
      </c>
      <c r="AO17" s="86" t="str">
        <f>Feb!H14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Feb!$H$12</f>
        <v>AHORROS</v>
      </c>
      <c r="AO18" s="86" t="str">
        <f>Feb!H15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Feb!$H$12</f>
        <v>AHORROS</v>
      </c>
      <c r="AO19" s="86" t="str">
        <f>Feb!H16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Feb!$H$12</f>
        <v>AHORROS</v>
      </c>
      <c r="AO20" s="86" t="str">
        <f>Feb!H17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Feb!$H$12</f>
        <v>AHORROS</v>
      </c>
      <c r="AO21" s="86">
        <f>Feb!H18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Feb!$H$12</f>
        <v>AHORROS</v>
      </c>
      <c r="AO22" s="86">
        <f>Feb!H19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Feb!$H$12</f>
        <v>AHORROS</v>
      </c>
      <c r="AO23" s="86">
        <f>Feb!H20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Feb!$H$12</f>
        <v>AHORROS</v>
      </c>
      <c r="AO24" s="86">
        <f>Feb!H21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Feb!$H$12</f>
        <v>AHORROS</v>
      </c>
      <c r="AO25" s="86">
        <f>Feb!H22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Feb!$H$12</f>
        <v>AHORROS</v>
      </c>
      <c r="AO26" s="86">
        <f>Feb!H23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Feb!$H$12</f>
        <v>AHORROS</v>
      </c>
      <c r="AO27" s="88">
        <f>Feb!H24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Feb!$B$27</f>
        <v>DEUDAS</v>
      </c>
      <c r="AO28" s="84" t="str">
        <f>Feb!B28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Feb!$B$27</f>
        <v>DEUDAS</v>
      </c>
      <c r="AO29" s="86" t="str">
        <f>Feb!B29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Feb!$B$27</f>
        <v>DEUDAS</v>
      </c>
      <c r="AO30" s="86" t="str">
        <f>Feb!B30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Feb!$B$27</f>
        <v>DEUDAS</v>
      </c>
      <c r="AO31" s="86" t="str">
        <f>Feb!B31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Feb!$B$27</f>
        <v>DEUDAS</v>
      </c>
      <c r="AO32" s="86" t="str">
        <f>Feb!B32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Feb!$B$27</f>
        <v>DEUDAS</v>
      </c>
      <c r="AO33" s="86">
        <f>Feb!B33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Feb!$B$27</f>
        <v>DEUDAS</v>
      </c>
      <c r="AO34" s="86">
        <f>Feb!B34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Feb!$B$27</f>
        <v>DEUDAS</v>
      </c>
      <c r="AO35" s="88">
        <f>Feb!B35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Feb!$H$27</f>
        <v>REGALOS/ CARIDAD</v>
      </c>
      <c r="AO36" s="84" t="str">
        <f>Feb!H28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Feb!$H$27</f>
        <v>REGALOS/ CARIDAD</v>
      </c>
      <c r="AO37" s="86" t="str">
        <f>Feb!H29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Feb!$H$27</f>
        <v>REGALOS/ CARIDAD</v>
      </c>
      <c r="AO38" s="86" t="str">
        <f>Feb!H30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Feb!$H$27</f>
        <v>REGALOS/ CARIDAD</v>
      </c>
      <c r="AO39" s="86">
        <f>Feb!H31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Feb!$H$27</f>
        <v>REGALOS/ CARIDAD</v>
      </c>
      <c r="AO40" s="86">
        <f>Feb!H32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Feb!$H$27</f>
        <v>REGALOS/ CARIDAD</v>
      </c>
      <c r="AO41" s="86">
        <f>Feb!H33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Feb!$H$27</f>
        <v>REGALOS/ CARIDAD</v>
      </c>
      <c r="AO42" s="86">
        <f>Feb!H34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Feb!$H$27</f>
        <v>REGALOS/ CARIDAD</v>
      </c>
      <c r="AO43" s="88">
        <f>Feb!H35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Feb!$B$38</f>
        <v>CASA</v>
      </c>
      <c r="AO44" s="84" t="str">
        <f>Feb!B39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Feb!$B$38</f>
        <v>CASA</v>
      </c>
      <c r="AO45" s="86" t="str">
        <f>Feb!B40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Feb!$B$38</f>
        <v>CASA</v>
      </c>
      <c r="AO46" s="86" t="str">
        <f>Feb!B41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Feb!$B$38</f>
        <v>CASA</v>
      </c>
      <c r="AO47" s="86" t="str">
        <f>Feb!B42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Feb!$B$38</f>
        <v>CASA</v>
      </c>
      <c r="AO48" s="86">
        <f>Feb!B43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Feb!$B$38</f>
        <v>CASA</v>
      </c>
      <c r="AO49" s="86">
        <f>Feb!B44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Feb!$B$38</f>
        <v>CASA</v>
      </c>
      <c r="AO50" s="88">
        <f>Feb!B45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Feb!$H$38</f>
        <v>TRANSPORTE</v>
      </c>
      <c r="AO51" s="84" t="str">
        <f>Feb!H39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Feb!$H$38</f>
        <v>TRANSPORTE</v>
      </c>
      <c r="AO52" s="86" t="str">
        <f>Feb!H40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Feb!$H$38</f>
        <v>TRANSPORTE</v>
      </c>
      <c r="AO53" s="86" t="str">
        <f>Feb!H41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Feb!$H$38</f>
        <v>TRANSPORTE</v>
      </c>
      <c r="AO54" s="86" t="str">
        <f>Feb!H42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Feb!$H$38</f>
        <v>TRANSPORTE</v>
      </c>
      <c r="AO55" s="86" t="str">
        <f>Feb!H43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Feb!$H$38</f>
        <v>TRANSPORTE</v>
      </c>
      <c r="AO56" s="86">
        <f>Feb!H44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Feb!$H$38</f>
        <v>TRANSPORTE</v>
      </c>
      <c r="AO57" s="88">
        <f>Feb!H45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Feb!$B$48</f>
        <v>ALIMENTACIÓN</v>
      </c>
      <c r="AO58" s="84" t="str">
        <f>Feb!B49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Feb!$B$48</f>
        <v>ALIMENTACIÓN</v>
      </c>
      <c r="AO59" s="86" t="str">
        <f>Feb!B50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Feb!$B$48</f>
        <v>ALIMENTACIÓN</v>
      </c>
      <c r="AO60" s="86">
        <f>Feb!B51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Feb!$B$48</f>
        <v>ALIMENTACIÓN</v>
      </c>
      <c r="AO61" s="86">
        <f>Feb!B52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Feb!$B$48</f>
        <v>ALIMENTACIÓN</v>
      </c>
      <c r="AO62" s="86">
        <f>Feb!B53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Feb!$B$48</f>
        <v>ALIMENTACIÓN</v>
      </c>
      <c r="AO63" s="88">
        <f>Feb!B54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Feb!$H$48</f>
        <v>SEGUROS</v>
      </c>
      <c r="AO64" s="84" t="str">
        <f>Feb!H49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Feb!$H$48</f>
        <v>SEGUROS</v>
      </c>
      <c r="AO65" s="86" t="str">
        <f>Feb!H50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Feb!$H$48</f>
        <v>SEGUROS</v>
      </c>
      <c r="AO66" s="86" t="str">
        <f>Feb!H51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Feb!$H$48</f>
        <v>SEGUROS</v>
      </c>
      <c r="AO67" s="86" t="str">
        <f>Feb!H52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Feb!$H$48</f>
        <v>SEGUROS</v>
      </c>
      <c r="AO68" s="86">
        <f>Feb!H53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Feb!$H$48</f>
        <v>SEGUROS</v>
      </c>
      <c r="AO69" s="88">
        <f>Feb!H54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Feb!$B$57</f>
        <v>SALUD</v>
      </c>
      <c r="AO70" s="84" t="str">
        <f>Feb!B58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Feb!$B$57</f>
        <v>SALUD</v>
      </c>
      <c r="AO71" s="86" t="str">
        <f>Feb!B59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Feb!$B$57</f>
        <v>SALUD</v>
      </c>
      <c r="AO72" s="86" t="str">
        <f>Feb!B60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Feb!$B$57</f>
        <v>SALUD</v>
      </c>
      <c r="AO73" s="86">
        <f>Feb!B61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Feb!$B$57</f>
        <v>SALUD</v>
      </c>
      <c r="AO74" s="86">
        <f>Feb!B62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Feb!$B$57</f>
        <v>SALUD</v>
      </c>
      <c r="AO75" s="86">
        <f>Feb!B63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Feb!$B$57</f>
        <v>SALUD</v>
      </c>
      <c r="AO76" s="88">
        <f>Feb!B64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Feb!$H$57</f>
        <v>CUIDADO PERSONAL</v>
      </c>
      <c r="AO77" s="84" t="str">
        <f>Feb!H58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Feb!$H$57</f>
        <v>CUIDADO PERSONAL</v>
      </c>
      <c r="AO78" s="86" t="str">
        <f>Feb!H59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Feb!$H$57</f>
        <v>CUIDADO PERSONAL</v>
      </c>
      <c r="AO79" s="86" t="str">
        <f>Feb!H60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Feb!$H$57</f>
        <v>CUIDADO PERSONAL</v>
      </c>
      <c r="AO80" s="86" t="str">
        <f>Feb!H61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Feb!$H$57</f>
        <v>CUIDADO PERSONAL</v>
      </c>
      <c r="AO81" s="86" t="str">
        <f>Feb!H62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Feb!$H$57</f>
        <v>CUIDADO PERSONAL</v>
      </c>
      <c r="AO82" s="86">
        <f>Feb!H63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Feb!$H$57</f>
        <v>CUIDADO PERSONAL</v>
      </c>
      <c r="AO83" s="88">
        <f>Feb!H64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Feb!$B$67</f>
        <v>ENTRETENIMIENTO</v>
      </c>
      <c r="AO84" s="84" t="str">
        <f>Feb!B68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Feb!$B$67</f>
        <v>ENTRETENIMIENTO</v>
      </c>
      <c r="AO85" s="86" t="str">
        <f>Feb!B69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Feb!$B$67</f>
        <v>ENTRETENIMIENTO</v>
      </c>
      <c r="AO86" s="86" t="str">
        <f>Feb!B70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Feb!$B$67</f>
        <v>ENTRETENIMIENTO</v>
      </c>
      <c r="AO87" s="86" t="str">
        <f>Feb!B71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Feb!$B$67</f>
        <v>ENTRETENIMIENTO</v>
      </c>
      <c r="AO88" s="86" t="str">
        <f>Feb!B72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Feb!$B$67</f>
        <v>ENTRETENIMIENTO</v>
      </c>
      <c r="AO89" s="86" t="str">
        <f>Feb!B73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Feb!$B$67</f>
        <v>ENTRETENIMIENTO</v>
      </c>
      <c r="AO90" s="86" t="str">
        <f>Feb!B74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Feb!$B$67</f>
        <v>ENTRETENIMIENTO</v>
      </c>
      <c r="AO91" s="86">
        <f>Feb!B75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Feb!$B$67</f>
        <v>ENTRETENIMIENTO</v>
      </c>
      <c r="AO92" s="86">
        <f>Feb!B76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Feb!$B$67</f>
        <v>ENTRETENIMIENTO</v>
      </c>
      <c r="AO93" s="86">
        <f>Feb!B77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Feb!$B$67</f>
        <v>ENTRETENIMIENTO</v>
      </c>
      <c r="AO94" s="88">
        <f>Feb!B78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Feb!$H$67</f>
        <v>HIJOS</v>
      </c>
      <c r="AO95" s="84" t="str">
        <f>Feb!H68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Feb!$H$67</f>
        <v>HIJOS</v>
      </c>
      <c r="AO96" s="86" t="str">
        <f>Feb!H69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Feb!$H$67</f>
        <v>HIJOS</v>
      </c>
      <c r="AO97" s="86" t="str">
        <f>Feb!H70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Feb!$H$67</f>
        <v>HIJOS</v>
      </c>
      <c r="AO98" s="86" t="str">
        <f>Feb!H71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Feb!$H$67</f>
        <v>HIJOS</v>
      </c>
      <c r="AO99" s="86">
        <f>Feb!H72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Feb!$H$67</f>
        <v>HIJOS</v>
      </c>
      <c r="AO100" s="86">
        <f>Feb!H73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Feb!$H$67</f>
        <v>HIJOS</v>
      </c>
      <c r="AO101" s="86">
        <f>Feb!H74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Feb!$H$67</f>
        <v>HIJOS</v>
      </c>
      <c r="AO102" s="86">
        <f>Feb!H75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Feb!$H$67</f>
        <v>HIJOS</v>
      </c>
      <c r="AO103" s="86">
        <f>Feb!H76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Feb!$H$67</f>
        <v>HIJOS</v>
      </c>
      <c r="AO104" s="86">
        <f>Feb!H77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Feb!$H$67</f>
        <v>HIJOS</v>
      </c>
      <c r="AO105" s="88">
        <f>Feb!H78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Feb!$B$81</f>
        <v>MASCOTA</v>
      </c>
      <c r="AO106" s="84" t="str">
        <f>Feb!B82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Feb!$B$81</f>
        <v>MASCOTA</v>
      </c>
      <c r="AO107" s="86" t="str">
        <f>Feb!B83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Feb!$B$81</f>
        <v>MASCOTA</v>
      </c>
      <c r="AO108" s="86" t="str">
        <f>Feb!B84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Feb!$B$81</f>
        <v>MASCOTA</v>
      </c>
      <c r="AO109" s="86" t="str">
        <f>Feb!B85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Feb!$B$81</f>
        <v>MASCOTA</v>
      </c>
      <c r="AO110" s="86">
        <f>Feb!B86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Feb!$B$81</f>
        <v>MASCOTA</v>
      </c>
      <c r="AO111" s="88">
        <f>Feb!B87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Feb!$H$81</f>
        <v>OTROS 1</v>
      </c>
      <c r="AO112" s="84">
        <f>Feb!H82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Feb!$H$81</f>
        <v>OTROS 1</v>
      </c>
      <c r="AO113" s="86">
        <f>Feb!H83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Feb!$H$81</f>
        <v>OTROS 1</v>
      </c>
      <c r="AO114" s="86">
        <f>Feb!H84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Feb!$H$81</f>
        <v>OTROS 1</v>
      </c>
      <c r="AO115" s="86">
        <f>Feb!H85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Feb!$H$81</f>
        <v>OTROS 1</v>
      </c>
      <c r="AO116" s="86">
        <f>Feb!H86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Feb!$H$81</f>
        <v>OTROS 1</v>
      </c>
      <c r="AO117" s="88">
        <f>Feb!H87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Feb!$B$90</f>
        <v>OTROS 2</v>
      </c>
      <c r="AO118" s="84">
        <f>Feb!B91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Feb!$B$90</f>
        <v>OTROS 2</v>
      </c>
      <c r="AO119" s="86">
        <f>Feb!B92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Feb!$B$90</f>
        <v>OTROS 2</v>
      </c>
      <c r="AO120" s="86">
        <f>Feb!B93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Feb!$B$90</f>
        <v>OTROS 2</v>
      </c>
      <c r="AO121" s="86">
        <f>Feb!B94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Feb!$B$90</f>
        <v>OTROS 2</v>
      </c>
      <c r="AO122" s="86">
        <f>Feb!B95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Feb!$B$90</f>
        <v>OTROS 2</v>
      </c>
      <c r="AO123" s="88">
        <f>Feb!B96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Feb!$H$90</f>
        <v>OTROS 3</v>
      </c>
      <c r="AO124" s="84">
        <f>Feb!H91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Feb!$H$90</f>
        <v>OTROS 3</v>
      </c>
      <c r="AO125" s="86">
        <f>Feb!H92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Feb!$H$90</f>
        <v>OTROS 3</v>
      </c>
      <c r="AO126" s="86">
        <f>Feb!H93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Feb!$H$90</f>
        <v>OTROS 3</v>
      </c>
      <c r="AO127" s="86">
        <f>Feb!H94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Feb!$H$90</f>
        <v>OTROS 3</v>
      </c>
      <c r="AO128" s="86">
        <f>Feb!H95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Feb!$H$90</f>
        <v>OTROS 3</v>
      </c>
      <c r="AO129" s="88">
        <f>Feb!H96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Feb!$B$100</f>
        <v>OTROS 4</v>
      </c>
      <c r="AO130" s="84">
        <f>Feb!B101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Feb!$B$100</f>
        <v>OTROS 4</v>
      </c>
      <c r="AO131" s="86">
        <f>Feb!B102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Feb!$B$100</f>
        <v>OTROS 4</v>
      </c>
      <c r="AO132" s="86">
        <f>Feb!B103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Feb!$B$100</f>
        <v>OTROS 4</v>
      </c>
      <c r="AO133" s="86">
        <f>Feb!B104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Feb!$B$100</f>
        <v>OTROS 4</v>
      </c>
      <c r="AO134" s="86">
        <f>Feb!B105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Feb!$B$100</f>
        <v>OTROS 4</v>
      </c>
      <c r="AO135" s="88">
        <f>Feb!B106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Feb!$H$100</f>
        <v>OTROS 5</v>
      </c>
      <c r="AO136" s="84">
        <f>Feb!H101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Feb!$H$100</f>
        <v>OTROS 5</v>
      </c>
      <c r="AO137" s="86">
        <f>Feb!H102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Feb!$H$100</f>
        <v>OTROS 5</v>
      </c>
      <c r="AO138" s="86">
        <f>Feb!H103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Feb!$H$100</f>
        <v>OTROS 5</v>
      </c>
      <c r="AO139" s="86">
        <f>Feb!H104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Feb!$H$100</f>
        <v>OTROS 5</v>
      </c>
      <c r="AO140" s="86">
        <f>Feb!H105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Feb!$H$100</f>
        <v>OTROS 5</v>
      </c>
      <c r="AO141" s="88">
        <f>Feb!H106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4vgJc9/rYhSKkwdr84BRXjMlRxPiYcI6RAt+KMzLoyjjJS/GvQFe6h3VeCX2xPkeM1fep7kQk1JWGaMpcWxbYw==" saltValue="jQgbVJoQOyxUPh03AtVEPw==" spinCount="100000" sheet="1" selectLockedCells="1"/>
  <conditionalFormatting sqref="J1:J300 J313:J1048576">
    <cfRule type="containsText" dxfId="21" priority="1" operator="containsText" text="Revisa">
      <formula>NOT(ISERROR(SEARCH("Revisa",J1)))</formula>
    </cfRule>
    <cfRule type="beginsWith" dxfId="20" priority="2" operator="beginsWith" text="Es">
      <formula>LEFT(J1,LEN("Es"))="Es"</formula>
    </cfRule>
  </conditionalFormatting>
  <dataValidations disablePrompts="1" count="2">
    <dataValidation type="list" allowBlank="1" showInputMessage="1" showErrorMessage="1" sqref="F3:F300" xr:uid="{207E5C1B-ADCC-844B-90DA-53115B1E1E7A}">
      <formula1>$AO$4:$AO$141</formula1>
    </dataValidation>
    <dataValidation type="list" allowBlank="1" showInputMessage="1" showErrorMessage="1" sqref="E3:E300" xr:uid="{02A1155D-1DD7-F84D-8E49-F665274507DC}">
      <formula1>$AN$4:$AN$141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EF7522"/>
    <pageSetUpPr autoPageBreaks="0" fitToPage="1"/>
  </sheetPr>
  <dimension ref="B1:U110"/>
  <sheetViews>
    <sheetView showGridLines="0" topLeftCell="A108" zoomScaleNormal="100" zoomScalePageLayoutView="80" workbookViewId="0">
      <selection activeCell="K13" sqref="K13:K108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SUMIFS('Mar - registro gastos'!$D$3:$D$300,'Mar - registro gastos'!$E$3:$E$300,Mar!$B$12,'Mar - registro gastos'!$F$3:$F$300,Mar!B13)</f>
        <v>0</v>
      </c>
      <c r="F13" s="12">
        <f>D13-E13</f>
        <v>0</v>
      </c>
      <c r="H13" s="9" t="s">
        <v>13</v>
      </c>
      <c r="I13" s="10"/>
      <c r="J13" s="11"/>
      <c r="K13" s="11">
        <f>SUMIFS('Mar - registro gastos'!$D$3:$D$300,'Mar - registro gastos'!$E$3:$E$300,Mar!$H$12,'Mar - registro gastos'!$F$3:$F$300,Mar!H13)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SUMIFS('Mar - registro gastos'!$D$3:$D$300,'Mar - registro gastos'!$E$3:$E$300,Mar!$B$12,'Mar - registro gastos'!$F$3:$F$300,Mar!B14)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SUMIFS('Mar - registro gastos'!$D$3:$D$300,'Mar - registro gastos'!$E$3:$E$300,Mar!$H$12,'Mar - registro gastos'!$F$3:$F$300,Mar!H14)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SUMIFS('Mar - registro gastos'!$D$3:$D$300,'Mar - registro gastos'!$E$3:$E$300,Mar!$B$12,'Mar - registro gastos'!$F$3:$F$300,Mar!B15)</f>
        <v>0</v>
      </c>
      <c r="F15" s="12">
        <f t="shared" si="1"/>
        <v>0</v>
      </c>
      <c r="H15" s="9" t="s">
        <v>11</v>
      </c>
      <c r="I15" s="10"/>
      <c r="J15" s="39"/>
      <c r="K15" s="11">
        <f>SUMIFS('Mar - registro gastos'!$D$3:$D$300,'Mar - registro gastos'!$E$3:$E$300,Mar!$H$12,'Mar - registro gastos'!$F$3:$F$300,Mar!H15)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SUMIFS('Mar - registro gastos'!$D$3:$D$300,'Mar - registro gastos'!$E$3:$E$300,Mar!$B$12,'Mar - registro gastos'!$F$3:$F$300,Mar!B16)</f>
        <v>0</v>
      </c>
      <c r="F16" s="12">
        <f t="shared" si="1"/>
        <v>0</v>
      </c>
      <c r="H16" s="9" t="s">
        <v>10</v>
      </c>
      <c r="I16" s="10"/>
      <c r="J16" s="11"/>
      <c r="K16" s="11">
        <f>SUMIFS('Mar - registro gastos'!$D$3:$D$300,'Mar - registro gastos'!$E$3:$E$300,Mar!$H$12,'Mar - registro gastos'!$F$3:$F$300,Mar!H16)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SUMIFS('Mar - registro gastos'!$D$3:$D$300,'Mar - registro gastos'!$E$3:$E$300,Mar!$B$12,'Mar - registro gastos'!$F$3:$F$300,Mar!B17)</f>
        <v>0</v>
      </c>
      <c r="F17" s="12">
        <f t="shared" si="1"/>
        <v>0</v>
      </c>
      <c r="H17" s="9" t="s">
        <v>9</v>
      </c>
      <c r="I17" s="10"/>
      <c r="J17" s="11"/>
      <c r="K17" s="11">
        <f>SUMIFS('Mar - registro gastos'!$D$3:$D$300,'Mar - registro gastos'!$E$3:$E$300,Mar!$H$12,'Mar - registro gastos'!$F$3:$F$300,Mar!H17)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SUMIFS('Mar - registro gastos'!$D$3:$D$300,'Mar - registro gastos'!$E$3:$E$300,Mar!$B$12,'Mar - registro gastos'!$F$3:$F$300,Mar!B18)</f>
        <v>0</v>
      </c>
      <c r="F18" s="12">
        <f t="shared" si="1"/>
        <v>0</v>
      </c>
      <c r="H18" s="9"/>
      <c r="I18" s="10"/>
      <c r="J18" s="11"/>
      <c r="K18" s="11">
        <f>SUMIFS('Mar - registro gastos'!$D$3:$D$300,'Mar - registro gastos'!$E$3:$E$300,Mar!$H$12,'Mar - registro gastos'!$F$3:$F$300,Mar!H18)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SUMIFS('Mar - registro gastos'!$D$3:$D$300,'Mar - registro gastos'!$E$3:$E$300,Mar!$B$12,'Mar - registro gastos'!$F$3:$F$300,Mar!B19)</f>
        <v>0</v>
      </c>
      <c r="F19" s="12">
        <f t="shared" si="1"/>
        <v>0</v>
      </c>
      <c r="H19" s="9"/>
      <c r="I19" s="10"/>
      <c r="J19" s="11"/>
      <c r="K19" s="11">
        <f>SUMIFS('Mar - registro gastos'!$D$3:$D$300,'Mar - registro gastos'!$E$3:$E$300,Mar!$H$12,'Mar - registro gastos'!$F$3:$F$300,Mar!H19)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SUMIFS('Mar - registro gastos'!$D$3:$D$300,'Mar - registro gastos'!$E$3:$E$300,Mar!$B$12,'Mar - registro gastos'!$F$3:$F$300,Mar!B20)</f>
        <v>0</v>
      </c>
      <c r="F20" s="12">
        <f t="shared" si="1"/>
        <v>0</v>
      </c>
      <c r="H20" s="9"/>
      <c r="I20" s="10"/>
      <c r="J20" s="11"/>
      <c r="K20" s="11">
        <f>SUMIFS('Mar - registro gastos'!$D$3:$D$300,'Mar - registro gastos'!$E$3:$E$300,Mar!$H$12,'Mar - registro gastos'!$F$3:$F$300,Mar!H20)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SUMIFS('Mar - registro gastos'!$D$3:$D$300,'Mar - registro gastos'!$E$3:$E$300,Mar!$B$12,'Mar - registro gastos'!$F$3:$F$300,Mar!B21)</f>
        <v>0</v>
      </c>
      <c r="F21" s="12">
        <f t="shared" si="1"/>
        <v>0</v>
      </c>
      <c r="H21" s="9"/>
      <c r="I21" s="10"/>
      <c r="J21" s="11"/>
      <c r="K21" s="11">
        <f>SUMIFS('Mar - registro gastos'!$D$3:$D$300,'Mar - registro gastos'!$E$3:$E$300,Mar!$H$12,'Mar - registro gastos'!$F$3:$F$300,Mar!H21)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SUMIFS('Mar - registro gastos'!$D$3:$D$300,'Mar - registro gastos'!$E$3:$E$300,Mar!$B$12,'Mar - registro gastos'!$F$3:$F$300,Mar!B22)</f>
        <v>0</v>
      </c>
      <c r="F22" s="12">
        <f t="shared" si="1"/>
        <v>0</v>
      </c>
      <c r="H22" s="9"/>
      <c r="I22" s="10"/>
      <c r="J22" s="11"/>
      <c r="K22" s="11">
        <f>SUMIFS('Mar - registro gastos'!$D$3:$D$300,'Mar - registro gastos'!$E$3:$E$300,Mar!$H$12,'Mar - registro gastos'!$F$3:$F$300,Mar!H22)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SUMIFS('Mar - registro gastos'!$D$3:$D$300,'Mar - registro gastos'!$E$3:$E$300,Mar!$B$12,'Mar - registro gastos'!$F$3:$F$300,Mar!B23)</f>
        <v>0</v>
      </c>
      <c r="F23" s="12">
        <f t="shared" si="1"/>
        <v>0</v>
      </c>
      <c r="H23" s="9"/>
      <c r="I23" s="10"/>
      <c r="J23" s="11"/>
      <c r="K23" s="11">
        <f>SUMIFS('Mar - registro gastos'!$D$3:$D$300,'Mar - registro gastos'!$E$3:$E$300,Mar!$H$12,'Mar - registro gastos'!$F$3:$F$300,Mar!H23)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SUMIFS('Mar - registro gastos'!$D$3:$D$300,'Mar - registro gastos'!$E$3:$E$300,Mar!$B$12,'Mar - registro gastos'!$F$3:$F$300,Mar!B24)</f>
        <v>0</v>
      </c>
      <c r="F24" s="15">
        <f t="shared" si="1"/>
        <v>0</v>
      </c>
      <c r="H24" s="13"/>
      <c r="I24" s="40"/>
      <c r="J24" s="14"/>
      <c r="K24" s="14">
        <f>SUMIFS('Mar - registro gastos'!$D$3:$D$300,'Mar - registro gastos'!$E$3:$E$300,Mar!$H$12,'Mar - registro gastos'!$F$3:$F$300,Mar!H24)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SUMIFS('Mar - registro gastos'!$D$3:$D$300,'Mar - registro gastos'!$E$3:$E$300,Mar!$B$27,'Mar - registro gastos'!$F$3:$F$300,Mar!B28)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SUMIFS('Mar - registro gastos'!$D$3:$D$300,'Mar - registro gastos'!$E$3:$E$300,Mar!$H$27,'Mar - registro gastos'!$F$3:$F$300,Mar!H28)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SUMIFS('Mar - registro gastos'!$D$3:$D$300,'Mar - registro gastos'!$E$3:$E$300,Mar!$B$27,'Mar - registro gastos'!$F$3:$F$300,Mar!B29)</f>
        <v>0</v>
      </c>
      <c r="F29" s="12">
        <f t="shared" si="2"/>
        <v>0</v>
      </c>
      <c r="H29" s="9" t="s">
        <v>17</v>
      </c>
      <c r="I29" s="10"/>
      <c r="J29" s="11"/>
      <c r="K29" s="11">
        <f>SUMIFS('Mar - registro gastos'!$D$3:$D$300,'Mar - registro gastos'!$E$3:$E$300,Mar!$H$27,'Mar - registro gastos'!$F$3:$F$300,Mar!H29)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SUMIFS('Mar - registro gastos'!$D$3:$D$300,'Mar - registro gastos'!$E$3:$E$300,Mar!$B$27,'Mar - registro gastos'!$F$3:$F$300,Mar!B30)</f>
        <v>0</v>
      </c>
      <c r="F30" s="12">
        <f t="shared" si="2"/>
        <v>0</v>
      </c>
      <c r="H30" s="9" t="s">
        <v>16</v>
      </c>
      <c r="I30" s="10"/>
      <c r="J30" s="11"/>
      <c r="K30" s="11">
        <f>SUMIFS('Mar - registro gastos'!$D$3:$D$300,'Mar - registro gastos'!$E$3:$E$300,Mar!$H$27,'Mar - registro gastos'!$F$3:$F$300,Mar!H30)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SUMIFS('Mar - registro gastos'!$D$3:$D$300,'Mar - registro gastos'!$E$3:$E$300,Mar!$B$27,'Mar - registro gastos'!$F$3:$F$300,Mar!B31)</f>
        <v>0</v>
      </c>
      <c r="F31" s="12">
        <f t="shared" si="2"/>
        <v>0</v>
      </c>
      <c r="H31" s="9"/>
      <c r="I31" s="10"/>
      <c r="J31" s="11"/>
      <c r="K31" s="11">
        <f>SUMIFS('Mar - registro gastos'!$D$3:$D$300,'Mar - registro gastos'!$E$3:$E$300,Mar!$H$27,'Mar - registro gastos'!$F$3:$F$300,Mar!H31)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SUMIFS('Mar - registro gastos'!$D$3:$D$300,'Mar - registro gastos'!$E$3:$E$300,Mar!$B$27,'Mar - registro gastos'!$F$3:$F$300,Mar!B32)</f>
        <v>0</v>
      </c>
      <c r="F32" s="12">
        <f t="shared" si="2"/>
        <v>0</v>
      </c>
      <c r="H32" s="9"/>
      <c r="I32" s="10"/>
      <c r="J32" s="11"/>
      <c r="K32" s="11">
        <f>SUMIFS('Mar - registro gastos'!$D$3:$D$300,'Mar - registro gastos'!$E$3:$E$300,Mar!$H$27,'Mar - registro gastos'!$F$3:$F$300,Mar!H32)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SUMIFS('Mar - registro gastos'!$D$3:$D$300,'Mar - registro gastos'!$E$3:$E$300,Mar!$B$27,'Mar - registro gastos'!$F$3:$F$300,Mar!B33)</f>
        <v>0</v>
      </c>
      <c r="F33" s="12">
        <f t="shared" si="2"/>
        <v>0</v>
      </c>
      <c r="H33" s="9"/>
      <c r="I33" s="10"/>
      <c r="J33" s="11"/>
      <c r="K33" s="11">
        <f>SUMIFS('Mar - registro gastos'!$D$3:$D$300,'Mar - registro gastos'!$E$3:$E$300,Mar!$H$27,'Mar - registro gastos'!$F$3:$F$300,Mar!H33)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SUMIFS('Mar - registro gastos'!$D$3:$D$300,'Mar - registro gastos'!$E$3:$E$300,Mar!$B$27,'Mar - registro gastos'!$F$3:$F$300,Mar!B34)</f>
        <v>0</v>
      </c>
      <c r="F34" s="12">
        <f t="shared" si="2"/>
        <v>0</v>
      </c>
      <c r="H34" s="9"/>
      <c r="I34" s="10"/>
      <c r="J34" s="11"/>
      <c r="K34" s="11">
        <f>SUMIFS('Mar - registro gastos'!$D$3:$D$300,'Mar - registro gastos'!$E$3:$E$300,Mar!$H$27,'Mar - registro gastos'!$F$3:$F$300,Mar!H34)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SUMIFS('Mar - registro gastos'!$D$3:$D$300,'Mar - registro gastos'!$E$3:$E$300,Mar!$B$27,'Mar - registro gastos'!$F$3:$F$300,Mar!B35)</f>
        <v>0</v>
      </c>
      <c r="F35" s="15">
        <f t="shared" si="2"/>
        <v>0</v>
      </c>
      <c r="H35" s="13"/>
      <c r="I35" s="40"/>
      <c r="J35" s="14"/>
      <c r="K35" s="14">
        <f>SUMIFS('Mar - registro gastos'!$D$3:$D$300,'Mar - registro gastos'!$E$3:$E$300,Mar!$H$27,'Mar - registro gastos'!$F$3:$F$300,Mar!H35)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SUMIFS('Mar - registro gastos'!$D$3:$D$300,'Mar - registro gastos'!$E$3:$E$300,Mar!$B$38,'Mar - registro gastos'!$F$3:$F$300,Mar!B39)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SUMIFS('Mar - registro gastos'!$D$3:$D$300,'Mar - registro gastos'!$E$3:$E$300,Mar!$H$38,'Mar - registro gastos'!$F$3:$F$300,Mar!H39)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SUMIFS('Mar - registro gastos'!$D$3:$D$300,'Mar - registro gastos'!$E$3:$E$300,Mar!$B$38,'Mar - registro gastos'!$F$3:$F$300,Mar!B40)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SUMIFS('Mar - registro gastos'!$D$3:$D$300,'Mar - registro gastos'!$E$3:$E$300,Mar!$H$38,'Mar - registro gastos'!$F$3:$F$300,Mar!H40)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SUMIFS('Mar - registro gastos'!$D$3:$D$300,'Mar - registro gastos'!$E$3:$E$300,Mar!$B$38,'Mar - registro gastos'!$F$3:$F$300,Mar!B41)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SUMIFS('Mar - registro gastos'!$D$3:$D$300,'Mar - registro gastos'!$E$3:$E$300,Mar!$H$38,'Mar - registro gastos'!$F$3:$F$300,Mar!H41)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SUMIFS('Mar - registro gastos'!$D$3:$D$300,'Mar - registro gastos'!$E$3:$E$300,Mar!$B$38,'Mar - registro gastos'!$F$3:$F$300,Mar!B42)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SUMIFS('Mar - registro gastos'!$D$3:$D$300,'Mar - registro gastos'!$E$3:$E$300,Mar!$H$38,'Mar - registro gastos'!$F$3:$F$300,Mar!H42)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SUMIFS('Mar - registro gastos'!$D$3:$D$300,'Mar - registro gastos'!$E$3:$E$300,Mar!$B$38,'Mar - registro gastos'!$F$3:$F$300,Mar!B43)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SUMIFS('Mar - registro gastos'!$D$3:$D$300,'Mar - registro gastos'!$E$3:$E$300,Mar!$H$38,'Mar - registro gastos'!$F$3:$F$300,Mar!H43)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SUMIFS('Mar - registro gastos'!$D$3:$D$300,'Mar - registro gastos'!$E$3:$E$300,Mar!$B$38,'Mar - registro gastos'!$F$3:$F$300,Mar!B44)</f>
        <v>0</v>
      </c>
      <c r="F44" s="12">
        <f t="shared" si="4"/>
        <v>0</v>
      </c>
      <c r="G44" s="20"/>
      <c r="H44" s="30"/>
      <c r="I44" s="10"/>
      <c r="J44" s="31"/>
      <c r="K44" s="31">
        <f>SUMIFS('Mar - registro gastos'!$D$3:$D$300,'Mar - registro gastos'!$E$3:$E$300,Mar!$H$38,'Mar - registro gastos'!$F$3:$F$300,Mar!H44)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SUMIFS('Mar - registro gastos'!$D$3:$D$300,'Mar - registro gastos'!$E$3:$E$300,Mar!$B$38,'Mar - registro gastos'!$F$3:$F$300,Mar!B45)</f>
        <v>0</v>
      </c>
      <c r="F45" s="15">
        <f t="shared" si="4"/>
        <v>0</v>
      </c>
      <c r="G45" s="20"/>
      <c r="H45" s="13"/>
      <c r="I45" s="40"/>
      <c r="J45" s="14"/>
      <c r="K45" s="14">
        <f>SUMIFS('Mar - registro gastos'!$D$3:$D$300,'Mar - registro gastos'!$E$3:$E$300,Mar!$H$38,'Mar - registro gastos'!$F$3:$F$300,Mar!H45)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SUMIFS('Mar - registro gastos'!$D$3:$D$300,'Mar - registro gastos'!$E$3:$E$300,Mar!$B$48,'Mar - registro gastos'!$F$3:$F$300,Mar!B49)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SUMIFS('Mar - registro gastos'!$D$3:$D$300,'Mar - registro gastos'!$E$3:$E$300,Mar!$H$48,'Mar - registro gastos'!$F$3:$F$300,Mar!H49)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SUMIFS('Mar - registro gastos'!$D$3:$D$300,'Mar - registro gastos'!$E$3:$E$300,Mar!$B$48,'Mar - registro gastos'!$F$3:$F$300,Mar!B50)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SUMIFS('Mar - registro gastos'!$D$3:$D$300,'Mar - registro gastos'!$E$3:$E$300,Mar!$H$48,'Mar - registro gastos'!$F$3:$F$300,Mar!H50)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SUMIFS('Mar - registro gastos'!$D$3:$D$300,'Mar - registro gastos'!$E$3:$E$300,Mar!$B$48,'Mar - registro gastos'!$F$3:$F$300,Mar!B51)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SUMIFS('Mar - registro gastos'!$D$3:$D$300,'Mar - registro gastos'!$E$3:$E$300,Mar!$H$48,'Mar - registro gastos'!$F$3:$F$300,Mar!H51)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SUMIFS('Mar - registro gastos'!$D$3:$D$300,'Mar - registro gastos'!$E$3:$E$300,Mar!$B$48,'Mar - registro gastos'!$F$3:$F$300,Mar!B52)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SUMIFS('Mar - registro gastos'!$D$3:$D$300,'Mar - registro gastos'!$E$3:$E$300,Mar!$H$48,'Mar - registro gastos'!$F$3:$F$300,Mar!H52)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SUMIFS('Mar - registro gastos'!$D$3:$D$300,'Mar - registro gastos'!$E$3:$E$300,Mar!$B$48,'Mar - registro gastos'!$F$3:$F$300,Mar!B53)</f>
        <v>0</v>
      </c>
      <c r="F53" s="12">
        <f t="shared" si="6"/>
        <v>0</v>
      </c>
      <c r="G53" s="20"/>
      <c r="H53" s="9"/>
      <c r="I53" s="10"/>
      <c r="J53" s="11"/>
      <c r="K53" s="11">
        <f>SUMIFS('Mar - registro gastos'!$D$3:$D$300,'Mar - registro gastos'!$E$3:$E$300,Mar!$H$48,'Mar - registro gastos'!$F$3:$F$300,Mar!H53)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SUMIFS('Mar - registro gastos'!$D$3:$D$300,'Mar - registro gastos'!$E$3:$E$300,Mar!$B$48,'Mar - registro gastos'!$F$3:$F$300,Mar!B54)</f>
        <v>0</v>
      </c>
      <c r="F54" s="15">
        <f t="shared" si="6"/>
        <v>0</v>
      </c>
      <c r="G54" s="20"/>
      <c r="H54" s="13"/>
      <c r="I54" s="40"/>
      <c r="J54" s="14"/>
      <c r="K54" s="14">
        <f>SUMIFS('Mar - registro gastos'!$D$3:$D$300,'Mar - registro gastos'!$E$3:$E$300,Mar!$H$48,'Mar - registro gastos'!$F$3:$F$300,Mar!H54)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SUMIFS('Mar - registro gastos'!$D$3:$D$300,'Mar - registro gastos'!$E$3:$E$300,Mar!$B$57,'Mar - registro gastos'!$F$3:$F$300,Mar!B58)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SUMIFS('Mar - registro gastos'!$D$3:$D$300,'Mar - registro gastos'!$E$3:$E$300,Mar!$H$57,'Mar - registro gastos'!$F$3:$F$300,Mar!H58)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SUMIFS('Mar - registro gastos'!$D$3:$D$300,'Mar - registro gastos'!$E$3:$E$300,Mar!$B$57,'Mar - registro gastos'!$F$3:$F$300,Mar!B59)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SUMIFS('Mar - registro gastos'!$D$3:$D$300,'Mar - registro gastos'!$E$3:$E$300,Mar!$H$57,'Mar - registro gastos'!$F$3:$F$300,Mar!H59)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SUMIFS('Mar - registro gastos'!$D$3:$D$300,'Mar - registro gastos'!$E$3:$E$300,Mar!$B$57,'Mar - registro gastos'!$F$3:$F$300,Mar!B60)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SUMIFS('Mar - registro gastos'!$D$3:$D$300,'Mar - registro gastos'!$E$3:$E$300,Mar!$H$57,'Mar - registro gastos'!$F$3:$F$300,Mar!H60)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SUMIFS('Mar - registro gastos'!$D$3:$D$300,'Mar - registro gastos'!$E$3:$E$300,Mar!$B$57,'Mar - registro gastos'!$F$3:$F$300,Mar!B61)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SUMIFS('Mar - registro gastos'!$D$3:$D$300,'Mar - registro gastos'!$E$3:$E$300,Mar!$H$57,'Mar - registro gastos'!$F$3:$F$300,Mar!H61)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SUMIFS('Mar - registro gastos'!$D$3:$D$300,'Mar - registro gastos'!$E$3:$E$300,Mar!$B$57,'Mar - registro gastos'!$F$3:$F$300,Mar!B62)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SUMIFS('Mar - registro gastos'!$D$3:$D$300,'Mar - registro gastos'!$E$3:$E$300,Mar!$H$57,'Mar - registro gastos'!$F$3:$F$300,Mar!H62)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SUMIFS('Mar - registro gastos'!$D$3:$D$300,'Mar - registro gastos'!$E$3:$E$300,Mar!$B$57,'Mar - registro gastos'!$F$3:$F$300,Mar!B63)</f>
        <v>0</v>
      </c>
      <c r="F63" s="12">
        <f t="shared" si="9"/>
        <v>0</v>
      </c>
      <c r="G63" s="20"/>
      <c r="H63" s="30"/>
      <c r="I63" s="10"/>
      <c r="J63" s="31"/>
      <c r="K63" s="31">
        <f>SUMIFS('Mar - registro gastos'!$D$3:$D$300,'Mar - registro gastos'!$E$3:$E$300,Mar!$H$57,'Mar - registro gastos'!$F$3:$F$300,Mar!H63)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SUMIFS('Mar - registro gastos'!$D$3:$D$300,'Mar - registro gastos'!$E$3:$E$300,Mar!$B$57,'Mar - registro gastos'!$F$3:$F$300,Mar!B64)</f>
        <v>0</v>
      </c>
      <c r="F64" s="15">
        <f t="shared" si="9"/>
        <v>0</v>
      </c>
      <c r="G64" s="20"/>
      <c r="H64" s="13"/>
      <c r="I64" s="40"/>
      <c r="J64" s="14"/>
      <c r="K64" s="14">
        <f>SUMIFS('Mar - registro gastos'!$D$3:$D$300,'Mar - registro gastos'!$E$3:$E$300,Mar!$H$57,'Mar - registro gastos'!$F$3:$F$300,Mar!H64)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SUMIFS('Mar - registro gastos'!$D$3:$D$300,'Mar - registro gastos'!$E$3:$E$300,Mar!$B$67,'Mar - registro gastos'!$F$3:$F$300,Mar!B68)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SUMIFS('Mar - registro gastos'!$D$3:$D$300,'Mar - registro gastos'!$E$3:$E$300,Mar!$H$67,'Mar - registro gastos'!$F$3:$F$300,Mar!H68)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SUMIFS('Mar - registro gastos'!$D$3:$D$300,'Mar - registro gastos'!$E$3:$E$300,Mar!$B$67,'Mar - registro gastos'!$F$3:$F$300,Mar!B69)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SUMIFS('Mar - registro gastos'!$D$3:$D$300,'Mar - registro gastos'!$E$3:$E$300,Mar!$H$67,'Mar - registro gastos'!$F$3:$F$300,Mar!H69)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SUMIFS('Mar - registro gastos'!$D$3:$D$300,'Mar - registro gastos'!$E$3:$E$300,Mar!$B$67,'Mar - registro gastos'!$F$3:$F$300,Mar!B70)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SUMIFS('Mar - registro gastos'!$D$3:$D$300,'Mar - registro gastos'!$E$3:$E$300,Mar!$H$67,'Mar - registro gastos'!$F$3:$F$300,Mar!H70)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SUMIFS('Mar - registro gastos'!$D$3:$D$300,'Mar - registro gastos'!$E$3:$E$300,Mar!$B$67,'Mar - registro gastos'!$F$3:$F$300,Mar!B71)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SUMIFS('Mar - registro gastos'!$D$3:$D$300,'Mar - registro gastos'!$E$3:$E$300,Mar!$H$67,'Mar - registro gastos'!$F$3:$F$300,Mar!H71)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SUMIFS('Mar - registro gastos'!$D$3:$D$300,'Mar - registro gastos'!$E$3:$E$300,Mar!$B$67,'Mar - registro gastos'!$F$3:$F$300,Mar!B72)</f>
        <v>0</v>
      </c>
      <c r="F72" s="12">
        <f t="shared" si="10"/>
        <v>0</v>
      </c>
      <c r="G72" s="20"/>
      <c r="H72" s="9"/>
      <c r="I72" s="10"/>
      <c r="J72" s="11"/>
      <c r="K72" s="11">
        <f>SUMIFS('Mar - registro gastos'!$D$3:$D$300,'Mar - registro gastos'!$E$3:$E$300,Mar!$H$67,'Mar - registro gastos'!$F$3:$F$300,Mar!H72)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SUMIFS('Mar - registro gastos'!$D$3:$D$300,'Mar - registro gastos'!$E$3:$E$300,Mar!$B$67,'Mar - registro gastos'!$F$3:$F$300,Mar!B73)</f>
        <v>0</v>
      </c>
      <c r="F73" s="12">
        <f t="shared" si="10"/>
        <v>0</v>
      </c>
      <c r="G73" s="20"/>
      <c r="H73" s="9"/>
      <c r="I73" s="10"/>
      <c r="J73" s="11"/>
      <c r="K73" s="11">
        <f>SUMIFS('Mar - registro gastos'!$D$3:$D$300,'Mar - registro gastos'!$E$3:$E$300,Mar!$H$67,'Mar - registro gastos'!$F$3:$F$300,Mar!H73)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SUMIFS('Mar - registro gastos'!$D$3:$D$300,'Mar - registro gastos'!$E$3:$E$300,Mar!$B$67,'Mar - registro gastos'!$F$3:$F$300,Mar!B74)</f>
        <v>0</v>
      </c>
      <c r="F74" s="12">
        <f t="shared" si="10"/>
        <v>0</v>
      </c>
      <c r="G74" s="20"/>
      <c r="H74" s="9"/>
      <c r="I74" s="10"/>
      <c r="J74" s="11"/>
      <c r="K74" s="11">
        <f>SUMIFS('Mar - registro gastos'!$D$3:$D$300,'Mar - registro gastos'!$E$3:$E$300,Mar!$H$67,'Mar - registro gastos'!$F$3:$F$300,Mar!H74)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SUMIFS('Mar - registro gastos'!$D$3:$D$300,'Mar - registro gastos'!$E$3:$E$300,Mar!$B$67,'Mar - registro gastos'!$F$3:$F$300,Mar!B75)</f>
        <v>0</v>
      </c>
      <c r="F75" s="12">
        <f t="shared" si="10"/>
        <v>0</v>
      </c>
      <c r="G75" s="20"/>
      <c r="H75" s="30"/>
      <c r="I75" s="10"/>
      <c r="J75" s="31"/>
      <c r="K75" s="31">
        <f>SUMIFS('Mar - registro gastos'!$D$3:$D$300,'Mar - registro gastos'!$E$3:$E$300,Mar!$H$67,'Mar - registro gastos'!$F$3:$F$300,Mar!H75)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SUMIFS('Mar - registro gastos'!$D$3:$D$300,'Mar - registro gastos'!$E$3:$E$300,Mar!$B$67,'Mar - registro gastos'!$F$3:$F$300,Mar!B76)</f>
        <v>0</v>
      </c>
      <c r="F76" s="12">
        <f t="shared" si="10"/>
        <v>0</v>
      </c>
      <c r="G76" s="20"/>
      <c r="H76" s="30"/>
      <c r="I76" s="10"/>
      <c r="J76" s="31"/>
      <c r="K76" s="31">
        <f>SUMIFS('Mar - registro gastos'!$D$3:$D$300,'Mar - registro gastos'!$E$3:$E$300,Mar!$H$67,'Mar - registro gastos'!$F$3:$F$300,Mar!H76)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SUMIFS('Mar - registro gastos'!$D$3:$D$300,'Mar - registro gastos'!$E$3:$E$300,Mar!$B$67,'Mar - registro gastos'!$F$3:$F$300,Mar!B77)</f>
        <v>0</v>
      </c>
      <c r="F77" s="12">
        <f t="shared" si="10"/>
        <v>0</v>
      </c>
      <c r="G77" s="20"/>
      <c r="H77" s="30"/>
      <c r="I77" s="10"/>
      <c r="J77" s="31"/>
      <c r="K77" s="31">
        <f>SUMIFS('Mar - registro gastos'!$D$3:$D$300,'Mar - registro gastos'!$E$3:$E$300,Mar!$H$67,'Mar - registro gastos'!$F$3:$F$300,Mar!H77)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SUMIFS('Mar - registro gastos'!$D$3:$D$300,'Mar - registro gastos'!$E$3:$E$300,Mar!$B$67,'Mar - registro gastos'!$F$3:$F$300,Mar!B78)</f>
        <v>0</v>
      </c>
      <c r="F78" s="15">
        <f t="shared" si="10"/>
        <v>0</v>
      </c>
      <c r="G78" s="20"/>
      <c r="H78" s="13"/>
      <c r="I78" s="40"/>
      <c r="J78" s="14"/>
      <c r="K78" s="14">
        <f>SUMIFS('Mar - registro gastos'!$D$3:$D$300,'Mar - registro gastos'!$E$3:$E$300,Mar!$H$67,'Mar - registro gastos'!$F$3:$F$300,Mar!H78)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SUMIFS('Mar - registro gastos'!$D$3:$D$300,'Mar - registro gastos'!$E$3:$E$300,Mar!$B$81,'Mar - registro gastos'!$F$3:$F$300,Mar!B82)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SUMIFS('Mar - registro gastos'!$D$3:$D$300,'Mar - registro gastos'!$E$3:$E$300,Mar!$H$81,'Mar - registro gastos'!$F$3:$F$300,Mar!H82)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SUMIFS('Mar - registro gastos'!$D$3:$D$300,'Mar - registro gastos'!$E$3:$E$300,Mar!$B$81,'Mar - registro gastos'!$F$3:$F$300,Mar!B83)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SUMIFS('Mar - registro gastos'!$D$3:$D$300,'Mar - registro gastos'!$E$3:$E$300,Mar!$H$81,'Mar - registro gastos'!$F$3:$F$300,Mar!H83)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SUMIFS('Mar - registro gastos'!$D$3:$D$300,'Mar - registro gastos'!$E$3:$E$300,Mar!$B$81,'Mar - registro gastos'!$F$3:$F$300,Mar!B84)</f>
        <v>0</v>
      </c>
      <c r="F84" s="12">
        <f t="shared" si="12"/>
        <v>0</v>
      </c>
      <c r="G84" s="20"/>
      <c r="H84" s="9"/>
      <c r="I84" s="10"/>
      <c r="J84" s="11"/>
      <c r="K84" s="11">
        <f>SUMIFS('Mar - registro gastos'!$D$3:$D$300,'Mar - registro gastos'!$E$3:$E$300,Mar!$H$81,'Mar - registro gastos'!$F$3:$F$300,Mar!H84)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SUMIFS('Mar - registro gastos'!$D$3:$D$300,'Mar - registro gastos'!$E$3:$E$300,Mar!$B$81,'Mar - registro gastos'!$F$3:$F$300,Mar!B85)</f>
        <v>0</v>
      </c>
      <c r="F85" s="12">
        <f>D85-E85</f>
        <v>0</v>
      </c>
      <c r="G85" s="20"/>
      <c r="H85" s="9"/>
      <c r="I85" s="10"/>
      <c r="J85" s="11"/>
      <c r="K85" s="11">
        <f>SUMIFS('Mar - registro gastos'!$D$3:$D$300,'Mar - registro gastos'!$E$3:$E$300,Mar!$H$81,'Mar - registro gastos'!$F$3:$F$300,Mar!H85)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SUMIFS('Mar - registro gastos'!$D$3:$D$300,'Mar - registro gastos'!$E$3:$E$300,Mar!$B$81,'Mar - registro gastos'!$F$3:$F$300,Mar!B86)</f>
        <v>0</v>
      </c>
      <c r="F86" s="12">
        <f t="shared" si="12"/>
        <v>0</v>
      </c>
      <c r="G86" s="20"/>
      <c r="H86" s="9"/>
      <c r="I86" s="10"/>
      <c r="J86" s="11"/>
      <c r="K86" s="11">
        <f>SUMIFS('Mar - registro gastos'!$D$3:$D$300,'Mar - registro gastos'!$E$3:$E$300,Mar!$H$81,'Mar - registro gastos'!$F$3:$F$300,Mar!H86)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SUMIFS('Mar - registro gastos'!$D$3:$D$300,'Mar - registro gastos'!$E$3:$E$300,Mar!$B$81,'Mar - registro gastos'!$F$3:$F$300,Mar!B87)</f>
        <v>0</v>
      </c>
      <c r="F87" s="15">
        <f t="shared" si="12"/>
        <v>0</v>
      </c>
      <c r="G87" s="20"/>
      <c r="H87" s="13"/>
      <c r="I87" s="40"/>
      <c r="J87" s="14"/>
      <c r="K87" s="14">
        <f>SUMIFS('Mar - registro gastos'!$D$3:$D$300,'Mar - registro gastos'!$E$3:$E$300,Mar!$H$81,'Mar - registro gastos'!$F$3:$F$300,Mar!H87)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SUMIFS('Mar - registro gastos'!$D$3:$D$300,'Mar - registro gastos'!$E$3:$E$300,Mar!$B$90,'Mar - registro gastos'!$F$3:$F$300,Mar!B91)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SUMIFS('Mar - registro gastos'!$D$3:$D$300,'Mar - registro gastos'!$E$3:$E$300,Mar!$H$90,'Mar - registro gastos'!$F$3:$F$300,Mar!H91)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SUMIFS('Mar - registro gastos'!$D$3:$D$300,'Mar - registro gastos'!$E$3:$E$300,Mar!$B$90,'Mar - registro gastos'!$F$3:$F$300,Mar!B92)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SUMIFS('Mar - registro gastos'!$D$3:$D$300,'Mar - registro gastos'!$E$3:$E$300,Mar!$H$90,'Mar - registro gastos'!$F$3:$F$300,Mar!H92)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SUMIFS('Mar - registro gastos'!$D$3:$D$300,'Mar - registro gastos'!$E$3:$E$300,Mar!$B$90,'Mar - registro gastos'!$F$3:$F$300,Mar!B93)</f>
        <v>0</v>
      </c>
      <c r="F93" s="12">
        <f t="shared" si="15"/>
        <v>0</v>
      </c>
      <c r="G93" s="20"/>
      <c r="H93" s="9"/>
      <c r="I93" s="10"/>
      <c r="J93" s="11"/>
      <c r="K93" s="11">
        <f>SUMIFS('Mar - registro gastos'!$D$3:$D$300,'Mar - registro gastos'!$E$3:$E$300,Mar!$H$90,'Mar - registro gastos'!$F$3:$F$300,Mar!H93)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SUMIFS('Mar - registro gastos'!$D$3:$D$300,'Mar - registro gastos'!$E$3:$E$300,Mar!$B$90,'Mar - registro gastos'!$F$3:$F$300,Mar!B94)</f>
        <v>0</v>
      </c>
      <c r="F94" s="12">
        <f t="shared" si="15"/>
        <v>0</v>
      </c>
      <c r="G94" s="20"/>
      <c r="H94" s="9"/>
      <c r="I94" s="10"/>
      <c r="J94" s="11"/>
      <c r="K94" s="11">
        <f>SUMIFS('Mar - registro gastos'!$D$3:$D$300,'Mar - registro gastos'!$E$3:$E$300,Mar!$H$90,'Mar - registro gastos'!$F$3:$F$300,Mar!H94)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SUMIFS('Mar - registro gastos'!$D$3:$D$300,'Mar - registro gastos'!$E$3:$E$300,Mar!$B$90,'Mar - registro gastos'!$F$3:$F$300,Mar!B95)</f>
        <v>0</v>
      </c>
      <c r="F95" s="12">
        <f>D95-E95</f>
        <v>0</v>
      </c>
      <c r="G95" s="20"/>
      <c r="H95" s="9"/>
      <c r="I95" s="10"/>
      <c r="J95" s="11"/>
      <c r="K95" s="11">
        <f>SUMIFS('Mar - registro gastos'!$D$3:$D$300,'Mar - registro gastos'!$E$3:$E$300,Mar!$H$90,'Mar - registro gastos'!$F$3:$F$300,Mar!H95)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SUMIFS('Mar - registro gastos'!$D$3:$D$300,'Mar - registro gastos'!$E$3:$E$300,Mar!$B$90,'Mar - registro gastos'!$F$3:$F$300,Mar!B96)</f>
        <v>0</v>
      </c>
      <c r="F96" s="12">
        <f t="shared" si="15"/>
        <v>0</v>
      </c>
      <c r="G96" s="20"/>
      <c r="H96" s="9"/>
      <c r="I96" s="10"/>
      <c r="J96" s="11"/>
      <c r="K96" s="11">
        <f>SUMIFS('Mar - registro gastos'!$D$3:$D$300,'Mar - registro gastos'!$E$3:$E$300,Mar!$H$90,'Mar - registro gastos'!$F$3:$F$300,Mar!H96)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SUMIFS('Mar - registro gastos'!$D$3:$D$300,'Mar - registro gastos'!$E$3:$E$300,Mar!$B$90,'Mar - registro gastos'!$F$3:$F$300,Mar!B97)</f>
        <v>0</v>
      </c>
      <c r="F97" s="15">
        <f t="shared" si="15"/>
        <v>0</v>
      </c>
      <c r="G97" s="20"/>
      <c r="H97" s="13"/>
      <c r="I97" s="40"/>
      <c r="J97" s="14"/>
      <c r="K97" s="14">
        <f>SUMIFS('Mar - registro gastos'!$D$3:$D$300,'Mar - registro gastos'!$E$3:$E$300,Mar!$H$90,'Mar - registro gastos'!$F$3:$F$300,Mar!H97)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SUMIFS('Mar - registro gastos'!$D$3:$D$300,'Mar - registro gastos'!$E$3:$E$300,Mar!$B$100,'Mar - registro gastos'!$F$3:$F$300,Mar!B101)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SUMIFS('Mar - registro gastos'!$D$3:$D$300,'Mar - registro gastos'!$E$3:$E$300,Mar!$H$100,'Mar - registro gastos'!$F$3:$F$300,Mar!H101)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SUMIFS('Mar - registro gastos'!$D$3:$D$300,'Mar - registro gastos'!$E$3:$E$300,Mar!$B$100,'Mar - registro gastos'!$F$3:$F$300,Mar!B102)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SUMIFS('Mar - registro gastos'!$D$3:$D$300,'Mar - registro gastos'!$E$3:$E$300,Mar!$H$100,'Mar - registro gastos'!$F$3:$F$300,Mar!H102)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SUMIFS('Mar - registro gastos'!$D$3:$D$300,'Mar - registro gastos'!$E$3:$E$300,Mar!$B$100,'Mar - registro gastos'!$F$3:$F$300,Mar!B103)</f>
        <v>0</v>
      </c>
      <c r="F103" s="12">
        <f t="shared" si="16"/>
        <v>0</v>
      </c>
      <c r="G103" s="20"/>
      <c r="H103" s="9"/>
      <c r="I103" s="10"/>
      <c r="J103" s="11"/>
      <c r="K103" s="11">
        <f>SUMIFS('Mar - registro gastos'!$D$3:$D$300,'Mar - registro gastos'!$E$3:$E$300,Mar!$H$100,'Mar - registro gastos'!$F$3:$F$300,Mar!H103)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SUMIFS('Mar - registro gastos'!$D$3:$D$300,'Mar - registro gastos'!$E$3:$E$300,Mar!$B$100,'Mar - registro gastos'!$F$3:$F$300,Mar!B104)</f>
        <v>0</v>
      </c>
      <c r="F104" s="12">
        <f t="shared" si="16"/>
        <v>0</v>
      </c>
      <c r="G104" s="20"/>
      <c r="H104" s="9"/>
      <c r="I104" s="10"/>
      <c r="J104" s="11"/>
      <c r="K104" s="11">
        <f>SUMIFS('Mar - registro gastos'!$D$3:$D$300,'Mar - registro gastos'!$E$3:$E$300,Mar!$H$100,'Mar - registro gastos'!$F$3:$F$300,Mar!H104)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SUMIFS('Mar - registro gastos'!$D$3:$D$300,'Mar - registro gastos'!$E$3:$E$300,Mar!$B$100,'Mar - registro gastos'!$F$3:$F$300,Mar!B105)</f>
        <v>0</v>
      </c>
      <c r="F105" s="12">
        <f t="shared" si="16"/>
        <v>0</v>
      </c>
      <c r="G105" s="20"/>
      <c r="H105" s="9"/>
      <c r="I105" s="10"/>
      <c r="J105" s="11"/>
      <c r="K105" s="11">
        <f>SUMIFS('Mar - registro gastos'!$D$3:$D$300,'Mar - registro gastos'!$E$3:$E$300,Mar!$H$100,'Mar - registro gastos'!$F$3:$F$300,Mar!H105)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SUMIFS('Mar - registro gastos'!$D$3:$D$300,'Mar - registro gastos'!$E$3:$E$300,Mar!$B$100,'Mar - registro gastos'!$F$3:$F$300,Mar!B106)</f>
        <v>0</v>
      </c>
      <c r="F106" s="12">
        <f t="shared" si="16"/>
        <v>0</v>
      </c>
      <c r="G106" s="20"/>
      <c r="H106" s="9"/>
      <c r="I106" s="10"/>
      <c r="J106" s="11"/>
      <c r="K106" s="11">
        <f>SUMIFS('Mar - registro gastos'!$D$3:$D$300,'Mar - registro gastos'!$E$3:$E$300,Mar!$H$100,'Mar - registro gastos'!$F$3:$F$300,Mar!H106)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SUMIFS('Mar - registro gastos'!$D$3:$D$300,'Mar - registro gastos'!$E$3:$E$300,Mar!$B$100,'Mar - registro gastos'!$F$3:$F$300,Mar!B107)</f>
        <v>0</v>
      </c>
      <c r="F107" s="15">
        <f>D107-E107</f>
        <v>0</v>
      </c>
      <c r="G107" s="20"/>
      <c r="H107" s="13"/>
      <c r="I107" s="40"/>
      <c r="J107" s="14"/>
      <c r="K107" s="14">
        <f>SUMIFS('Mar - registro gastos'!$D$3:$D$300,'Mar - registro gastos'!$E$3:$E$300,Mar!$H$100,'Mar - registro gastos'!$F$3:$F$300,Mar!H107)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5:E107 K13:K108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9A64EC9-6455-364C-9261-8D322E133F3E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E0E275D5-A24C-7940-BC21-9E42932274AC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5D7A-E843-9B4C-A75D-63A1E68F7859}">
  <sheetPr codeName="Hoja5">
    <tabColor rgb="FFFD9F00"/>
  </sheetPr>
  <dimension ref="B2:AR312"/>
  <sheetViews>
    <sheetView showGridLines="0" zoomScale="110" zoomScaleNormal="11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2" width="11" customWidth="1"/>
    <col min="13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102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Mar!$B$12</f>
        <v>NECESIDADES BÁSICAS</v>
      </c>
      <c r="AO4" s="84" t="str">
        <f>Mar!B13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Mar!$B$12</f>
        <v>NECESIDADES BÁSICAS</v>
      </c>
      <c r="AO5" s="86" t="str">
        <f>Mar!B14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Mar!$B$12</f>
        <v>NECESIDADES BÁSICAS</v>
      </c>
      <c r="AO6" s="86" t="str">
        <f>Mar!B15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Mar!$B$12</f>
        <v>NECESIDADES BÁSICAS</v>
      </c>
      <c r="AO7" s="86" t="str">
        <f>Mar!B16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Mar!$B$12</f>
        <v>NECESIDADES BÁSICAS</v>
      </c>
      <c r="AO8" s="86" t="str">
        <f>Mar!B17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Mar!$B$12</f>
        <v>NECESIDADES BÁSICAS</v>
      </c>
      <c r="AO9" s="86" t="str">
        <f>Mar!B18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Mar!$B$12</f>
        <v>NECESIDADES BÁSICAS</v>
      </c>
      <c r="AO10" s="86" t="str">
        <f>Mar!B19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Mar!$B$12</f>
        <v>NECESIDADES BÁSICAS</v>
      </c>
      <c r="AO11" s="86" t="str">
        <f>Mar!B20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Mar!$B$12</f>
        <v>NECESIDADES BÁSICAS</v>
      </c>
      <c r="AO12" s="86" t="str">
        <f>Mar!B21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Mar!$B$12</f>
        <v>NECESIDADES BÁSICAS</v>
      </c>
      <c r="AO13" s="86">
        <f>Mar!B22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Mar!$B$12</f>
        <v>NECESIDADES BÁSICAS</v>
      </c>
      <c r="AO14" s="86">
        <f>Mar!B23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Mar!$B$12</f>
        <v>NECESIDADES BÁSICAS</v>
      </c>
      <c r="AO15" s="88">
        <f>Mar!B24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Mar!$H$12</f>
        <v>AHORROS</v>
      </c>
      <c r="AO16" s="84" t="str">
        <f>Mar!H13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Mar!$H$12</f>
        <v>AHORROS</v>
      </c>
      <c r="AO17" s="86" t="str">
        <f>Mar!H14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Mar!$H$12</f>
        <v>AHORROS</v>
      </c>
      <c r="AO18" s="86" t="str">
        <f>Mar!H15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Mar!$H$12</f>
        <v>AHORROS</v>
      </c>
      <c r="AO19" s="86" t="str">
        <f>Mar!H16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Mar!$H$12</f>
        <v>AHORROS</v>
      </c>
      <c r="AO20" s="86" t="str">
        <f>Mar!H17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Mar!$H$12</f>
        <v>AHORROS</v>
      </c>
      <c r="AO21" s="86">
        <f>Mar!H18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Mar!$H$12</f>
        <v>AHORROS</v>
      </c>
      <c r="AO22" s="86">
        <f>Mar!H19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Mar!$H$12</f>
        <v>AHORROS</v>
      </c>
      <c r="AO23" s="86">
        <f>Mar!H20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Mar!$H$12</f>
        <v>AHORROS</v>
      </c>
      <c r="AO24" s="86">
        <f>Mar!H21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Mar!$H$12</f>
        <v>AHORROS</v>
      </c>
      <c r="AO25" s="86">
        <f>Mar!H22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Mar!$H$12</f>
        <v>AHORROS</v>
      </c>
      <c r="AO26" s="86">
        <f>Mar!H23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Mar!$H$12</f>
        <v>AHORROS</v>
      </c>
      <c r="AO27" s="88">
        <f>Mar!H24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Mar!$B$27</f>
        <v>DEUDAS</v>
      </c>
      <c r="AO28" s="84" t="str">
        <f>Mar!B28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Mar!$B$27</f>
        <v>DEUDAS</v>
      </c>
      <c r="AO29" s="86" t="str">
        <f>Mar!B29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Mar!$B$27</f>
        <v>DEUDAS</v>
      </c>
      <c r="AO30" s="86" t="str">
        <f>Mar!B30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Mar!$B$27</f>
        <v>DEUDAS</v>
      </c>
      <c r="AO31" s="86" t="str">
        <f>Mar!B31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Mar!$B$27</f>
        <v>DEUDAS</v>
      </c>
      <c r="AO32" s="86" t="str">
        <f>Mar!B32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Mar!$B$27</f>
        <v>DEUDAS</v>
      </c>
      <c r="AO33" s="86">
        <f>Mar!B33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Mar!$B$27</f>
        <v>DEUDAS</v>
      </c>
      <c r="AO34" s="86">
        <f>Mar!B34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Mar!$B$27</f>
        <v>DEUDAS</v>
      </c>
      <c r="AO35" s="88">
        <f>Mar!B35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Mar!$H$27</f>
        <v>REGALOS/ CARIDAD</v>
      </c>
      <c r="AO36" s="84" t="str">
        <f>Mar!H28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Mar!$H$27</f>
        <v>REGALOS/ CARIDAD</v>
      </c>
      <c r="AO37" s="86" t="str">
        <f>Mar!H29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Mar!$H$27</f>
        <v>REGALOS/ CARIDAD</v>
      </c>
      <c r="AO38" s="86" t="str">
        <f>Mar!H30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Mar!$H$27</f>
        <v>REGALOS/ CARIDAD</v>
      </c>
      <c r="AO39" s="86">
        <f>Mar!H31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Mar!$H$27</f>
        <v>REGALOS/ CARIDAD</v>
      </c>
      <c r="AO40" s="86">
        <f>Mar!H32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Mar!$H$27</f>
        <v>REGALOS/ CARIDAD</v>
      </c>
      <c r="AO41" s="86">
        <f>Mar!H33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Mar!$H$27</f>
        <v>REGALOS/ CARIDAD</v>
      </c>
      <c r="AO42" s="86">
        <f>Mar!H34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Mar!$H$27</f>
        <v>REGALOS/ CARIDAD</v>
      </c>
      <c r="AO43" s="88">
        <f>Mar!H35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Mar!$B$38</f>
        <v>CASA</v>
      </c>
      <c r="AO44" s="84" t="str">
        <f>Mar!B39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Mar!$B$38</f>
        <v>CASA</v>
      </c>
      <c r="AO45" s="86" t="str">
        <f>Mar!B40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Mar!$B$38</f>
        <v>CASA</v>
      </c>
      <c r="AO46" s="86" t="str">
        <f>Mar!B41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Mar!$B$38</f>
        <v>CASA</v>
      </c>
      <c r="AO47" s="86" t="str">
        <f>Mar!B42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Mar!$B$38</f>
        <v>CASA</v>
      </c>
      <c r="AO48" s="86">
        <f>Mar!B43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Mar!$B$38</f>
        <v>CASA</v>
      </c>
      <c r="AO49" s="86">
        <f>Mar!B44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Mar!$B$38</f>
        <v>CASA</v>
      </c>
      <c r="AO50" s="88">
        <f>Mar!B45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Mar!$H$38</f>
        <v>TRANSPORTE</v>
      </c>
      <c r="AO51" s="84" t="str">
        <f>Mar!H39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Mar!$H$38</f>
        <v>TRANSPORTE</v>
      </c>
      <c r="AO52" s="86" t="str">
        <f>Mar!H40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Mar!$H$38</f>
        <v>TRANSPORTE</v>
      </c>
      <c r="AO53" s="86" t="str">
        <f>Mar!H41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Mar!$H$38</f>
        <v>TRANSPORTE</v>
      </c>
      <c r="AO54" s="86" t="str">
        <f>Mar!H42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Mar!$H$38</f>
        <v>TRANSPORTE</v>
      </c>
      <c r="AO55" s="86" t="str">
        <f>Mar!H43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Mar!$H$38</f>
        <v>TRANSPORTE</v>
      </c>
      <c r="AO56" s="86">
        <f>Mar!H44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Mar!$H$38</f>
        <v>TRANSPORTE</v>
      </c>
      <c r="AO57" s="88">
        <f>Mar!H45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Mar!$B$48</f>
        <v>ALIMENTACIÓN</v>
      </c>
      <c r="AO58" s="84" t="str">
        <f>Mar!B49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Mar!$B$48</f>
        <v>ALIMENTACIÓN</v>
      </c>
      <c r="AO59" s="86" t="str">
        <f>Mar!B50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Mar!$B$48</f>
        <v>ALIMENTACIÓN</v>
      </c>
      <c r="AO60" s="86">
        <f>Mar!B51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Mar!$B$48</f>
        <v>ALIMENTACIÓN</v>
      </c>
      <c r="AO61" s="86">
        <f>Mar!B52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Mar!$B$48</f>
        <v>ALIMENTACIÓN</v>
      </c>
      <c r="AO62" s="86">
        <f>Mar!B53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Mar!$B$48</f>
        <v>ALIMENTACIÓN</v>
      </c>
      <c r="AO63" s="88">
        <f>Mar!B54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Mar!$H$48</f>
        <v>SEGUROS</v>
      </c>
      <c r="AO64" s="84" t="str">
        <f>Mar!H49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Mar!$H$48</f>
        <v>SEGUROS</v>
      </c>
      <c r="AO65" s="86" t="str">
        <f>Mar!H50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Mar!$H$48</f>
        <v>SEGUROS</v>
      </c>
      <c r="AO66" s="86" t="str">
        <f>Mar!H51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Mar!$H$48</f>
        <v>SEGUROS</v>
      </c>
      <c r="AO67" s="86" t="str">
        <f>Mar!H52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Mar!$H$48</f>
        <v>SEGUROS</v>
      </c>
      <c r="AO68" s="86">
        <f>Mar!H53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Mar!$H$48</f>
        <v>SEGUROS</v>
      </c>
      <c r="AO69" s="88">
        <f>Mar!H54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Mar!$B$57</f>
        <v>SALUD</v>
      </c>
      <c r="AO70" s="84" t="str">
        <f>Mar!B58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Mar!$B$57</f>
        <v>SALUD</v>
      </c>
      <c r="AO71" s="86" t="str">
        <f>Mar!B59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Mar!$B$57</f>
        <v>SALUD</v>
      </c>
      <c r="AO72" s="86" t="str">
        <f>Mar!B60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Mar!$B$57</f>
        <v>SALUD</v>
      </c>
      <c r="AO73" s="86">
        <f>Mar!B61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Mar!$B$57</f>
        <v>SALUD</v>
      </c>
      <c r="AO74" s="86">
        <f>Mar!B62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Mar!$B$57</f>
        <v>SALUD</v>
      </c>
      <c r="AO75" s="86">
        <f>Mar!B63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Mar!$B$57</f>
        <v>SALUD</v>
      </c>
      <c r="AO76" s="88">
        <f>Mar!B64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Mar!$H$57</f>
        <v>CUIDADO PERSONAL</v>
      </c>
      <c r="AO77" s="84" t="str">
        <f>Mar!H58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Mar!$H$57</f>
        <v>CUIDADO PERSONAL</v>
      </c>
      <c r="AO78" s="86" t="str">
        <f>Mar!H59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Mar!$H$57</f>
        <v>CUIDADO PERSONAL</v>
      </c>
      <c r="AO79" s="86" t="str">
        <f>Mar!H60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Mar!$H$57</f>
        <v>CUIDADO PERSONAL</v>
      </c>
      <c r="AO80" s="86" t="str">
        <f>Mar!H61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Mar!$H$57</f>
        <v>CUIDADO PERSONAL</v>
      </c>
      <c r="AO81" s="86" t="str">
        <f>Mar!H62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Mar!$H$57</f>
        <v>CUIDADO PERSONAL</v>
      </c>
      <c r="AO82" s="86">
        <f>Mar!H63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Mar!$H$57</f>
        <v>CUIDADO PERSONAL</v>
      </c>
      <c r="AO83" s="88">
        <f>Mar!H64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Mar!$B$67</f>
        <v>ENTRETENIMIENTO</v>
      </c>
      <c r="AO84" s="84" t="str">
        <f>Mar!B68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Mar!$B$67</f>
        <v>ENTRETENIMIENTO</v>
      </c>
      <c r="AO85" s="86" t="str">
        <f>Mar!B69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Mar!$B$67</f>
        <v>ENTRETENIMIENTO</v>
      </c>
      <c r="AO86" s="86" t="str">
        <f>Mar!B70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Mar!$B$67</f>
        <v>ENTRETENIMIENTO</v>
      </c>
      <c r="AO87" s="86" t="str">
        <f>Mar!B71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Mar!$B$67</f>
        <v>ENTRETENIMIENTO</v>
      </c>
      <c r="AO88" s="86" t="str">
        <f>Mar!B72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Mar!$B$67</f>
        <v>ENTRETENIMIENTO</v>
      </c>
      <c r="AO89" s="86" t="str">
        <f>Mar!B73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Mar!$B$67</f>
        <v>ENTRETENIMIENTO</v>
      </c>
      <c r="AO90" s="86" t="str">
        <f>Mar!B74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Mar!$B$67</f>
        <v>ENTRETENIMIENTO</v>
      </c>
      <c r="AO91" s="86">
        <f>Mar!B75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Mar!$B$67</f>
        <v>ENTRETENIMIENTO</v>
      </c>
      <c r="AO92" s="86">
        <f>Mar!B76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Mar!$B$67</f>
        <v>ENTRETENIMIENTO</v>
      </c>
      <c r="AO93" s="86">
        <f>Mar!B77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Mar!$B$67</f>
        <v>ENTRETENIMIENTO</v>
      </c>
      <c r="AO94" s="88">
        <f>Mar!B78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Mar!$H$67</f>
        <v>HIJOS</v>
      </c>
      <c r="AO95" s="84" t="str">
        <f>Mar!H68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Mar!$H$67</f>
        <v>HIJOS</v>
      </c>
      <c r="AO96" s="86" t="str">
        <f>Mar!H69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Mar!$H$67</f>
        <v>HIJOS</v>
      </c>
      <c r="AO97" s="86" t="str">
        <f>Mar!H70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Mar!$H$67</f>
        <v>HIJOS</v>
      </c>
      <c r="AO98" s="86" t="str">
        <f>Mar!H71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Mar!$H$67</f>
        <v>HIJOS</v>
      </c>
      <c r="AO99" s="86">
        <f>Mar!H72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Mar!$H$67</f>
        <v>HIJOS</v>
      </c>
      <c r="AO100" s="86">
        <f>Mar!H73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Mar!$H$67</f>
        <v>HIJOS</v>
      </c>
      <c r="AO101" s="86">
        <f>Mar!H74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Mar!$H$67</f>
        <v>HIJOS</v>
      </c>
      <c r="AO102" s="86">
        <f>Mar!H75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Mar!$H$67</f>
        <v>HIJOS</v>
      </c>
      <c r="AO103" s="86">
        <f>Mar!H76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Mar!$H$67</f>
        <v>HIJOS</v>
      </c>
      <c r="AO104" s="86">
        <f>Mar!H77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Mar!$H$67</f>
        <v>HIJOS</v>
      </c>
      <c r="AO105" s="88">
        <f>Mar!H78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Mar!$B$81</f>
        <v>MASCOTA</v>
      </c>
      <c r="AO106" s="84" t="str">
        <f>Mar!B82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Mar!$B$81</f>
        <v>MASCOTA</v>
      </c>
      <c r="AO107" s="86" t="str">
        <f>Mar!B83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Mar!$B$81</f>
        <v>MASCOTA</v>
      </c>
      <c r="AO108" s="86" t="str">
        <f>Mar!B84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Mar!$B$81</f>
        <v>MASCOTA</v>
      </c>
      <c r="AO109" s="86" t="str">
        <f>Mar!B85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Mar!$B$81</f>
        <v>MASCOTA</v>
      </c>
      <c r="AO110" s="86">
        <f>Mar!B86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Mar!$B$81</f>
        <v>MASCOTA</v>
      </c>
      <c r="AO111" s="88">
        <f>Mar!B87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Mar!$H$81</f>
        <v>OTROS 1</v>
      </c>
      <c r="AO112" s="84">
        <f>Mar!H82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Mar!$H$81</f>
        <v>OTROS 1</v>
      </c>
      <c r="AO113" s="86">
        <f>Mar!H83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Mar!$H$81</f>
        <v>OTROS 1</v>
      </c>
      <c r="AO114" s="86">
        <f>Mar!H84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Mar!$H$81</f>
        <v>OTROS 1</v>
      </c>
      <c r="AO115" s="86">
        <f>Mar!H85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Mar!$H$81</f>
        <v>OTROS 1</v>
      </c>
      <c r="AO116" s="86">
        <f>Mar!H86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Mar!$H$81</f>
        <v>OTROS 1</v>
      </c>
      <c r="AO117" s="88">
        <f>Mar!H87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Mar!$B$90</f>
        <v>OTROS 2</v>
      </c>
      <c r="AO118" s="84">
        <f>Mar!B91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Mar!$B$90</f>
        <v>OTROS 2</v>
      </c>
      <c r="AO119" s="86">
        <f>Mar!B92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Mar!$B$90</f>
        <v>OTROS 2</v>
      </c>
      <c r="AO120" s="86">
        <f>Mar!B93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Mar!$B$90</f>
        <v>OTROS 2</v>
      </c>
      <c r="AO121" s="86">
        <f>Mar!B94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Mar!$B$90</f>
        <v>OTROS 2</v>
      </c>
      <c r="AO122" s="86">
        <f>Mar!B95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Mar!$B$90</f>
        <v>OTROS 2</v>
      </c>
      <c r="AO123" s="88">
        <f>Mar!B96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Mar!$H$90</f>
        <v>OTROS 3</v>
      </c>
      <c r="AO124" s="84">
        <f>Mar!H91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Mar!$H$90</f>
        <v>OTROS 3</v>
      </c>
      <c r="AO125" s="86">
        <f>Mar!H92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Mar!$H$90</f>
        <v>OTROS 3</v>
      </c>
      <c r="AO126" s="86">
        <f>Mar!H93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Mar!$H$90</f>
        <v>OTROS 3</v>
      </c>
      <c r="AO127" s="86">
        <f>Mar!H94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Mar!$H$90</f>
        <v>OTROS 3</v>
      </c>
      <c r="AO128" s="86">
        <f>Mar!H95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Mar!$H$90</f>
        <v>OTROS 3</v>
      </c>
      <c r="AO129" s="88">
        <f>Mar!H96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Mar!$B$100</f>
        <v>OTROS 4</v>
      </c>
      <c r="AO130" s="84">
        <f>Mar!B101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Mar!$B$100</f>
        <v>OTROS 4</v>
      </c>
      <c r="AO131" s="86">
        <f>Mar!B102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Mar!$B$100</f>
        <v>OTROS 4</v>
      </c>
      <c r="AO132" s="86">
        <f>Mar!B103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Mar!$B$100</f>
        <v>OTROS 4</v>
      </c>
      <c r="AO133" s="86">
        <f>Mar!B104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Mar!$B$100</f>
        <v>OTROS 4</v>
      </c>
      <c r="AO134" s="86">
        <f>Mar!B105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Mar!$B$100</f>
        <v>OTROS 4</v>
      </c>
      <c r="AO135" s="88">
        <f>Mar!B106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Mar!$H$100</f>
        <v>OTROS 5</v>
      </c>
      <c r="AO136" s="84">
        <f>Mar!H101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Mar!$H$100</f>
        <v>OTROS 5</v>
      </c>
      <c r="AO137" s="86">
        <f>Mar!H102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Mar!$H$100</f>
        <v>OTROS 5</v>
      </c>
      <c r="AO138" s="86">
        <f>Mar!H103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Mar!$H$100</f>
        <v>OTROS 5</v>
      </c>
      <c r="AO139" s="86">
        <f>Mar!H104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Mar!$H$100</f>
        <v>OTROS 5</v>
      </c>
      <c r="AO140" s="86">
        <f>Mar!H105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Mar!$H$100</f>
        <v>OTROS 5</v>
      </c>
      <c r="AO141" s="88">
        <f>Mar!H106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LgLXl/DAFH6KsXWgvaSF0THh+ptxtlv6kFQfVWlt4WpfA4gCf6yetvsvrYINU3dS1QvO+FCZKenJwwxhs1yDzQ==" saltValue="oaWvqkbw7MxX30pb2Np74g==" spinCount="100000" sheet="1" selectLockedCells="1"/>
  <conditionalFormatting sqref="J1:J300 J313:J1048576">
    <cfRule type="containsText" dxfId="19" priority="1" operator="containsText" text="Revisa">
      <formula>NOT(ISERROR(SEARCH("Revisa",J1)))</formula>
    </cfRule>
    <cfRule type="beginsWith" dxfId="18" priority="2" operator="beginsWith" text="Es">
      <formula>LEFT(J1,LEN("Es"))="Es"</formula>
    </cfRule>
  </conditionalFormatting>
  <dataValidations count="2">
    <dataValidation type="list" allowBlank="1" showInputMessage="1" showErrorMessage="1" sqref="E3:E300" xr:uid="{C5C45E87-EB50-EB43-B57B-2E74EBE68EAD}">
      <formula1>$AN$4:$AN$141</formula1>
    </dataValidation>
    <dataValidation type="list" allowBlank="1" showInputMessage="1" showErrorMessage="1" sqref="F3:F300" xr:uid="{18F1C2CA-71E0-204E-9EC7-8C36395BCE58}">
      <formula1>$AO$4:$AO$141</formula1>
    </dataValidation>
  </dataValidation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EF7522"/>
    <pageSetUpPr autoPageBreaks="0" fitToPage="1"/>
  </sheetPr>
  <dimension ref="B1:U110"/>
  <sheetViews>
    <sheetView showGridLines="0" topLeftCell="B1" zoomScaleNormal="100" zoomScalePageLayoutView="80" workbookViewId="0">
      <selection activeCell="K13" sqref="K13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SUMIFS('Abr - registro gastos'!$D$3:$D$300,'Abr - registro gastos'!$E$3:$E$300,Abr!$B$12,'Abr - registro gastos'!$F$3:$F$300,Abr!B13)</f>
        <v>0</v>
      </c>
      <c r="F13" s="12">
        <f>D13-E13</f>
        <v>0</v>
      </c>
      <c r="H13" s="9" t="s">
        <v>13</v>
      </c>
      <c r="I13" s="10"/>
      <c r="J13" s="11"/>
      <c r="K13" s="11">
        <f>SUMIFS('Abr - registro gastos'!$D$3:$D$300,'Abr - registro gastos'!$E$3:$E$300,Abr!$H$12,'Abr - registro gastos'!$F$3:$F$300,Abr!H13)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SUMIFS('Abr - registro gastos'!$D$3:$D$300,'Abr - registro gastos'!$E$3:$E$300,Abr!$B$12,'Abr - registro gastos'!$F$3:$F$300,Abr!B14)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SUMIFS('Abr - registro gastos'!$D$3:$D$300,'Abr - registro gastos'!$E$3:$E$300,Abr!$H$12,'Abr - registro gastos'!$F$3:$F$300,Abr!H14)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SUMIFS('Abr - registro gastos'!$D$3:$D$300,'Abr - registro gastos'!$E$3:$E$300,Abr!$B$12,'Abr - registro gastos'!$F$3:$F$300,Abr!B15)</f>
        <v>0</v>
      </c>
      <c r="F15" s="12">
        <f t="shared" si="1"/>
        <v>0</v>
      </c>
      <c r="H15" s="9" t="s">
        <v>11</v>
      </c>
      <c r="I15" s="10"/>
      <c r="J15" s="39"/>
      <c r="K15" s="11">
        <f>SUMIFS('Abr - registro gastos'!$D$3:$D$300,'Abr - registro gastos'!$E$3:$E$300,Abr!$H$12,'Abr - registro gastos'!$F$3:$F$300,Abr!H15)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SUMIFS('Abr - registro gastos'!$D$3:$D$300,'Abr - registro gastos'!$E$3:$E$300,Abr!$B$12,'Abr - registro gastos'!$F$3:$F$300,Abr!B16)</f>
        <v>0</v>
      </c>
      <c r="F16" s="12">
        <f t="shared" si="1"/>
        <v>0</v>
      </c>
      <c r="H16" s="9" t="s">
        <v>10</v>
      </c>
      <c r="I16" s="10"/>
      <c r="J16" s="11"/>
      <c r="K16" s="11">
        <f>SUMIFS('Abr - registro gastos'!$D$3:$D$300,'Abr - registro gastos'!$E$3:$E$300,Abr!$H$12,'Abr - registro gastos'!$F$3:$F$300,Abr!H16)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SUMIFS('Abr - registro gastos'!$D$3:$D$300,'Abr - registro gastos'!$E$3:$E$300,Abr!$B$12,'Abr - registro gastos'!$F$3:$F$300,Abr!B17)</f>
        <v>0</v>
      </c>
      <c r="F17" s="12">
        <f t="shared" si="1"/>
        <v>0</v>
      </c>
      <c r="H17" s="9" t="s">
        <v>9</v>
      </c>
      <c r="I17" s="10"/>
      <c r="J17" s="11"/>
      <c r="K17" s="11">
        <f>SUMIFS('Abr - registro gastos'!$D$3:$D$300,'Abr - registro gastos'!$E$3:$E$300,Abr!$H$12,'Abr - registro gastos'!$F$3:$F$300,Abr!H17)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SUMIFS('Abr - registro gastos'!$D$3:$D$300,'Abr - registro gastos'!$E$3:$E$300,Abr!$B$12,'Abr - registro gastos'!$F$3:$F$300,Abr!B18)</f>
        <v>0</v>
      </c>
      <c r="F18" s="12">
        <f t="shared" si="1"/>
        <v>0</v>
      </c>
      <c r="H18" s="9"/>
      <c r="I18" s="10"/>
      <c r="J18" s="11"/>
      <c r="K18" s="11">
        <f>SUMIFS('Abr - registro gastos'!$D$3:$D$300,'Abr - registro gastos'!$E$3:$E$300,Abr!$H$12,'Abr - registro gastos'!$F$3:$F$300,Abr!H18)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SUMIFS('Abr - registro gastos'!$D$3:$D$300,'Abr - registro gastos'!$E$3:$E$300,Abr!$B$12,'Abr - registro gastos'!$F$3:$F$300,Abr!B19)</f>
        <v>0</v>
      </c>
      <c r="F19" s="12">
        <f t="shared" si="1"/>
        <v>0</v>
      </c>
      <c r="H19" s="9"/>
      <c r="I19" s="10"/>
      <c r="J19" s="11"/>
      <c r="K19" s="11">
        <f>SUMIFS('Abr - registro gastos'!$D$3:$D$300,'Abr - registro gastos'!$E$3:$E$300,Abr!$H$12,'Abr - registro gastos'!$F$3:$F$300,Abr!H19)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SUMIFS('Abr - registro gastos'!$D$3:$D$300,'Abr - registro gastos'!$E$3:$E$300,Abr!$B$12,'Abr - registro gastos'!$F$3:$F$300,Abr!B20)</f>
        <v>0</v>
      </c>
      <c r="F20" s="12">
        <f t="shared" si="1"/>
        <v>0</v>
      </c>
      <c r="H20" s="9"/>
      <c r="I20" s="10"/>
      <c r="J20" s="11"/>
      <c r="K20" s="11">
        <f>SUMIFS('Abr - registro gastos'!$D$3:$D$300,'Abr - registro gastos'!$E$3:$E$300,Abr!$H$12,'Abr - registro gastos'!$F$3:$F$300,Abr!H20)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SUMIFS('Abr - registro gastos'!$D$3:$D$300,'Abr - registro gastos'!$E$3:$E$300,Abr!$B$12,'Abr - registro gastos'!$F$3:$F$300,Abr!B21)</f>
        <v>0</v>
      </c>
      <c r="F21" s="12">
        <f t="shared" si="1"/>
        <v>0</v>
      </c>
      <c r="H21" s="9"/>
      <c r="I21" s="10"/>
      <c r="J21" s="11"/>
      <c r="K21" s="11">
        <f>SUMIFS('Abr - registro gastos'!$D$3:$D$300,'Abr - registro gastos'!$E$3:$E$300,Abr!$H$12,'Abr - registro gastos'!$F$3:$F$300,Abr!H21)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SUMIFS('Abr - registro gastos'!$D$3:$D$300,'Abr - registro gastos'!$E$3:$E$300,Abr!$B$12,'Abr - registro gastos'!$F$3:$F$300,Abr!B22)</f>
        <v>0</v>
      </c>
      <c r="F22" s="12">
        <f t="shared" si="1"/>
        <v>0</v>
      </c>
      <c r="H22" s="9"/>
      <c r="I22" s="10"/>
      <c r="J22" s="11"/>
      <c r="K22" s="11">
        <f>SUMIFS('Abr - registro gastos'!$D$3:$D$300,'Abr - registro gastos'!$E$3:$E$300,Abr!$H$12,'Abr - registro gastos'!$F$3:$F$300,Abr!H22)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SUMIFS('Abr - registro gastos'!$D$3:$D$300,'Abr - registro gastos'!$E$3:$E$300,Abr!$B$12,'Abr - registro gastos'!$F$3:$F$300,Abr!B23)</f>
        <v>0</v>
      </c>
      <c r="F23" s="12">
        <f t="shared" si="1"/>
        <v>0</v>
      </c>
      <c r="H23" s="9"/>
      <c r="I23" s="10"/>
      <c r="J23" s="11"/>
      <c r="K23" s="11">
        <f>SUMIFS('Abr - registro gastos'!$D$3:$D$300,'Abr - registro gastos'!$E$3:$E$300,Abr!$H$12,'Abr - registro gastos'!$F$3:$F$300,Abr!H23)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SUMIFS('Abr - registro gastos'!$D$3:$D$300,'Abr - registro gastos'!$E$3:$E$300,Abr!$B$12,'Abr - registro gastos'!$F$3:$F$300,Abr!B24)</f>
        <v>0</v>
      </c>
      <c r="F24" s="15">
        <f t="shared" si="1"/>
        <v>0</v>
      </c>
      <c r="H24" s="13"/>
      <c r="I24" s="40"/>
      <c r="J24" s="14"/>
      <c r="K24" s="14">
        <f>SUMIFS('Abr - registro gastos'!$D$3:$D$300,'Abr - registro gastos'!$E$3:$E$300,Abr!$H$12,'Abr - registro gastos'!$F$3:$F$300,Abr!H24)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SUMIFS('Abr - registro gastos'!$D$3:$D$300,'Abr - registro gastos'!$E$3:$E$300,Abr!$B$27,'Abr - registro gastos'!$F$3:$F$300,Abr!B28)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SUMIFS('Abr - registro gastos'!$D$3:$D$300,'Abr - registro gastos'!$E$3:$E$300,Abr!$H$27,'Abr - registro gastos'!$F$3:$F$300,Abr!H28)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SUMIFS('Abr - registro gastos'!$D$3:$D$300,'Abr - registro gastos'!$E$3:$E$300,Abr!$B$27,'Abr - registro gastos'!$F$3:$F$300,Abr!B29)</f>
        <v>0</v>
      </c>
      <c r="F29" s="12">
        <f t="shared" si="2"/>
        <v>0</v>
      </c>
      <c r="H29" s="9" t="s">
        <v>17</v>
      </c>
      <c r="I29" s="10"/>
      <c r="J29" s="11"/>
      <c r="K29" s="11">
        <f>SUMIFS('Abr - registro gastos'!$D$3:$D$300,'Abr - registro gastos'!$E$3:$E$300,Abr!$H$27,'Abr - registro gastos'!$F$3:$F$300,Abr!H29)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SUMIFS('Abr - registro gastos'!$D$3:$D$300,'Abr - registro gastos'!$E$3:$E$300,Abr!$B$27,'Abr - registro gastos'!$F$3:$F$300,Abr!B30)</f>
        <v>0</v>
      </c>
      <c r="F30" s="12">
        <f t="shared" si="2"/>
        <v>0</v>
      </c>
      <c r="H30" s="9" t="s">
        <v>16</v>
      </c>
      <c r="I30" s="10"/>
      <c r="J30" s="11"/>
      <c r="K30" s="11">
        <f>SUMIFS('Abr - registro gastos'!$D$3:$D$300,'Abr - registro gastos'!$E$3:$E$300,Abr!$H$27,'Abr - registro gastos'!$F$3:$F$300,Abr!H30)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SUMIFS('Abr - registro gastos'!$D$3:$D$300,'Abr - registro gastos'!$E$3:$E$300,Abr!$B$27,'Abr - registro gastos'!$F$3:$F$300,Abr!B31)</f>
        <v>0</v>
      </c>
      <c r="F31" s="12">
        <f t="shared" si="2"/>
        <v>0</v>
      </c>
      <c r="H31" s="9"/>
      <c r="I31" s="10"/>
      <c r="J31" s="11"/>
      <c r="K31" s="11">
        <f>SUMIFS('Abr - registro gastos'!$D$3:$D$300,'Abr - registro gastos'!$E$3:$E$300,Abr!$H$27,'Abr - registro gastos'!$F$3:$F$300,Abr!H31)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SUMIFS('Abr - registro gastos'!$D$3:$D$300,'Abr - registro gastos'!$E$3:$E$300,Abr!$B$27,'Abr - registro gastos'!$F$3:$F$300,Abr!B32)</f>
        <v>0</v>
      </c>
      <c r="F32" s="12">
        <f t="shared" si="2"/>
        <v>0</v>
      </c>
      <c r="H32" s="9"/>
      <c r="I32" s="10"/>
      <c r="J32" s="11"/>
      <c r="K32" s="11">
        <f>SUMIFS('Abr - registro gastos'!$D$3:$D$300,'Abr - registro gastos'!$E$3:$E$300,Abr!$H$27,'Abr - registro gastos'!$F$3:$F$300,Abr!H32)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SUMIFS('Abr - registro gastos'!$D$3:$D$300,'Abr - registro gastos'!$E$3:$E$300,Abr!$B$27,'Abr - registro gastos'!$F$3:$F$300,Abr!B33)</f>
        <v>0</v>
      </c>
      <c r="F33" s="12">
        <f t="shared" si="2"/>
        <v>0</v>
      </c>
      <c r="H33" s="9"/>
      <c r="I33" s="10"/>
      <c r="J33" s="11"/>
      <c r="K33" s="11">
        <f>SUMIFS('Abr - registro gastos'!$D$3:$D$300,'Abr - registro gastos'!$E$3:$E$300,Abr!$H$27,'Abr - registro gastos'!$F$3:$F$300,Abr!H33)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SUMIFS('Abr - registro gastos'!$D$3:$D$300,'Abr - registro gastos'!$E$3:$E$300,Abr!$B$27,'Abr - registro gastos'!$F$3:$F$300,Abr!B34)</f>
        <v>0</v>
      </c>
      <c r="F34" s="12">
        <f t="shared" si="2"/>
        <v>0</v>
      </c>
      <c r="H34" s="9"/>
      <c r="I34" s="10"/>
      <c r="J34" s="11"/>
      <c r="K34" s="11">
        <f>SUMIFS('Abr - registro gastos'!$D$3:$D$300,'Abr - registro gastos'!$E$3:$E$300,Abr!$H$27,'Abr - registro gastos'!$F$3:$F$300,Abr!H34)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SUMIFS('Abr - registro gastos'!$D$3:$D$300,'Abr - registro gastos'!$E$3:$E$300,Abr!$B$27,'Abr - registro gastos'!$F$3:$F$300,Abr!B35)</f>
        <v>0</v>
      </c>
      <c r="F35" s="15">
        <f t="shared" si="2"/>
        <v>0</v>
      </c>
      <c r="H35" s="13"/>
      <c r="I35" s="40"/>
      <c r="J35" s="14"/>
      <c r="K35" s="14">
        <f>SUMIFS('Abr - registro gastos'!$D$3:$D$300,'Abr - registro gastos'!$E$3:$E$300,Abr!$H$27,'Abr - registro gastos'!$F$3:$F$300,Abr!H35)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SUMIFS('Abr - registro gastos'!$D$3:$D$300,'Abr - registro gastos'!$E$3:$E$300,Abr!$B$38,'Abr - registro gastos'!$F$3:$F$300,Abr!B39)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SUMIFS('Abr - registro gastos'!$D$3:$D$300,'Abr - registro gastos'!$E$3:$E$300,Abr!$H$38,'Abr - registro gastos'!$F$3:$F$300,Abr!H39)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SUMIFS('Abr - registro gastos'!$D$3:$D$300,'Abr - registro gastos'!$E$3:$E$300,Abr!$B$38,'Abr - registro gastos'!$F$3:$F$300,Abr!B40)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SUMIFS('Abr - registro gastos'!$D$3:$D$300,'Abr - registro gastos'!$E$3:$E$300,Abr!$H$38,'Abr - registro gastos'!$F$3:$F$300,Abr!H40)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SUMIFS('Abr - registro gastos'!$D$3:$D$300,'Abr - registro gastos'!$E$3:$E$300,Abr!$B$38,'Abr - registro gastos'!$F$3:$F$300,Abr!B41)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SUMIFS('Abr - registro gastos'!$D$3:$D$300,'Abr - registro gastos'!$E$3:$E$300,Abr!$H$38,'Abr - registro gastos'!$F$3:$F$300,Abr!H41)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SUMIFS('Abr - registro gastos'!$D$3:$D$300,'Abr - registro gastos'!$E$3:$E$300,Abr!$B$38,'Abr - registro gastos'!$F$3:$F$300,Abr!B42)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SUMIFS('Abr - registro gastos'!$D$3:$D$300,'Abr - registro gastos'!$E$3:$E$300,Abr!$H$38,'Abr - registro gastos'!$F$3:$F$300,Abr!H42)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SUMIFS('Abr - registro gastos'!$D$3:$D$300,'Abr - registro gastos'!$E$3:$E$300,Abr!$B$38,'Abr - registro gastos'!$F$3:$F$300,Abr!B43)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SUMIFS('Abr - registro gastos'!$D$3:$D$300,'Abr - registro gastos'!$E$3:$E$300,Abr!$H$38,'Abr - registro gastos'!$F$3:$F$300,Abr!H43)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SUMIFS('Abr - registro gastos'!$D$3:$D$300,'Abr - registro gastos'!$E$3:$E$300,Abr!$B$38,'Abr - registro gastos'!$F$3:$F$300,Abr!B44)</f>
        <v>0</v>
      </c>
      <c r="F44" s="12">
        <f t="shared" si="4"/>
        <v>0</v>
      </c>
      <c r="G44" s="20"/>
      <c r="H44" s="30"/>
      <c r="I44" s="10"/>
      <c r="J44" s="31"/>
      <c r="K44" s="31">
        <f>SUMIFS('Abr - registro gastos'!$D$3:$D$300,'Abr - registro gastos'!$E$3:$E$300,Abr!$H$38,'Abr - registro gastos'!$F$3:$F$300,Abr!H44)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SUMIFS('Abr - registro gastos'!$D$3:$D$300,'Abr - registro gastos'!$E$3:$E$300,Abr!$B$38,'Abr - registro gastos'!$F$3:$F$300,Abr!B45)</f>
        <v>0</v>
      </c>
      <c r="F45" s="15">
        <f t="shared" si="4"/>
        <v>0</v>
      </c>
      <c r="G45" s="20"/>
      <c r="H45" s="13"/>
      <c r="I45" s="40"/>
      <c r="J45" s="14"/>
      <c r="K45" s="14">
        <f>SUMIFS('Abr - registro gastos'!$D$3:$D$300,'Abr - registro gastos'!$E$3:$E$300,Abr!$H$38,'Abr - registro gastos'!$F$3:$F$300,Abr!H45)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SUMIFS('Abr - registro gastos'!$D$3:$D$300,'Abr - registro gastos'!$E$3:$E$300,Abr!$B$48,'Abr - registro gastos'!$F$3:$F$300,Abr!B49)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SUMIFS('Abr - registro gastos'!$D$3:$D$300,'Abr - registro gastos'!$E$3:$E$300,Abr!$H$48,'Abr - registro gastos'!$F$3:$F$300,Abr!H49)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SUMIFS('Abr - registro gastos'!$D$3:$D$300,'Abr - registro gastos'!$E$3:$E$300,Abr!$B$48,'Abr - registro gastos'!$F$3:$F$300,Abr!B50)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SUMIFS('Abr - registro gastos'!$D$3:$D$300,'Abr - registro gastos'!$E$3:$E$300,Abr!$H$48,'Abr - registro gastos'!$F$3:$F$300,Abr!H50)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SUMIFS('Abr - registro gastos'!$D$3:$D$300,'Abr - registro gastos'!$E$3:$E$300,Abr!$B$48,'Abr - registro gastos'!$F$3:$F$300,Abr!B51)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SUMIFS('Abr - registro gastos'!$D$3:$D$300,'Abr - registro gastos'!$E$3:$E$300,Abr!$H$48,'Abr - registro gastos'!$F$3:$F$300,Abr!H51)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SUMIFS('Abr - registro gastos'!$D$3:$D$300,'Abr - registro gastos'!$E$3:$E$300,Abr!$B$48,'Abr - registro gastos'!$F$3:$F$300,Abr!B52)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SUMIFS('Abr - registro gastos'!$D$3:$D$300,'Abr - registro gastos'!$E$3:$E$300,Abr!$H$48,'Abr - registro gastos'!$F$3:$F$300,Abr!H52)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SUMIFS('Abr - registro gastos'!$D$3:$D$300,'Abr - registro gastos'!$E$3:$E$300,Abr!$B$48,'Abr - registro gastos'!$F$3:$F$300,Abr!B53)</f>
        <v>0</v>
      </c>
      <c r="F53" s="12">
        <f t="shared" si="6"/>
        <v>0</v>
      </c>
      <c r="G53" s="20"/>
      <c r="H53" s="9"/>
      <c r="I53" s="10"/>
      <c r="J53" s="11"/>
      <c r="K53" s="11">
        <f>SUMIFS('Abr - registro gastos'!$D$3:$D$300,'Abr - registro gastos'!$E$3:$E$300,Abr!$H$48,'Abr - registro gastos'!$F$3:$F$300,Abr!H53)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SUMIFS('Abr - registro gastos'!$D$3:$D$300,'Abr - registro gastos'!$E$3:$E$300,Abr!$B$48,'Abr - registro gastos'!$F$3:$F$300,Abr!B54)</f>
        <v>0</v>
      </c>
      <c r="F54" s="15">
        <f t="shared" si="6"/>
        <v>0</v>
      </c>
      <c r="G54" s="20"/>
      <c r="H54" s="13"/>
      <c r="I54" s="40"/>
      <c r="J54" s="14"/>
      <c r="K54" s="14">
        <f>SUMIFS('Abr - registro gastos'!$D$3:$D$300,'Abr - registro gastos'!$E$3:$E$300,Abr!$H$48,'Abr - registro gastos'!$F$3:$F$300,Abr!H54)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SUMIFS('Abr - registro gastos'!$D$3:$D$300,'Abr - registro gastos'!$E$3:$E$300,Abr!$B$57,'Abr - registro gastos'!$F$3:$F$300,Abr!B58)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SUMIFS('Abr - registro gastos'!$D$3:$D$300,'Abr - registro gastos'!$E$3:$E$300,Abr!$H$57,'Abr - registro gastos'!$F$3:$F$300,Abr!H58)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SUMIFS('Abr - registro gastos'!$D$3:$D$300,'Abr - registro gastos'!$E$3:$E$300,Abr!$B$57,'Abr - registro gastos'!$F$3:$F$300,Abr!B59)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SUMIFS('Abr - registro gastos'!$D$3:$D$300,'Abr - registro gastos'!$E$3:$E$300,Abr!$H$57,'Abr - registro gastos'!$F$3:$F$300,Abr!H59)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SUMIFS('Abr - registro gastos'!$D$3:$D$300,'Abr - registro gastos'!$E$3:$E$300,Abr!$B$57,'Abr - registro gastos'!$F$3:$F$300,Abr!B60)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SUMIFS('Abr - registro gastos'!$D$3:$D$300,'Abr - registro gastos'!$E$3:$E$300,Abr!$H$57,'Abr - registro gastos'!$F$3:$F$300,Abr!H60)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SUMIFS('Abr - registro gastos'!$D$3:$D$300,'Abr - registro gastos'!$E$3:$E$300,Abr!$B$57,'Abr - registro gastos'!$F$3:$F$300,Abr!B61)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SUMIFS('Abr - registro gastos'!$D$3:$D$300,'Abr - registro gastos'!$E$3:$E$300,Abr!$H$57,'Abr - registro gastos'!$F$3:$F$300,Abr!H61)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SUMIFS('Abr - registro gastos'!$D$3:$D$300,'Abr - registro gastos'!$E$3:$E$300,Abr!$B$57,'Abr - registro gastos'!$F$3:$F$300,Abr!B62)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SUMIFS('Abr - registro gastos'!$D$3:$D$300,'Abr - registro gastos'!$E$3:$E$300,Abr!$H$57,'Abr - registro gastos'!$F$3:$F$300,Abr!H62)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SUMIFS('Abr - registro gastos'!$D$3:$D$300,'Abr - registro gastos'!$E$3:$E$300,Abr!$B$57,'Abr - registro gastos'!$F$3:$F$300,Abr!B63)</f>
        <v>0</v>
      </c>
      <c r="F63" s="12">
        <f t="shared" si="9"/>
        <v>0</v>
      </c>
      <c r="G63" s="20"/>
      <c r="H63" s="30"/>
      <c r="I63" s="10"/>
      <c r="J63" s="31"/>
      <c r="K63" s="31">
        <f>SUMIFS('Abr - registro gastos'!$D$3:$D$300,'Abr - registro gastos'!$E$3:$E$300,Abr!$H$57,'Abr - registro gastos'!$F$3:$F$300,Abr!H63)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SUMIFS('Abr - registro gastos'!$D$3:$D$300,'Abr - registro gastos'!$E$3:$E$300,Abr!$B$57,'Abr - registro gastos'!$F$3:$F$300,Abr!B64)</f>
        <v>0</v>
      </c>
      <c r="F64" s="15">
        <f t="shared" si="9"/>
        <v>0</v>
      </c>
      <c r="G64" s="20"/>
      <c r="H64" s="13"/>
      <c r="I64" s="40"/>
      <c r="J64" s="14"/>
      <c r="K64" s="14">
        <f>SUMIFS('Abr - registro gastos'!$D$3:$D$300,'Abr - registro gastos'!$E$3:$E$300,Abr!$H$57,'Abr - registro gastos'!$F$3:$F$300,Abr!H64)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SUMIFS('Abr - registro gastos'!$D$3:$D$300,'Abr - registro gastos'!$E$3:$E$300,Abr!$B$67,'Abr - registro gastos'!$F$3:$F$300,Abr!B68)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SUMIFS('Abr - registro gastos'!$D$3:$D$300,'Abr - registro gastos'!$E$3:$E$300,Abr!$H$67,'Abr - registro gastos'!$F$3:$F$300,Abr!H68)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SUMIFS('Abr - registro gastos'!$D$3:$D$300,'Abr - registro gastos'!$E$3:$E$300,Abr!$B$67,'Abr - registro gastos'!$F$3:$F$300,Abr!B69)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SUMIFS('Abr - registro gastos'!$D$3:$D$300,'Abr - registro gastos'!$E$3:$E$300,Abr!$H$67,'Abr - registro gastos'!$F$3:$F$300,Abr!H69)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SUMIFS('Abr - registro gastos'!$D$3:$D$300,'Abr - registro gastos'!$E$3:$E$300,Abr!$B$67,'Abr - registro gastos'!$F$3:$F$300,Abr!B70)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SUMIFS('Abr - registro gastos'!$D$3:$D$300,'Abr - registro gastos'!$E$3:$E$300,Abr!$H$67,'Abr - registro gastos'!$F$3:$F$300,Abr!H70)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SUMIFS('Abr - registro gastos'!$D$3:$D$300,'Abr - registro gastos'!$E$3:$E$300,Abr!$B$67,'Abr - registro gastos'!$F$3:$F$300,Abr!B71)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SUMIFS('Abr - registro gastos'!$D$3:$D$300,'Abr - registro gastos'!$E$3:$E$300,Abr!$H$67,'Abr - registro gastos'!$F$3:$F$300,Abr!H71)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SUMIFS('Abr - registro gastos'!$D$3:$D$300,'Abr - registro gastos'!$E$3:$E$300,Abr!$B$67,'Abr - registro gastos'!$F$3:$F$300,Abr!B72)</f>
        <v>0</v>
      </c>
      <c r="F72" s="12">
        <f t="shared" si="10"/>
        <v>0</v>
      </c>
      <c r="G72" s="20"/>
      <c r="H72" s="9"/>
      <c r="I72" s="10"/>
      <c r="J72" s="11"/>
      <c r="K72" s="11">
        <f>SUMIFS('Abr - registro gastos'!$D$3:$D$300,'Abr - registro gastos'!$E$3:$E$300,Abr!$H$67,'Abr - registro gastos'!$F$3:$F$300,Abr!H72)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SUMIFS('Abr - registro gastos'!$D$3:$D$300,'Abr - registro gastos'!$E$3:$E$300,Abr!$B$67,'Abr - registro gastos'!$F$3:$F$300,Abr!B73)</f>
        <v>0</v>
      </c>
      <c r="F73" s="12">
        <f t="shared" si="10"/>
        <v>0</v>
      </c>
      <c r="G73" s="20"/>
      <c r="H73" s="9"/>
      <c r="I73" s="10"/>
      <c r="J73" s="11"/>
      <c r="K73" s="11">
        <f>SUMIFS('Abr - registro gastos'!$D$3:$D$300,'Abr - registro gastos'!$E$3:$E$300,Abr!$H$67,'Abr - registro gastos'!$F$3:$F$300,Abr!H73)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SUMIFS('Abr - registro gastos'!$D$3:$D$300,'Abr - registro gastos'!$E$3:$E$300,Abr!$B$67,'Abr - registro gastos'!$F$3:$F$300,Abr!B74)</f>
        <v>0</v>
      </c>
      <c r="F74" s="12">
        <f t="shared" si="10"/>
        <v>0</v>
      </c>
      <c r="G74" s="20"/>
      <c r="H74" s="9"/>
      <c r="I74" s="10"/>
      <c r="J74" s="11"/>
      <c r="K74" s="11">
        <f>SUMIFS('Abr - registro gastos'!$D$3:$D$300,'Abr - registro gastos'!$E$3:$E$300,Abr!$H$67,'Abr - registro gastos'!$F$3:$F$300,Abr!H74)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SUMIFS('Abr - registro gastos'!$D$3:$D$300,'Abr - registro gastos'!$E$3:$E$300,Abr!$B$67,'Abr - registro gastos'!$F$3:$F$300,Abr!B75)</f>
        <v>0</v>
      </c>
      <c r="F75" s="12">
        <f t="shared" si="10"/>
        <v>0</v>
      </c>
      <c r="G75" s="20"/>
      <c r="H75" s="30"/>
      <c r="I75" s="10"/>
      <c r="J75" s="31"/>
      <c r="K75" s="31">
        <f>SUMIFS('Abr - registro gastos'!$D$3:$D$300,'Abr - registro gastos'!$E$3:$E$300,Abr!$H$67,'Abr - registro gastos'!$F$3:$F$300,Abr!H75)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SUMIFS('Abr - registro gastos'!$D$3:$D$300,'Abr - registro gastos'!$E$3:$E$300,Abr!$B$67,'Abr - registro gastos'!$F$3:$F$300,Abr!B76)</f>
        <v>0</v>
      </c>
      <c r="F76" s="12">
        <f t="shared" si="10"/>
        <v>0</v>
      </c>
      <c r="G76" s="20"/>
      <c r="H76" s="30"/>
      <c r="I76" s="10"/>
      <c r="J76" s="31"/>
      <c r="K76" s="31">
        <f>SUMIFS('Abr - registro gastos'!$D$3:$D$300,'Abr - registro gastos'!$E$3:$E$300,Abr!$H$67,'Abr - registro gastos'!$F$3:$F$300,Abr!H76)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SUMIFS('Abr - registro gastos'!$D$3:$D$300,'Abr - registro gastos'!$E$3:$E$300,Abr!$B$67,'Abr - registro gastos'!$F$3:$F$300,Abr!B77)</f>
        <v>0</v>
      </c>
      <c r="F77" s="12">
        <f t="shared" si="10"/>
        <v>0</v>
      </c>
      <c r="G77" s="20"/>
      <c r="H77" s="30"/>
      <c r="I77" s="10"/>
      <c r="J77" s="31"/>
      <c r="K77" s="31">
        <f>SUMIFS('Abr - registro gastos'!$D$3:$D$300,'Abr - registro gastos'!$E$3:$E$300,Abr!$H$67,'Abr - registro gastos'!$F$3:$F$300,Abr!H77)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SUMIFS('Abr - registro gastos'!$D$3:$D$300,'Abr - registro gastos'!$E$3:$E$300,Abr!$B$67,'Abr - registro gastos'!$F$3:$F$300,Abr!B78)</f>
        <v>0</v>
      </c>
      <c r="F78" s="15">
        <f t="shared" si="10"/>
        <v>0</v>
      </c>
      <c r="G78" s="20"/>
      <c r="H78" s="13"/>
      <c r="I78" s="40"/>
      <c r="J78" s="14"/>
      <c r="K78" s="14">
        <f>SUMIFS('Abr - registro gastos'!$D$3:$D$300,'Abr - registro gastos'!$E$3:$E$300,Abr!$H$67,'Abr - registro gastos'!$F$3:$F$300,Abr!H78)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SUMIFS('Abr - registro gastos'!$D$3:$D$300,'Abr - registro gastos'!$E$3:$E$300,Abr!$B$81,'Abr - registro gastos'!$F$3:$F$300,Abr!B82)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SUMIFS('Abr - registro gastos'!$D$3:$D$300,'Abr - registro gastos'!$E$3:$E$300,Abr!$H$81,'Abr - registro gastos'!$F$3:$F$300,Abr!H82)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SUMIFS('Abr - registro gastos'!$D$3:$D$300,'Abr - registro gastos'!$E$3:$E$300,Abr!$B$81,'Abr - registro gastos'!$F$3:$F$300,Abr!B83)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SUMIFS('Abr - registro gastos'!$D$3:$D$300,'Abr - registro gastos'!$E$3:$E$300,Abr!$H$81,'Abr - registro gastos'!$F$3:$F$300,Abr!H83)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SUMIFS('Abr - registro gastos'!$D$3:$D$300,'Abr - registro gastos'!$E$3:$E$300,Abr!$B$81,'Abr - registro gastos'!$F$3:$F$300,Abr!B84)</f>
        <v>0</v>
      </c>
      <c r="F84" s="12">
        <f t="shared" si="12"/>
        <v>0</v>
      </c>
      <c r="G84" s="20"/>
      <c r="H84" s="9"/>
      <c r="I84" s="10"/>
      <c r="J84" s="11"/>
      <c r="K84" s="11">
        <f>SUMIFS('Abr - registro gastos'!$D$3:$D$300,'Abr - registro gastos'!$E$3:$E$300,Abr!$H$81,'Abr - registro gastos'!$F$3:$F$300,Abr!H84)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SUMIFS('Abr - registro gastos'!$D$3:$D$300,'Abr - registro gastos'!$E$3:$E$300,Abr!$B$81,'Abr - registro gastos'!$F$3:$F$300,Abr!B85)</f>
        <v>0</v>
      </c>
      <c r="F85" s="12">
        <f>D85-E85</f>
        <v>0</v>
      </c>
      <c r="G85" s="20"/>
      <c r="H85" s="9"/>
      <c r="I85" s="10"/>
      <c r="J85" s="11"/>
      <c r="K85" s="11">
        <f>SUMIFS('Abr - registro gastos'!$D$3:$D$300,'Abr - registro gastos'!$E$3:$E$300,Abr!$H$81,'Abr - registro gastos'!$F$3:$F$300,Abr!H85)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SUMIFS('Abr - registro gastos'!$D$3:$D$300,'Abr - registro gastos'!$E$3:$E$300,Abr!$B$81,'Abr - registro gastos'!$F$3:$F$300,Abr!B86)</f>
        <v>0</v>
      </c>
      <c r="F86" s="12">
        <f t="shared" si="12"/>
        <v>0</v>
      </c>
      <c r="G86" s="20"/>
      <c r="H86" s="9"/>
      <c r="I86" s="10"/>
      <c r="J86" s="11"/>
      <c r="K86" s="11">
        <f>SUMIFS('Abr - registro gastos'!$D$3:$D$300,'Abr - registro gastos'!$E$3:$E$300,Abr!$H$81,'Abr - registro gastos'!$F$3:$F$300,Abr!H86)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SUMIFS('Abr - registro gastos'!$D$3:$D$300,'Abr - registro gastos'!$E$3:$E$300,Abr!$B$81,'Abr - registro gastos'!$F$3:$F$300,Abr!B87)</f>
        <v>0</v>
      </c>
      <c r="F87" s="15">
        <f t="shared" si="12"/>
        <v>0</v>
      </c>
      <c r="G87" s="20"/>
      <c r="H87" s="13"/>
      <c r="I87" s="40"/>
      <c r="J87" s="14"/>
      <c r="K87" s="14">
        <f>SUMIFS('Abr - registro gastos'!$D$3:$D$300,'Abr - registro gastos'!$E$3:$E$300,Abr!$H$81,'Abr - registro gastos'!$F$3:$F$300,Abr!H87)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SUMIFS('Abr - registro gastos'!$D$3:$D$300,'Abr - registro gastos'!$E$3:$E$300,Abr!$B$90,'Abr - registro gastos'!$F$3:$F$300,Abr!B91)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SUMIFS('Abr - registro gastos'!$D$3:$D$300,'Abr - registro gastos'!$E$3:$E$300,Abr!$H$90,'Abr - registro gastos'!$F$3:$F$300,Abr!H91)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SUMIFS('Abr - registro gastos'!$D$3:$D$300,'Abr - registro gastos'!$E$3:$E$300,Abr!$B$90,'Abr - registro gastos'!$F$3:$F$300,Abr!B92)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SUMIFS('Abr - registro gastos'!$D$3:$D$300,'Abr - registro gastos'!$E$3:$E$300,Abr!$H$90,'Abr - registro gastos'!$F$3:$F$300,Abr!H92)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SUMIFS('Abr - registro gastos'!$D$3:$D$300,'Abr - registro gastos'!$E$3:$E$300,Abr!$B$90,'Abr - registro gastos'!$F$3:$F$300,Abr!B93)</f>
        <v>0</v>
      </c>
      <c r="F93" s="12">
        <f t="shared" si="15"/>
        <v>0</v>
      </c>
      <c r="G93" s="20"/>
      <c r="H93" s="9"/>
      <c r="I93" s="10"/>
      <c r="J93" s="11"/>
      <c r="K93" s="11">
        <f>SUMIFS('Abr - registro gastos'!$D$3:$D$300,'Abr - registro gastos'!$E$3:$E$300,Abr!$H$90,'Abr - registro gastos'!$F$3:$F$300,Abr!H93)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SUMIFS('Abr - registro gastos'!$D$3:$D$300,'Abr - registro gastos'!$E$3:$E$300,Abr!$B$90,'Abr - registro gastos'!$F$3:$F$300,Abr!B94)</f>
        <v>0</v>
      </c>
      <c r="F94" s="12">
        <f t="shared" si="15"/>
        <v>0</v>
      </c>
      <c r="G94" s="20"/>
      <c r="H94" s="9"/>
      <c r="I94" s="10"/>
      <c r="J94" s="11"/>
      <c r="K94" s="11">
        <f>SUMIFS('Abr - registro gastos'!$D$3:$D$300,'Abr - registro gastos'!$E$3:$E$300,Abr!$H$90,'Abr - registro gastos'!$F$3:$F$300,Abr!H94)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SUMIFS('Abr - registro gastos'!$D$3:$D$300,'Abr - registro gastos'!$E$3:$E$300,Abr!$B$90,'Abr - registro gastos'!$F$3:$F$300,Abr!B95)</f>
        <v>0</v>
      </c>
      <c r="F95" s="12">
        <f>D95-E95</f>
        <v>0</v>
      </c>
      <c r="G95" s="20"/>
      <c r="H95" s="9"/>
      <c r="I95" s="10"/>
      <c r="J95" s="11"/>
      <c r="K95" s="11">
        <f>SUMIFS('Abr - registro gastos'!$D$3:$D$300,'Abr - registro gastos'!$E$3:$E$300,Abr!$H$90,'Abr - registro gastos'!$F$3:$F$300,Abr!H95)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SUMIFS('Abr - registro gastos'!$D$3:$D$300,'Abr - registro gastos'!$E$3:$E$300,Abr!$B$90,'Abr - registro gastos'!$F$3:$F$300,Abr!B96)</f>
        <v>0</v>
      </c>
      <c r="F96" s="12">
        <f t="shared" si="15"/>
        <v>0</v>
      </c>
      <c r="G96" s="20"/>
      <c r="H96" s="9"/>
      <c r="I96" s="10"/>
      <c r="J96" s="11"/>
      <c r="K96" s="11">
        <f>SUMIFS('Abr - registro gastos'!$D$3:$D$300,'Abr - registro gastos'!$E$3:$E$300,Abr!$H$90,'Abr - registro gastos'!$F$3:$F$300,Abr!H96)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SUMIFS('Abr - registro gastos'!$D$3:$D$300,'Abr - registro gastos'!$E$3:$E$300,Abr!$B$90,'Abr - registro gastos'!$F$3:$F$300,Abr!B97)</f>
        <v>0</v>
      </c>
      <c r="F97" s="15">
        <f t="shared" si="15"/>
        <v>0</v>
      </c>
      <c r="G97" s="20"/>
      <c r="H97" s="13"/>
      <c r="I97" s="40"/>
      <c r="J97" s="14"/>
      <c r="K97" s="14">
        <f>SUMIFS('Abr - registro gastos'!$D$3:$D$300,'Abr - registro gastos'!$E$3:$E$300,Abr!$H$90,'Abr - registro gastos'!$F$3:$F$300,Abr!H97)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SUMIFS('Abr - registro gastos'!$D$3:$D$300,'Abr - registro gastos'!$E$3:$E$300,Abr!$B$100,'Abr - registro gastos'!$F$3:$F$300,Abr!B101)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SUMIFS('Abr - registro gastos'!$D$3:$D$300,'Abr - registro gastos'!$E$3:$E$300,Abr!$H$100,'Abr - registro gastos'!$F$3:$F$300,Abr!H101)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SUMIFS('Abr - registro gastos'!$D$3:$D$300,'Abr - registro gastos'!$E$3:$E$300,Abr!$B$100,'Abr - registro gastos'!$F$3:$F$300,Abr!B102)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SUMIFS('Abr - registro gastos'!$D$3:$D$300,'Abr - registro gastos'!$E$3:$E$300,Abr!$H$100,'Abr - registro gastos'!$F$3:$F$300,Abr!H102)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SUMIFS('Abr - registro gastos'!$D$3:$D$300,'Abr - registro gastos'!$E$3:$E$300,Abr!$B$100,'Abr - registro gastos'!$F$3:$F$300,Abr!B103)</f>
        <v>0</v>
      </c>
      <c r="F103" s="12">
        <f t="shared" si="16"/>
        <v>0</v>
      </c>
      <c r="G103" s="20"/>
      <c r="H103" s="9"/>
      <c r="I103" s="10"/>
      <c r="J103" s="11"/>
      <c r="K103" s="11">
        <f>SUMIFS('Abr - registro gastos'!$D$3:$D$300,'Abr - registro gastos'!$E$3:$E$300,Abr!$H$100,'Abr - registro gastos'!$F$3:$F$300,Abr!H103)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SUMIFS('Abr - registro gastos'!$D$3:$D$300,'Abr - registro gastos'!$E$3:$E$300,Abr!$B$100,'Abr - registro gastos'!$F$3:$F$300,Abr!B104)</f>
        <v>0</v>
      </c>
      <c r="F104" s="12">
        <f t="shared" si="16"/>
        <v>0</v>
      </c>
      <c r="G104" s="20"/>
      <c r="H104" s="9"/>
      <c r="I104" s="10"/>
      <c r="J104" s="11"/>
      <c r="K104" s="11">
        <f>SUMIFS('Abr - registro gastos'!$D$3:$D$300,'Abr - registro gastos'!$E$3:$E$300,Abr!$H$100,'Abr - registro gastos'!$F$3:$F$300,Abr!H104)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SUMIFS('Abr - registro gastos'!$D$3:$D$300,'Abr - registro gastos'!$E$3:$E$300,Abr!$B$100,'Abr - registro gastos'!$F$3:$F$300,Abr!B105)</f>
        <v>0</v>
      </c>
      <c r="F105" s="12">
        <f t="shared" si="16"/>
        <v>0</v>
      </c>
      <c r="G105" s="20"/>
      <c r="H105" s="9"/>
      <c r="I105" s="10"/>
      <c r="J105" s="11"/>
      <c r="K105" s="11">
        <f>SUMIFS('Abr - registro gastos'!$D$3:$D$300,'Abr - registro gastos'!$E$3:$E$300,Abr!$H$100,'Abr - registro gastos'!$F$3:$F$300,Abr!H105)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SUMIFS('Abr - registro gastos'!$D$3:$D$300,'Abr - registro gastos'!$E$3:$E$300,Abr!$B$100,'Abr - registro gastos'!$F$3:$F$300,Abr!B106)</f>
        <v>0</v>
      </c>
      <c r="F106" s="12">
        <f t="shared" si="16"/>
        <v>0</v>
      </c>
      <c r="G106" s="20"/>
      <c r="H106" s="9"/>
      <c r="I106" s="10"/>
      <c r="J106" s="11"/>
      <c r="K106" s="11">
        <f>SUMIFS('Abr - registro gastos'!$D$3:$D$300,'Abr - registro gastos'!$E$3:$E$300,Abr!$H$100,'Abr - registro gastos'!$F$3:$F$300,Abr!H106)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SUMIFS('Abr - registro gastos'!$D$3:$D$300,'Abr - registro gastos'!$E$3:$E$300,Abr!$B$100,'Abr - registro gastos'!$F$3:$F$300,Abr!B107)</f>
        <v>0</v>
      </c>
      <c r="F107" s="15">
        <f>D107-E107</f>
        <v>0</v>
      </c>
      <c r="G107" s="20"/>
      <c r="H107" s="13"/>
      <c r="I107" s="40"/>
      <c r="J107" s="14"/>
      <c r="K107" s="14">
        <f>SUMIFS('Abr - registro gastos'!$D$3:$D$300,'Abr - registro gastos'!$E$3:$E$300,Abr!$H$100,'Abr - registro gastos'!$F$3:$F$300,Abr!H107)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8 K13:K107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7AD3AF5-C4D8-CF4D-BD04-16A6E223072B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69B82150-9FA9-4D41-8DFC-D6F63A3C8880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77C3-EB9E-4F45-9C3E-A3946A9195B5}">
  <sheetPr codeName="Hoja6">
    <tabColor rgb="FFFD9F00"/>
  </sheetPr>
  <dimension ref="B2:AR312"/>
  <sheetViews>
    <sheetView showGridLines="0" zoomScale="110" zoomScaleNormal="11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3" width="11" customWidth="1"/>
    <col min="14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Abr!$B$12</f>
        <v>NECESIDADES BÁSICAS</v>
      </c>
      <c r="AO4" s="84" t="str">
        <f>Abr!B13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Abr!$B$12</f>
        <v>NECESIDADES BÁSICAS</v>
      </c>
      <c r="AO5" s="86" t="str">
        <f>Abr!B14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Abr!$B$12</f>
        <v>NECESIDADES BÁSICAS</v>
      </c>
      <c r="AO6" s="86" t="str">
        <f>Abr!B15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Abr!$B$12</f>
        <v>NECESIDADES BÁSICAS</v>
      </c>
      <c r="AO7" s="86" t="str">
        <f>Abr!B16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Abr!$B$12</f>
        <v>NECESIDADES BÁSICAS</v>
      </c>
      <c r="AO8" s="86" t="str">
        <f>Abr!B17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Abr!$B$12</f>
        <v>NECESIDADES BÁSICAS</v>
      </c>
      <c r="AO9" s="86" t="str">
        <f>Abr!B18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Abr!$B$12</f>
        <v>NECESIDADES BÁSICAS</v>
      </c>
      <c r="AO10" s="86" t="str">
        <f>Abr!B19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Abr!$B$12</f>
        <v>NECESIDADES BÁSICAS</v>
      </c>
      <c r="AO11" s="86" t="str">
        <f>Abr!B20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Abr!$B$12</f>
        <v>NECESIDADES BÁSICAS</v>
      </c>
      <c r="AO12" s="86" t="str">
        <f>Abr!B21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Abr!$B$12</f>
        <v>NECESIDADES BÁSICAS</v>
      </c>
      <c r="AO13" s="86">
        <f>Abr!B22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Abr!$B$12</f>
        <v>NECESIDADES BÁSICAS</v>
      </c>
      <c r="AO14" s="86">
        <f>Abr!B23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Abr!$B$12</f>
        <v>NECESIDADES BÁSICAS</v>
      </c>
      <c r="AO15" s="88">
        <f>Abr!B24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Abr!$H$12</f>
        <v>AHORROS</v>
      </c>
      <c r="AO16" s="84" t="str">
        <f>Abr!H13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Abr!$H$12</f>
        <v>AHORROS</v>
      </c>
      <c r="AO17" s="86" t="str">
        <f>Abr!H14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Abr!$H$12</f>
        <v>AHORROS</v>
      </c>
      <c r="AO18" s="86" t="str">
        <f>Abr!H15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Abr!$H$12</f>
        <v>AHORROS</v>
      </c>
      <c r="AO19" s="86" t="str">
        <f>Abr!H16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Abr!$H$12</f>
        <v>AHORROS</v>
      </c>
      <c r="AO20" s="86" t="str">
        <f>Abr!H17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Abr!$H$12</f>
        <v>AHORROS</v>
      </c>
      <c r="AO21" s="86">
        <f>Abr!H18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Abr!$H$12</f>
        <v>AHORROS</v>
      </c>
      <c r="AO22" s="86">
        <f>Abr!H19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Abr!$H$12</f>
        <v>AHORROS</v>
      </c>
      <c r="AO23" s="86">
        <f>Abr!H20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Abr!$H$12</f>
        <v>AHORROS</v>
      </c>
      <c r="AO24" s="86">
        <f>Abr!H21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Abr!$H$12</f>
        <v>AHORROS</v>
      </c>
      <c r="AO25" s="86">
        <f>Abr!H22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Abr!$H$12</f>
        <v>AHORROS</v>
      </c>
      <c r="AO26" s="86">
        <f>Abr!H23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Abr!$H$12</f>
        <v>AHORROS</v>
      </c>
      <c r="AO27" s="88">
        <f>Abr!H24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Abr!$B$27</f>
        <v>DEUDAS</v>
      </c>
      <c r="AO28" s="84" t="str">
        <f>Abr!B28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Abr!$B$27</f>
        <v>DEUDAS</v>
      </c>
      <c r="AO29" s="86" t="str">
        <f>Abr!B29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Abr!$B$27</f>
        <v>DEUDAS</v>
      </c>
      <c r="AO30" s="86" t="str">
        <f>Abr!B30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Abr!$B$27</f>
        <v>DEUDAS</v>
      </c>
      <c r="AO31" s="86" t="str">
        <f>Abr!B31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Abr!$B$27</f>
        <v>DEUDAS</v>
      </c>
      <c r="AO32" s="86" t="str">
        <f>Abr!B32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Abr!$B$27</f>
        <v>DEUDAS</v>
      </c>
      <c r="AO33" s="86">
        <f>Abr!B33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Abr!$B$27</f>
        <v>DEUDAS</v>
      </c>
      <c r="AO34" s="86">
        <f>Abr!B34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Abr!$B$27</f>
        <v>DEUDAS</v>
      </c>
      <c r="AO35" s="88">
        <f>Abr!B35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Abr!$H$27</f>
        <v>REGALOS/ CARIDAD</v>
      </c>
      <c r="AO36" s="84" t="str">
        <f>Abr!H28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Abr!$H$27</f>
        <v>REGALOS/ CARIDAD</v>
      </c>
      <c r="AO37" s="86" t="str">
        <f>Abr!H29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Abr!$H$27</f>
        <v>REGALOS/ CARIDAD</v>
      </c>
      <c r="AO38" s="86" t="str">
        <f>Abr!H30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Abr!$H$27</f>
        <v>REGALOS/ CARIDAD</v>
      </c>
      <c r="AO39" s="86">
        <f>Abr!H31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Abr!$H$27</f>
        <v>REGALOS/ CARIDAD</v>
      </c>
      <c r="AO40" s="86">
        <f>Abr!H32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Abr!$H$27</f>
        <v>REGALOS/ CARIDAD</v>
      </c>
      <c r="AO41" s="86">
        <f>Abr!H33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Abr!$H$27</f>
        <v>REGALOS/ CARIDAD</v>
      </c>
      <c r="AO42" s="86">
        <f>Abr!H34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Abr!$H$27</f>
        <v>REGALOS/ CARIDAD</v>
      </c>
      <c r="AO43" s="88">
        <f>Abr!H35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Abr!$B$38</f>
        <v>CASA</v>
      </c>
      <c r="AO44" s="84" t="str">
        <f>Abr!B39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Abr!$B$38</f>
        <v>CASA</v>
      </c>
      <c r="AO45" s="86" t="str">
        <f>Abr!B40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Abr!$B$38</f>
        <v>CASA</v>
      </c>
      <c r="AO46" s="86" t="str">
        <f>Abr!B41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Abr!$B$38</f>
        <v>CASA</v>
      </c>
      <c r="AO47" s="86" t="str">
        <f>Abr!B42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Abr!$B$38</f>
        <v>CASA</v>
      </c>
      <c r="AO48" s="86">
        <f>Abr!B43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Abr!$B$38</f>
        <v>CASA</v>
      </c>
      <c r="AO49" s="86">
        <f>Abr!B44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Abr!$B$38</f>
        <v>CASA</v>
      </c>
      <c r="AO50" s="88">
        <f>Abr!B45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Abr!$H$38</f>
        <v>TRANSPORTE</v>
      </c>
      <c r="AO51" s="84" t="str">
        <f>Abr!H39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Abr!$H$38</f>
        <v>TRANSPORTE</v>
      </c>
      <c r="AO52" s="86" t="str">
        <f>Abr!H40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Abr!$H$38</f>
        <v>TRANSPORTE</v>
      </c>
      <c r="AO53" s="86" t="str">
        <f>Abr!H41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Abr!$H$38</f>
        <v>TRANSPORTE</v>
      </c>
      <c r="AO54" s="86" t="str">
        <f>Abr!H42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Abr!$H$38</f>
        <v>TRANSPORTE</v>
      </c>
      <c r="AO55" s="86" t="str">
        <f>Abr!H43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Abr!$H$38</f>
        <v>TRANSPORTE</v>
      </c>
      <c r="AO56" s="86">
        <f>Abr!H44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Abr!$H$38</f>
        <v>TRANSPORTE</v>
      </c>
      <c r="AO57" s="88">
        <f>Abr!H45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Abr!$B$48</f>
        <v>ALIMENTACIÓN</v>
      </c>
      <c r="AO58" s="84" t="str">
        <f>Abr!B49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Abr!$B$48</f>
        <v>ALIMENTACIÓN</v>
      </c>
      <c r="AO59" s="86" t="str">
        <f>Abr!B50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Abr!$B$48</f>
        <v>ALIMENTACIÓN</v>
      </c>
      <c r="AO60" s="86">
        <f>Abr!B51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Abr!$B$48</f>
        <v>ALIMENTACIÓN</v>
      </c>
      <c r="AO61" s="86">
        <f>Abr!B52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Abr!$B$48</f>
        <v>ALIMENTACIÓN</v>
      </c>
      <c r="AO62" s="86">
        <f>Abr!B53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Abr!$B$48</f>
        <v>ALIMENTACIÓN</v>
      </c>
      <c r="AO63" s="88">
        <f>Abr!B54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Abr!$H$48</f>
        <v>SEGUROS</v>
      </c>
      <c r="AO64" s="84" t="str">
        <f>Abr!H49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Abr!$H$48</f>
        <v>SEGUROS</v>
      </c>
      <c r="AO65" s="86" t="str">
        <f>Abr!H50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Abr!$H$48</f>
        <v>SEGUROS</v>
      </c>
      <c r="AO66" s="86" t="str">
        <f>Abr!H51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Abr!$H$48</f>
        <v>SEGUROS</v>
      </c>
      <c r="AO67" s="86" t="str">
        <f>Abr!H52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Abr!$H$48</f>
        <v>SEGUROS</v>
      </c>
      <c r="AO68" s="86">
        <f>Abr!H53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Abr!$H$48</f>
        <v>SEGUROS</v>
      </c>
      <c r="AO69" s="88">
        <f>Abr!H54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Abr!$B$57</f>
        <v>SALUD</v>
      </c>
      <c r="AO70" s="84" t="str">
        <f>Abr!B58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Abr!$B$57</f>
        <v>SALUD</v>
      </c>
      <c r="AO71" s="86" t="str">
        <f>Abr!B59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Abr!$B$57</f>
        <v>SALUD</v>
      </c>
      <c r="AO72" s="86" t="str">
        <f>Abr!B60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Abr!$B$57</f>
        <v>SALUD</v>
      </c>
      <c r="AO73" s="86">
        <f>Abr!B61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Abr!$B$57</f>
        <v>SALUD</v>
      </c>
      <c r="AO74" s="86">
        <f>Abr!B62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Abr!$B$57</f>
        <v>SALUD</v>
      </c>
      <c r="AO75" s="86">
        <f>Abr!B63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Abr!$B$57</f>
        <v>SALUD</v>
      </c>
      <c r="AO76" s="88">
        <f>Abr!B64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Abr!$H$57</f>
        <v>CUIDADO PERSONAL</v>
      </c>
      <c r="AO77" s="84" t="str">
        <f>Abr!H58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Abr!$H$57</f>
        <v>CUIDADO PERSONAL</v>
      </c>
      <c r="AO78" s="86" t="str">
        <f>Abr!H59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Abr!$H$57</f>
        <v>CUIDADO PERSONAL</v>
      </c>
      <c r="AO79" s="86" t="str">
        <f>Abr!H60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Abr!$H$57</f>
        <v>CUIDADO PERSONAL</v>
      </c>
      <c r="AO80" s="86" t="str">
        <f>Abr!H61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Abr!$H$57</f>
        <v>CUIDADO PERSONAL</v>
      </c>
      <c r="AO81" s="86" t="str">
        <f>Abr!H62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Abr!$H$57</f>
        <v>CUIDADO PERSONAL</v>
      </c>
      <c r="AO82" s="86">
        <f>Abr!H63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Abr!$H$57</f>
        <v>CUIDADO PERSONAL</v>
      </c>
      <c r="AO83" s="88">
        <f>Abr!H64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Abr!$B$67</f>
        <v>ENTRETENIMIENTO</v>
      </c>
      <c r="AO84" s="84" t="str">
        <f>Abr!B68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Abr!$B$67</f>
        <v>ENTRETENIMIENTO</v>
      </c>
      <c r="AO85" s="86" t="str">
        <f>Abr!B69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Abr!$B$67</f>
        <v>ENTRETENIMIENTO</v>
      </c>
      <c r="AO86" s="86" t="str">
        <f>Abr!B70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Abr!$B$67</f>
        <v>ENTRETENIMIENTO</v>
      </c>
      <c r="AO87" s="86" t="str">
        <f>Abr!B71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Abr!$B$67</f>
        <v>ENTRETENIMIENTO</v>
      </c>
      <c r="AO88" s="86" t="str">
        <f>Abr!B72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Abr!$B$67</f>
        <v>ENTRETENIMIENTO</v>
      </c>
      <c r="AO89" s="86" t="str">
        <f>Abr!B73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Abr!$B$67</f>
        <v>ENTRETENIMIENTO</v>
      </c>
      <c r="AO90" s="86" t="str">
        <f>Abr!B74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Abr!$B$67</f>
        <v>ENTRETENIMIENTO</v>
      </c>
      <c r="AO91" s="86">
        <f>Abr!B75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Abr!$B$67</f>
        <v>ENTRETENIMIENTO</v>
      </c>
      <c r="AO92" s="86">
        <f>Abr!B76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Abr!$B$67</f>
        <v>ENTRETENIMIENTO</v>
      </c>
      <c r="AO93" s="86">
        <f>Abr!B77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Abr!$B$67</f>
        <v>ENTRETENIMIENTO</v>
      </c>
      <c r="AO94" s="88">
        <f>Abr!B78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Abr!$H$67</f>
        <v>HIJOS</v>
      </c>
      <c r="AO95" s="84" t="str">
        <f>Abr!H68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Abr!$H$67</f>
        <v>HIJOS</v>
      </c>
      <c r="AO96" s="86" t="str">
        <f>Abr!H69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Abr!$H$67</f>
        <v>HIJOS</v>
      </c>
      <c r="AO97" s="86" t="str">
        <f>Abr!H70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Abr!$H$67</f>
        <v>HIJOS</v>
      </c>
      <c r="AO98" s="86" t="str">
        <f>Abr!H71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Abr!$H$67</f>
        <v>HIJOS</v>
      </c>
      <c r="AO99" s="86">
        <f>Abr!H72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Abr!$H$67</f>
        <v>HIJOS</v>
      </c>
      <c r="AO100" s="86">
        <f>Abr!H73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Abr!$H$67</f>
        <v>HIJOS</v>
      </c>
      <c r="AO101" s="86">
        <f>Abr!H74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Abr!$H$67</f>
        <v>HIJOS</v>
      </c>
      <c r="AO102" s="86">
        <f>Abr!H75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Abr!$H$67</f>
        <v>HIJOS</v>
      </c>
      <c r="AO103" s="86">
        <f>Abr!H76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Abr!$H$67</f>
        <v>HIJOS</v>
      </c>
      <c r="AO104" s="86">
        <f>Abr!H77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Abr!$H$67</f>
        <v>HIJOS</v>
      </c>
      <c r="AO105" s="88">
        <f>Abr!H78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Abr!$B$81</f>
        <v>MASCOTA</v>
      </c>
      <c r="AO106" s="84" t="str">
        <f>Abr!B82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Abr!$B$81</f>
        <v>MASCOTA</v>
      </c>
      <c r="AO107" s="86" t="str">
        <f>Abr!B83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Abr!$B$81</f>
        <v>MASCOTA</v>
      </c>
      <c r="AO108" s="86" t="str">
        <f>Abr!B84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Abr!$B$81</f>
        <v>MASCOTA</v>
      </c>
      <c r="AO109" s="86" t="str">
        <f>Abr!B85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Abr!$B$81</f>
        <v>MASCOTA</v>
      </c>
      <c r="AO110" s="86">
        <f>Abr!B86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Abr!$B$81</f>
        <v>MASCOTA</v>
      </c>
      <c r="AO111" s="88">
        <f>Abr!B87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Abr!$H$81</f>
        <v>OTROS 1</v>
      </c>
      <c r="AO112" s="84">
        <f>Abr!H82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Abr!$H$81</f>
        <v>OTROS 1</v>
      </c>
      <c r="AO113" s="86">
        <f>Abr!H83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Abr!$H$81</f>
        <v>OTROS 1</v>
      </c>
      <c r="AO114" s="86">
        <f>Abr!H84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Abr!$H$81</f>
        <v>OTROS 1</v>
      </c>
      <c r="AO115" s="86">
        <f>Abr!H85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Abr!$H$81</f>
        <v>OTROS 1</v>
      </c>
      <c r="AO116" s="86">
        <f>Abr!H86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Abr!$H$81</f>
        <v>OTROS 1</v>
      </c>
      <c r="AO117" s="88">
        <f>Abr!H87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Abr!$B$90</f>
        <v>OTROS 2</v>
      </c>
      <c r="AO118" s="84">
        <f>Abr!B91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Abr!$B$90</f>
        <v>OTROS 2</v>
      </c>
      <c r="AO119" s="86">
        <f>Abr!B92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Abr!$B$90</f>
        <v>OTROS 2</v>
      </c>
      <c r="AO120" s="86">
        <f>Abr!B93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Abr!$B$90</f>
        <v>OTROS 2</v>
      </c>
      <c r="AO121" s="86">
        <f>Abr!B94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Abr!$B$90</f>
        <v>OTROS 2</v>
      </c>
      <c r="AO122" s="86">
        <f>Abr!B95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Abr!$B$90</f>
        <v>OTROS 2</v>
      </c>
      <c r="AO123" s="88">
        <f>Abr!B96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Abr!$H$90</f>
        <v>OTROS 3</v>
      </c>
      <c r="AO124" s="84">
        <f>Abr!H91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Abr!$H$90</f>
        <v>OTROS 3</v>
      </c>
      <c r="AO125" s="86">
        <f>Abr!H92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Abr!$H$90</f>
        <v>OTROS 3</v>
      </c>
      <c r="AO126" s="86">
        <f>Abr!H93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Abr!$H$90</f>
        <v>OTROS 3</v>
      </c>
      <c r="AO127" s="86">
        <f>Abr!H94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Abr!$H$90</f>
        <v>OTROS 3</v>
      </c>
      <c r="AO128" s="86">
        <f>Abr!H95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Abr!$H$90</f>
        <v>OTROS 3</v>
      </c>
      <c r="AO129" s="88">
        <f>Abr!H96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Abr!$B$100</f>
        <v>OTROS 4</v>
      </c>
      <c r="AO130" s="84">
        <f>Abr!B101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Abr!$B$100</f>
        <v>OTROS 4</v>
      </c>
      <c r="AO131" s="86">
        <f>Abr!B102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Abr!$B$100</f>
        <v>OTROS 4</v>
      </c>
      <c r="AO132" s="86">
        <f>Abr!B103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Abr!$B$100</f>
        <v>OTROS 4</v>
      </c>
      <c r="AO133" s="86">
        <f>Abr!B104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Abr!$B$100</f>
        <v>OTROS 4</v>
      </c>
      <c r="AO134" s="86">
        <f>Abr!B105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Abr!$B$100</f>
        <v>OTROS 4</v>
      </c>
      <c r="AO135" s="88">
        <f>Abr!B106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Abr!$H$100</f>
        <v>OTROS 5</v>
      </c>
      <c r="AO136" s="84">
        <f>Abr!H101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Abr!$H$100</f>
        <v>OTROS 5</v>
      </c>
      <c r="AO137" s="86">
        <f>Abr!H102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Abr!$H$100</f>
        <v>OTROS 5</v>
      </c>
      <c r="AO138" s="86">
        <f>Abr!H103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Abr!$H$100</f>
        <v>OTROS 5</v>
      </c>
      <c r="AO139" s="86">
        <f>Abr!H104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Abr!$H$100</f>
        <v>OTROS 5</v>
      </c>
      <c r="AO140" s="86">
        <f>Abr!H105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Abr!$H$100</f>
        <v>OTROS 5</v>
      </c>
      <c r="AO141" s="88">
        <f>Abr!H106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wH2FXRyJnUbI2itJaivaepqcPmdx2mfcXhfxEd2/jUXgWclC5jn5nnRU6H3SPdCAO2ihlut5C/fIQKlo1iuQfQ==" saltValue="46I39IZVq3BIBXhE+RJnKw==" spinCount="100000" sheet="1" selectLockedCells="1"/>
  <conditionalFormatting sqref="J1:J300 J313:J1048576">
    <cfRule type="containsText" dxfId="17" priority="1" operator="containsText" text="Revisa">
      <formula>NOT(ISERROR(SEARCH("Revisa",J1)))</formula>
    </cfRule>
    <cfRule type="beginsWith" dxfId="16" priority="2" operator="beginsWith" text="Es">
      <formula>LEFT(J1,LEN("Es"))="Es"</formula>
    </cfRule>
  </conditionalFormatting>
  <dataValidations count="2">
    <dataValidation type="list" allowBlank="1" showInputMessage="1" showErrorMessage="1" sqref="F3:F300" xr:uid="{9CAAF5F6-CD13-0C49-90DB-ABA28DA57BF5}">
      <formula1>$AO$4:$AO$141</formula1>
    </dataValidation>
    <dataValidation type="list" allowBlank="1" showInputMessage="1" showErrorMessage="1" sqref="E3:E300" xr:uid="{B407FFA5-1026-944E-A615-7BA9BBC93C82}">
      <formula1>$AN$4:$AN$141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EF7522"/>
    <pageSetUpPr autoPageBreaks="0" fitToPage="1"/>
  </sheetPr>
  <dimension ref="B1:U110"/>
  <sheetViews>
    <sheetView showGridLines="0" topLeftCell="A78" zoomScaleNormal="100" zoomScalePageLayoutView="80" workbookViewId="0">
      <selection activeCell="K13" sqref="K13:K108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SUMIFS('May - registro gastos'!$D$3:$D$300,'May - registro gastos'!$E$3:$E$300,May!$B$12,'May - registro gastos'!$F$3:$F$300,May!B13)</f>
        <v>0</v>
      </c>
      <c r="F13" s="12">
        <f>D13-E13</f>
        <v>0</v>
      </c>
      <c r="H13" s="9" t="s">
        <v>13</v>
      </c>
      <c r="I13" s="10"/>
      <c r="J13" s="11"/>
      <c r="K13" s="11">
        <f>SUMIFS('May - registro gastos'!$D$3:$D$300,'May - registro gastos'!$E$3:$E$300,May!$H$12,'May - registro gastos'!$F$3:$F$300,May!H13)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SUMIFS('May - registro gastos'!$D$3:$D$300,'May - registro gastos'!$E$3:$E$300,May!$B$12,'May - registro gastos'!$F$3:$F$300,May!B14)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SUMIFS('May - registro gastos'!$D$3:$D$300,'May - registro gastos'!$E$3:$E$300,May!$H$12,'May - registro gastos'!$F$3:$F$300,May!H14)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SUMIFS('May - registro gastos'!$D$3:$D$300,'May - registro gastos'!$E$3:$E$300,May!$B$12,'May - registro gastos'!$F$3:$F$300,May!B15)</f>
        <v>0</v>
      </c>
      <c r="F15" s="12">
        <f t="shared" si="1"/>
        <v>0</v>
      </c>
      <c r="H15" s="9" t="s">
        <v>11</v>
      </c>
      <c r="I15" s="10"/>
      <c r="J15" s="39"/>
      <c r="K15" s="11">
        <f>SUMIFS('May - registro gastos'!$D$3:$D$300,'May - registro gastos'!$E$3:$E$300,May!$H$12,'May - registro gastos'!$F$3:$F$300,May!H15)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SUMIFS('May - registro gastos'!$D$3:$D$300,'May - registro gastos'!$E$3:$E$300,May!$B$12,'May - registro gastos'!$F$3:$F$300,May!B16)</f>
        <v>0</v>
      </c>
      <c r="F16" s="12">
        <f t="shared" si="1"/>
        <v>0</v>
      </c>
      <c r="H16" s="9" t="s">
        <v>10</v>
      </c>
      <c r="I16" s="10"/>
      <c r="J16" s="11"/>
      <c r="K16" s="11">
        <f>SUMIFS('May - registro gastos'!$D$3:$D$300,'May - registro gastos'!$E$3:$E$300,May!$H$12,'May - registro gastos'!$F$3:$F$300,May!H16)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SUMIFS('May - registro gastos'!$D$3:$D$300,'May - registro gastos'!$E$3:$E$300,May!$B$12,'May - registro gastos'!$F$3:$F$300,May!B17)</f>
        <v>0</v>
      </c>
      <c r="F17" s="12">
        <f t="shared" si="1"/>
        <v>0</v>
      </c>
      <c r="H17" s="9" t="s">
        <v>9</v>
      </c>
      <c r="I17" s="10"/>
      <c r="J17" s="11"/>
      <c r="K17" s="11">
        <f>SUMIFS('May - registro gastos'!$D$3:$D$300,'May - registro gastos'!$E$3:$E$300,May!$H$12,'May - registro gastos'!$F$3:$F$300,May!H17)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SUMIFS('May - registro gastos'!$D$3:$D$300,'May - registro gastos'!$E$3:$E$300,May!$B$12,'May - registro gastos'!$F$3:$F$300,May!B18)</f>
        <v>0</v>
      </c>
      <c r="F18" s="12">
        <f t="shared" si="1"/>
        <v>0</v>
      </c>
      <c r="H18" s="9"/>
      <c r="I18" s="10"/>
      <c r="J18" s="11"/>
      <c r="K18" s="11">
        <f>SUMIFS('May - registro gastos'!$D$3:$D$300,'May - registro gastos'!$E$3:$E$300,May!$H$12,'May - registro gastos'!$F$3:$F$300,May!H18)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SUMIFS('May - registro gastos'!$D$3:$D$300,'May - registro gastos'!$E$3:$E$300,May!$B$12,'May - registro gastos'!$F$3:$F$300,May!B19)</f>
        <v>0</v>
      </c>
      <c r="F19" s="12">
        <f t="shared" si="1"/>
        <v>0</v>
      </c>
      <c r="H19" s="9"/>
      <c r="I19" s="10"/>
      <c r="J19" s="11"/>
      <c r="K19" s="11">
        <f>SUMIFS('May - registro gastos'!$D$3:$D$300,'May - registro gastos'!$E$3:$E$300,May!$H$12,'May - registro gastos'!$F$3:$F$300,May!H19)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SUMIFS('May - registro gastos'!$D$3:$D$300,'May - registro gastos'!$E$3:$E$300,May!$B$12,'May - registro gastos'!$F$3:$F$300,May!B20)</f>
        <v>0</v>
      </c>
      <c r="F20" s="12">
        <f t="shared" si="1"/>
        <v>0</v>
      </c>
      <c r="H20" s="9"/>
      <c r="I20" s="10"/>
      <c r="J20" s="11"/>
      <c r="K20" s="11">
        <f>SUMIFS('May - registro gastos'!$D$3:$D$300,'May - registro gastos'!$E$3:$E$300,May!$H$12,'May - registro gastos'!$F$3:$F$300,May!H20)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SUMIFS('May - registro gastos'!$D$3:$D$300,'May - registro gastos'!$E$3:$E$300,May!$B$12,'May - registro gastos'!$F$3:$F$300,May!B21)</f>
        <v>0</v>
      </c>
      <c r="F21" s="12">
        <f t="shared" si="1"/>
        <v>0</v>
      </c>
      <c r="H21" s="9"/>
      <c r="I21" s="10"/>
      <c r="J21" s="11"/>
      <c r="K21" s="11">
        <f>SUMIFS('May - registro gastos'!$D$3:$D$300,'May - registro gastos'!$E$3:$E$300,May!$H$12,'May - registro gastos'!$F$3:$F$300,May!H21)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SUMIFS('May - registro gastos'!$D$3:$D$300,'May - registro gastos'!$E$3:$E$300,May!$B$12,'May - registro gastos'!$F$3:$F$300,May!B22)</f>
        <v>0</v>
      </c>
      <c r="F22" s="12">
        <f t="shared" si="1"/>
        <v>0</v>
      </c>
      <c r="H22" s="9"/>
      <c r="I22" s="10"/>
      <c r="J22" s="11"/>
      <c r="K22" s="11">
        <f>SUMIFS('May - registro gastos'!$D$3:$D$300,'May - registro gastos'!$E$3:$E$300,May!$H$12,'May - registro gastos'!$F$3:$F$300,May!H22)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SUMIFS('May - registro gastos'!$D$3:$D$300,'May - registro gastos'!$E$3:$E$300,May!$B$12,'May - registro gastos'!$F$3:$F$300,May!B23)</f>
        <v>0</v>
      </c>
      <c r="F23" s="12">
        <f t="shared" si="1"/>
        <v>0</v>
      </c>
      <c r="H23" s="9"/>
      <c r="I23" s="10"/>
      <c r="J23" s="11"/>
      <c r="K23" s="11">
        <f>SUMIFS('May - registro gastos'!$D$3:$D$300,'May - registro gastos'!$E$3:$E$300,May!$H$12,'May - registro gastos'!$F$3:$F$300,May!H23)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SUMIFS('May - registro gastos'!$D$3:$D$300,'May - registro gastos'!$E$3:$E$300,May!$B$12,'May - registro gastos'!$F$3:$F$300,May!B24)</f>
        <v>0</v>
      </c>
      <c r="F24" s="15">
        <f t="shared" si="1"/>
        <v>0</v>
      </c>
      <c r="H24" s="13"/>
      <c r="I24" s="40"/>
      <c r="J24" s="14"/>
      <c r="K24" s="14">
        <f>SUMIFS('May - registro gastos'!$D$3:$D$300,'May - registro gastos'!$E$3:$E$300,May!$H$12,'May - registro gastos'!$F$3:$F$300,May!H24)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SUMIFS('May - registro gastos'!$D$3:$D$300,'May - registro gastos'!$E$3:$E$300,May!$B$27,'May - registro gastos'!$F$3:$F$300,May!B28)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SUMIFS('May - registro gastos'!$D$3:$D$300,'May - registro gastos'!$E$3:$E$300,May!$H$27,'May - registro gastos'!$F$3:$F$300,May!H28)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SUMIFS('May - registro gastos'!$D$3:$D$300,'May - registro gastos'!$E$3:$E$300,May!$B$27,'May - registro gastos'!$F$3:$F$300,May!B29)</f>
        <v>0</v>
      </c>
      <c r="F29" s="12">
        <f t="shared" si="2"/>
        <v>0</v>
      </c>
      <c r="H29" s="9" t="s">
        <v>17</v>
      </c>
      <c r="I29" s="10"/>
      <c r="J29" s="11"/>
      <c r="K29" s="11">
        <f>SUMIFS('May - registro gastos'!$D$3:$D$300,'May - registro gastos'!$E$3:$E$300,May!$H$27,'May - registro gastos'!$F$3:$F$300,May!H29)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SUMIFS('May - registro gastos'!$D$3:$D$300,'May - registro gastos'!$E$3:$E$300,May!$B$27,'May - registro gastos'!$F$3:$F$300,May!B30)</f>
        <v>0</v>
      </c>
      <c r="F30" s="12">
        <f t="shared" si="2"/>
        <v>0</v>
      </c>
      <c r="H30" s="9" t="s">
        <v>16</v>
      </c>
      <c r="I30" s="10"/>
      <c r="J30" s="11"/>
      <c r="K30" s="11">
        <f>SUMIFS('May - registro gastos'!$D$3:$D$300,'May - registro gastos'!$E$3:$E$300,May!$H$27,'May - registro gastos'!$F$3:$F$300,May!H30)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SUMIFS('May - registro gastos'!$D$3:$D$300,'May - registro gastos'!$E$3:$E$300,May!$B$27,'May - registro gastos'!$F$3:$F$300,May!B31)</f>
        <v>0</v>
      </c>
      <c r="F31" s="12">
        <f t="shared" si="2"/>
        <v>0</v>
      </c>
      <c r="H31" s="9"/>
      <c r="I31" s="10"/>
      <c r="J31" s="11"/>
      <c r="K31" s="11">
        <f>SUMIFS('May - registro gastos'!$D$3:$D$300,'May - registro gastos'!$E$3:$E$300,May!$H$27,'May - registro gastos'!$F$3:$F$300,May!H31)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SUMIFS('May - registro gastos'!$D$3:$D$300,'May - registro gastos'!$E$3:$E$300,May!$B$27,'May - registro gastos'!$F$3:$F$300,May!B32)</f>
        <v>0</v>
      </c>
      <c r="F32" s="12">
        <f t="shared" si="2"/>
        <v>0</v>
      </c>
      <c r="H32" s="9"/>
      <c r="I32" s="10"/>
      <c r="J32" s="11"/>
      <c r="K32" s="11">
        <f>SUMIFS('May - registro gastos'!$D$3:$D$300,'May - registro gastos'!$E$3:$E$300,May!$H$27,'May - registro gastos'!$F$3:$F$300,May!H32)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SUMIFS('May - registro gastos'!$D$3:$D$300,'May - registro gastos'!$E$3:$E$300,May!$B$27,'May - registro gastos'!$F$3:$F$300,May!B33)</f>
        <v>0</v>
      </c>
      <c r="F33" s="12">
        <f t="shared" si="2"/>
        <v>0</v>
      </c>
      <c r="H33" s="9"/>
      <c r="I33" s="10"/>
      <c r="J33" s="11"/>
      <c r="K33" s="11">
        <f>SUMIFS('May - registro gastos'!$D$3:$D$300,'May - registro gastos'!$E$3:$E$300,May!$H$27,'May - registro gastos'!$F$3:$F$300,May!H33)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SUMIFS('May - registro gastos'!$D$3:$D$300,'May - registro gastos'!$E$3:$E$300,May!$B$27,'May - registro gastos'!$F$3:$F$300,May!B34)</f>
        <v>0</v>
      </c>
      <c r="F34" s="12">
        <f t="shared" si="2"/>
        <v>0</v>
      </c>
      <c r="H34" s="9"/>
      <c r="I34" s="10"/>
      <c r="J34" s="11"/>
      <c r="K34" s="11">
        <f>SUMIFS('May - registro gastos'!$D$3:$D$300,'May - registro gastos'!$E$3:$E$300,May!$H$27,'May - registro gastos'!$F$3:$F$300,May!H34)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SUMIFS('May - registro gastos'!$D$3:$D$300,'May - registro gastos'!$E$3:$E$300,May!$B$27,'May - registro gastos'!$F$3:$F$300,May!B35)</f>
        <v>0</v>
      </c>
      <c r="F35" s="15">
        <f t="shared" si="2"/>
        <v>0</v>
      </c>
      <c r="H35" s="13"/>
      <c r="I35" s="40"/>
      <c r="J35" s="14"/>
      <c r="K35" s="14">
        <f>SUMIFS('May - registro gastos'!$D$3:$D$300,'May - registro gastos'!$E$3:$E$300,May!$H$27,'May - registro gastos'!$F$3:$F$300,May!H35)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SUMIFS('May - registro gastos'!$D$3:$D$300,'May - registro gastos'!$E$3:$E$300,May!$B$38,'May - registro gastos'!$F$3:$F$300,May!B39)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SUMIFS('May - registro gastos'!$D$3:$D$300,'May - registro gastos'!$E$3:$E$300,May!$H$38,'May - registro gastos'!$F$3:$F$300,May!H39)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SUMIFS('May - registro gastos'!$D$3:$D$300,'May - registro gastos'!$E$3:$E$300,May!$B$38,'May - registro gastos'!$F$3:$F$300,May!B40)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SUMIFS('May - registro gastos'!$D$3:$D$300,'May - registro gastos'!$E$3:$E$300,May!$H$38,'May - registro gastos'!$F$3:$F$300,May!H40)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SUMIFS('May - registro gastos'!$D$3:$D$300,'May - registro gastos'!$E$3:$E$300,May!$B$38,'May - registro gastos'!$F$3:$F$300,May!B41)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SUMIFS('May - registro gastos'!$D$3:$D$300,'May - registro gastos'!$E$3:$E$300,May!$H$38,'May - registro gastos'!$F$3:$F$300,May!H41)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SUMIFS('May - registro gastos'!$D$3:$D$300,'May - registro gastos'!$E$3:$E$300,May!$B$38,'May - registro gastos'!$F$3:$F$300,May!B42)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SUMIFS('May - registro gastos'!$D$3:$D$300,'May - registro gastos'!$E$3:$E$300,May!$H$38,'May - registro gastos'!$F$3:$F$300,May!H42)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SUMIFS('May - registro gastos'!$D$3:$D$300,'May - registro gastos'!$E$3:$E$300,May!$B$38,'May - registro gastos'!$F$3:$F$300,May!B43)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SUMIFS('May - registro gastos'!$D$3:$D$300,'May - registro gastos'!$E$3:$E$300,May!$H$38,'May - registro gastos'!$F$3:$F$300,May!H43)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SUMIFS('May - registro gastos'!$D$3:$D$300,'May - registro gastos'!$E$3:$E$300,May!$B$38,'May - registro gastos'!$F$3:$F$300,May!B44)</f>
        <v>0</v>
      </c>
      <c r="F44" s="12">
        <f t="shared" si="4"/>
        <v>0</v>
      </c>
      <c r="G44" s="20"/>
      <c r="H44" s="30"/>
      <c r="I44" s="10"/>
      <c r="J44" s="31"/>
      <c r="K44" s="31">
        <f>SUMIFS('May - registro gastos'!$D$3:$D$300,'May - registro gastos'!$E$3:$E$300,May!$H$38,'May - registro gastos'!$F$3:$F$300,May!H44)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SUMIFS('May - registro gastos'!$D$3:$D$300,'May - registro gastos'!$E$3:$E$300,May!$B$38,'May - registro gastos'!$F$3:$F$300,May!B45)</f>
        <v>0</v>
      </c>
      <c r="F45" s="15">
        <f t="shared" si="4"/>
        <v>0</v>
      </c>
      <c r="G45" s="20"/>
      <c r="H45" s="13"/>
      <c r="I45" s="40"/>
      <c r="J45" s="14"/>
      <c r="K45" s="14">
        <f>SUMIFS('May - registro gastos'!$D$3:$D$300,'May - registro gastos'!$E$3:$E$300,May!$H$38,'May - registro gastos'!$F$3:$F$300,May!H45)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SUMIFS('May - registro gastos'!$D$3:$D$300,'May - registro gastos'!$E$3:$E$300,May!$B$48,'May - registro gastos'!$F$3:$F$300,May!B49)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SUMIFS('May - registro gastos'!$D$3:$D$300,'May - registro gastos'!$E$3:$E$300,May!$H$48,'May - registro gastos'!$F$3:$F$300,May!H49)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SUMIFS('May - registro gastos'!$D$3:$D$300,'May - registro gastos'!$E$3:$E$300,May!$B$48,'May - registro gastos'!$F$3:$F$300,May!B50)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SUMIFS('May - registro gastos'!$D$3:$D$300,'May - registro gastos'!$E$3:$E$300,May!$H$48,'May - registro gastos'!$F$3:$F$300,May!H50)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SUMIFS('May - registro gastos'!$D$3:$D$300,'May - registro gastos'!$E$3:$E$300,May!$B$48,'May - registro gastos'!$F$3:$F$300,May!B51)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SUMIFS('May - registro gastos'!$D$3:$D$300,'May - registro gastos'!$E$3:$E$300,May!$H$48,'May - registro gastos'!$F$3:$F$300,May!H51)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SUMIFS('May - registro gastos'!$D$3:$D$300,'May - registro gastos'!$E$3:$E$300,May!$B$48,'May - registro gastos'!$F$3:$F$300,May!B52)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SUMIFS('May - registro gastos'!$D$3:$D$300,'May - registro gastos'!$E$3:$E$300,May!$H$48,'May - registro gastos'!$F$3:$F$300,May!H52)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SUMIFS('May - registro gastos'!$D$3:$D$300,'May - registro gastos'!$E$3:$E$300,May!$B$48,'May - registro gastos'!$F$3:$F$300,May!B53)</f>
        <v>0</v>
      </c>
      <c r="F53" s="12">
        <f t="shared" si="6"/>
        <v>0</v>
      </c>
      <c r="G53" s="20"/>
      <c r="H53" s="9"/>
      <c r="I53" s="10"/>
      <c r="J53" s="11"/>
      <c r="K53" s="11">
        <f>SUMIFS('May - registro gastos'!$D$3:$D$300,'May - registro gastos'!$E$3:$E$300,May!$H$48,'May - registro gastos'!$F$3:$F$300,May!H53)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SUMIFS('May - registro gastos'!$D$3:$D$300,'May - registro gastos'!$E$3:$E$300,May!$B$48,'May - registro gastos'!$F$3:$F$300,May!B54)</f>
        <v>0</v>
      </c>
      <c r="F54" s="15">
        <f t="shared" si="6"/>
        <v>0</v>
      </c>
      <c r="G54" s="20"/>
      <c r="H54" s="13"/>
      <c r="I54" s="40"/>
      <c r="J54" s="14"/>
      <c r="K54" s="14">
        <f>SUMIFS('May - registro gastos'!$D$3:$D$300,'May - registro gastos'!$E$3:$E$300,May!$H$48,'May - registro gastos'!$F$3:$F$300,May!H54)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SUMIFS('May - registro gastos'!$D$3:$D$300,'May - registro gastos'!$E$3:$E$300,May!$B$57,'May - registro gastos'!$F$3:$F$300,May!B58)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SUMIFS('May - registro gastos'!$D$3:$D$300,'May - registro gastos'!$E$3:$E$300,May!$H$57,'May - registro gastos'!$F$3:$F$300,May!H58)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SUMIFS('May - registro gastos'!$D$3:$D$300,'May - registro gastos'!$E$3:$E$300,May!$B$57,'May - registro gastos'!$F$3:$F$300,May!B59)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SUMIFS('May - registro gastos'!$D$3:$D$300,'May - registro gastos'!$E$3:$E$300,May!$H$57,'May - registro gastos'!$F$3:$F$300,May!H59)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SUMIFS('May - registro gastos'!$D$3:$D$300,'May - registro gastos'!$E$3:$E$300,May!$B$57,'May - registro gastos'!$F$3:$F$300,May!B60)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SUMIFS('May - registro gastos'!$D$3:$D$300,'May - registro gastos'!$E$3:$E$300,May!$H$57,'May - registro gastos'!$F$3:$F$300,May!H60)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SUMIFS('May - registro gastos'!$D$3:$D$300,'May - registro gastos'!$E$3:$E$300,May!$B$57,'May - registro gastos'!$F$3:$F$300,May!B61)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SUMIFS('May - registro gastos'!$D$3:$D$300,'May - registro gastos'!$E$3:$E$300,May!$H$57,'May - registro gastos'!$F$3:$F$300,May!H61)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SUMIFS('May - registro gastos'!$D$3:$D$300,'May - registro gastos'!$E$3:$E$300,May!$B$57,'May - registro gastos'!$F$3:$F$300,May!B62)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SUMIFS('May - registro gastos'!$D$3:$D$300,'May - registro gastos'!$E$3:$E$300,May!$H$57,'May - registro gastos'!$F$3:$F$300,May!H62)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SUMIFS('May - registro gastos'!$D$3:$D$300,'May - registro gastos'!$E$3:$E$300,May!$B$57,'May - registro gastos'!$F$3:$F$300,May!B63)</f>
        <v>0</v>
      </c>
      <c r="F63" s="12">
        <f t="shared" si="9"/>
        <v>0</v>
      </c>
      <c r="G63" s="20"/>
      <c r="H63" s="30"/>
      <c r="I63" s="10"/>
      <c r="J63" s="31"/>
      <c r="K63" s="31">
        <f>SUMIFS('May - registro gastos'!$D$3:$D$300,'May - registro gastos'!$E$3:$E$300,May!$H$57,'May - registro gastos'!$F$3:$F$300,May!H63)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SUMIFS('May - registro gastos'!$D$3:$D$300,'May - registro gastos'!$E$3:$E$300,May!$B$57,'May - registro gastos'!$F$3:$F$300,May!B64)</f>
        <v>0</v>
      </c>
      <c r="F64" s="15">
        <f t="shared" si="9"/>
        <v>0</v>
      </c>
      <c r="G64" s="20"/>
      <c r="H64" s="13"/>
      <c r="I64" s="40"/>
      <c r="J64" s="14"/>
      <c r="K64" s="14">
        <f>SUMIFS('May - registro gastos'!$D$3:$D$300,'May - registro gastos'!$E$3:$E$300,May!$H$57,'May - registro gastos'!$F$3:$F$300,May!H64)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SUMIFS('May - registro gastos'!$D$3:$D$300,'May - registro gastos'!$E$3:$E$300,May!$B$67,'May - registro gastos'!$F$3:$F$300,May!B68)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SUMIFS('May - registro gastos'!$D$3:$D$300,'May - registro gastos'!$E$3:$E$300,May!$H$67,'May - registro gastos'!$F$3:$F$300,May!H68)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SUMIFS('May - registro gastos'!$D$3:$D$300,'May - registro gastos'!$E$3:$E$300,May!$B$67,'May - registro gastos'!$F$3:$F$300,May!B69)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SUMIFS('May - registro gastos'!$D$3:$D$300,'May - registro gastos'!$E$3:$E$300,May!$H$67,'May - registro gastos'!$F$3:$F$300,May!H69)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SUMIFS('May - registro gastos'!$D$3:$D$300,'May - registro gastos'!$E$3:$E$300,May!$B$67,'May - registro gastos'!$F$3:$F$300,May!B70)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SUMIFS('May - registro gastos'!$D$3:$D$300,'May - registro gastos'!$E$3:$E$300,May!$H$67,'May - registro gastos'!$F$3:$F$300,May!H70)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SUMIFS('May - registro gastos'!$D$3:$D$300,'May - registro gastos'!$E$3:$E$300,May!$B$67,'May - registro gastos'!$F$3:$F$300,May!B71)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SUMIFS('May - registro gastos'!$D$3:$D$300,'May - registro gastos'!$E$3:$E$300,May!$H$67,'May - registro gastos'!$F$3:$F$300,May!H71)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SUMIFS('May - registro gastos'!$D$3:$D$300,'May - registro gastos'!$E$3:$E$300,May!$B$67,'May - registro gastos'!$F$3:$F$300,May!B72)</f>
        <v>0</v>
      </c>
      <c r="F72" s="12">
        <f t="shared" si="10"/>
        <v>0</v>
      </c>
      <c r="G72" s="20"/>
      <c r="H72" s="9"/>
      <c r="I72" s="10"/>
      <c r="J72" s="11"/>
      <c r="K72" s="11">
        <f>SUMIFS('May - registro gastos'!$D$3:$D$300,'May - registro gastos'!$E$3:$E$300,May!$H$67,'May - registro gastos'!$F$3:$F$300,May!H72)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SUMIFS('May - registro gastos'!$D$3:$D$300,'May - registro gastos'!$E$3:$E$300,May!$B$67,'May - registro gastos'!$F$3:$F$300,May!B73)</f>
        <v>0</v>
      </c>
      <c r="F73" s="12">
        <f t="shared" si="10"/>
        <v>0</v>
      </c>
      <c r="G73" s="20"/>
      <c r="H73" s="9"/>
      <c r="I73" s="10"/>
      <c r="J73" s="11"/>
      <c r="K73" s="11">
        <f>SUMIFS('May - registro gastos'!$D$3:$D$300,'May - registro gastos'!$E$3:$E$300,May!$H$67,'May - registro gastos'!$F$3:$F$300,May!H73)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SUMIFS('May - registro gastos'!$D$3:$D$300,'May - registro gastos'!$E$3:$E$300,May!$B$67,'May - registro gastos'!$F$3:$F$300,May!B74)</f>
        <v>0</v>
      </c>
      <c r="F74" s="12">
        <f t="shared" si="10"/>
        <v>0</v>
      </c>
      <c r="G74" s="20"/>
      <c r="H74" s="9"/>
      <c r="I74" s="10"/>
      <c r="J74" s="11"/>
      <c r="K74" s="11">
        <f>SUMIFS('May - registro gastos'!$D$3:$D$300,'May - registro gastos'!$E$3:$E$300,May!$H$67,'May - registro gastos'!$F$3:$F$300,May!H74)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SUMIFS('May - registro gastos'!$D$3:$D$300,'May - registro gastos'!$E$3:$E$300,May!$B$67,'May - registro gastos'!$F$3:$F$300,May!B75)</f>
        <v>0</v>
      </c>
      <c r="F75" s="12">
        <f t="shared" si="10"/>
        <v>0</v>
      </c>
      <c r="G75" s="20"/>
      <c r="H75" s="30"/>
      <c r="I75" s="10"/>
      <c r="J75" s="31"/>
      <c r="K75" s="31">
        <f>SUMIFS('May - registro gastos'!$D$3:$D$300,'May - registro gastos'!$E$3:$E$300,May!$H$67,'May - registro gastos'!$F$3:$F$300,May!H75)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SUMIFS('May - registro gastos'!$D$3:$D$300,'May - registro gastos'!$E$3:$E$300,May!$B$67,'May - registro gastos'!$F$3:$F$300,May!B76)</f>
        <v>0</v>
      </c>
      <c r="F76" s="12">
        <f t="shared" si="10"/>
        <v>0</v>
      </c>
      <c r="G76" s="20"/>
      <c r="H76" s="30"/>
      <c r="I76" s="10"/>
      <c r="J76" s="31"/>
      <c r="K76" s="31">
        <f>SUMIFS('May - registro gastos'!$D$3:$D$300,'May - registro gastos'!$E$3:$E$300,May!$H$67,'May - registro gastos'!$F$3:$F$300,May!H76)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SUMIFS('May - registro gastos'!$D$3:$D$300,'May - registro gastos'!$E$3:$E$300,May!$B$67,'May - registro gastos'!$F$3:$F$300,May!B77)</f>
        <v>0</v>
      </c>
      <c r="F77" s="12">
        <f t="shared" si="10"/>
        <v>0</v>
      </c>
      <c r="G77" s="20"/>
      <c r="H77" s="30"/>
      <c r="I77" s="10"/>
      <c r="J77" s="31"/>
      <c r="K77" s="31">
        <f>SUMIFS('May - registro gastos'!$D$3:$D$300,'May - registro gastos'!$E$3:$E$300,May!$H$67,'May - registro gastos'!$F$3:$F$300,May!H77)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SUMIFS('May - registro gastos'!$D$3:$D$300,'May - registro gastos'!$E$3:$E$300,May!$B$67,'May - registro gastos'!$F$3:$F$300,May!B78)</f>
        <v>0</v>
      </c>
      <c r="F78" s="15">
        <f t="shared" si="10"/>
        <v>0</v>
      </c>
      <c r="G78" s="20"/>
      <c r="H78" s="13"/>
      <c r="I78" s="40"/>
      <c r="J78" s="14"/>
      <c r="K78" s="14">
        <f>SUMIFS('May - registro gastos'!$D$3:$D$300,'May - registro gastos'!$E$3:$E$300,May!$H$67,'May - registro gastos'!$F$3:$F$300,May!H78)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SUMIFS('May - registro gastos'!$D$3:$D$300,'May - registro gastos'!$E$3:$E$300,May!$B$81,'May - registro gastos'!$F$3:$F$300,May!B82)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SUMIFS('May - registro gastos'!$D$3:$D$300,'May - registro gastos'!$E$3:$E$300,May!$H$81,'May - registro gastos'!$F$3:$F$300,May!H82)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SUMIFS('May - registro gastos'!$D$3:$D$300,'May - registro gastos'!$E$3:$E$300,May!$B$81,'May - registro gastos'!$F$3:$F$300,May!B83)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SUMIFS('May - registro gastos'!$D$3:$D$300,'May - registro gastos'!$E$3:$E$300,May!$H$81,'May - registro gastos'!$F$3:$F$300,May!H83)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SUMIFS('May - registro gastos'!$D$3:$D$300,'May - registro gastos'!$E$3:$E$300,May!$B$81,'May - registro gastos'!$F$3:$F$300,May!B84)</f>
        <v>0</v>
      </c>
      <c r="F84" s="12">
        <f t="shared" si="12"/>
        <v>0</v>
      </c>
      <c r="G84" s="20"/>
      <c r="H84" s="9"/>
      <c r="I84" s="10"/>
      <c r="J84" s="11"/>
      <c r="K84" s="11">
        <f>SUMIFS('May - registro gastos'!$D$3:$D$300,'May - registro gastos'!$E$3:$E$300,May!$H$81,'May - registro gastos'!$F$3:$F$300,May!H84)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SUMIFS('May - registro gastos'!$D$3:$D$300,'May - registro gastos'!$E$3:$E$300,May!$B$81,'May - registro gastos'!$F$3:$F$300,May!B85)</f>
        <v>0</v>
      </c>
      <c r="F85" s="12">
        <f>D85-E85</f>
        <v>0</v>
      </c>
      <c r="G85" s="20"/>
      <c r="H85" s="9"/>
      <c r="I85" s="10"/>
      <c r="J85" s="11"/>
      <c r="K85" s="11">
        <f>SUMIFS('May - registro gastos'!$D$3:$D$300,'May - registro gastos'!$E$3:$E$300,May!$H$81,'May - registro gastos'!$F$3:$F$300,May!H85)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SUMIFS('May - registro gastos'!$D$3:$D$300,'May - registro gastos'!$E$3:$E$300,May!$B$81,'May - registro gastos'!$F$3:$F$300,May!B86)</f>
        <v>0</v>
      </c>
      <c r="F86" s="12">
        <f t="shared" si="12"/>
        <v>0</v>
      </c>
      <c r="G86" s="20"/>
      <c r="H86" s="9"/>
      <c r="I86" s="10"/>
      <c r="J86" s="11"/>
      <c r="K86" s="11">
        <f>SUMIFS('May - registro gastos'!$D$3:$D$300,'May - registro gastos'!$E$3:$E$300,May!$H$81,'May - registro gastos'!$F$3:$F$300,May!H86)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SUMIFS('May - registro gastos'!$D$3:$D$300,'May - registro gastos'!$E$3:$E$300,May!$B$81,'May - registro gastos'!$F$3:$F$300,May!B87)</f>
        <v>0</v>
      </c>
      <c r="F87" s="15">
        <f t="shared" si="12"/>
        <v>0</v>
      </c>
      <c r="G87" s="20"/>
      <c r="H87" s="13"/>
      <c r="I87" s="40"/>
      <c r="J87" s="14"/>
      <c r="K87" s="14">
        <f>SUMIFS('May - registro gastos'!$D$3:$D$300,'May - registro gastos'!$E$3:$E$300,May!$H$81,'May - registro gastos'!$F$3:$F$300,May!H87)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SUMIFS('May - registro gastos'!$D$3:$D$300,'May - registro gastos'!$E$3:$E$300,May!$B$90,'May - registro gastos'!$F$3:$F$300,May!B91)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SUMIFS('May - registro gastos'!$D$3:$D$300,'May - registro gastos'!$E$3:$E$300,May!$H$90,'May - registro gastos'!$F$3:$F$300,May!H91)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SUMIFS('May - registro gastos'!$D$3:$D$300,'May - registro gastos'!$E$3:$E$300,May!$B$90,'May - registro gastos'!$F$3:$F$300,May!B92)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SUMIFS('May - registro gastos'!$D$3:$D$300,'May - registro gastos'!$E$3:$E$300,May!$H$90,'May - registro gastos'!$F$3:$F$300,May!H92)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SUMIFS('May - registro gastos'!$D$3:$D$300,'May - registro gastos'!$E$3:$E$300,May!$B$90,'May - registro gastos'!$F$3:$F$300,May!B93)</f>
        <v>0</v>
      </c>
      <c r="F93" s="12">
        <f t="shared" si="15"/>
        <v>0</v>
      </c>
      <c r="G93" s="20"/>
      <c r="H93" s="9"/>
      <c r="I93" s="10"/>
      <c r="J93" s="11"/>
      <c r="K93" s="11">
        <f>SUMIFS('May - registro gastos'!$D$3:$D$300,'May - registro gastos'!$E$3:$E$300,May!$H$90,'May - registro gastos'!$F$3:$F$300,May!H93)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SUMIFS('May - registro gastos'!$D$3:$D$300,'May - registro gastos'!$E$3:$E$300,May!$B$90,'May - registro gastos'!$F$3:$F$300,May!B94)</f>
        <v>0</v>
      </c>
      <c r="F94" s="12">
        <f t="shared" si="15"/>
        <v>0</v>
      </c>
      <c r="G94" s="20"/>
      <c r="H94" s="9"/>
      <c r="I94" s="10"/>
      <c r="J94" s="11"/>
      <c r="K94" s="11">
        <f>SUMIFS('May - registro gastos'!$D$3:$D$300,'May - registro gastos'!$E$3:$E$300,May!$H$90,'May - registro gastos'!$F$3:$F$300,May!H94)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SUMIFS('May - registro gastos'!$D$3:$D$300,'May - registro gastos'!$E$3:$E$300,May!$B$90,'May - registro gastos'!$F$3:$F$300,May!B95)</f>
        <v>0</v>
      </c>
      <c r="F95" s="12">
        <f>D95-E95</f>
        <v>0</v>
      </c>
      <c r="G95" s="20"/>
      <c r="H95" s="9"/>
      <c r="I95" s="10"/>
      <c r="J95" s="11"/>
      <c r="K95" s="11">
        <f>SUMIFS('May - registro gastos'!$D$3:$D$300,'May - registro gastos'!$E$3:$E$300,May!$H$90,'May - registro gastos'!$F$3:$F$300,May!H95)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SUMIFS('May - registro gastos'!$D$3:$D$300,'May - registro gastos'!$E$3:$E$300,May!$B$90,'May - registro gastos'!$F$3:$F$300,May!B96)</f>
        <v>0</v>
      </c>
      <c r="F96" s="12">
        <f t="shared" si="15"/>
        <v>0</v>
      </c>
      <c r="G96" s="20"/>
      <c r="H96" s="9"/>
      <c r="I96" s="10"/>
      <c r="J96" s="11"/>
      <c r="K96" s="11">
        <f>SUMIFS('May - registro gastos'!$D$3:$D$300,'May - registro gastos'!$E$3:$E$300,May!$H$90,'May - registro gastos'!$F$3:$F$300,May!H96)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SUMIFS('May - registro gastos'!$D$3:$D$300,'May - registro gastos'!$E$3:$E$300,May!$B$90,'May - registro gastos'!$F$3:$F$300,May!B97)</f>
        <v>0</v>
      </c>
      <c r="F97" s="15">
        <f t="shared" si="15"/>
        <v>0</v>
      </c>
      <c r="G97" s="20"/>
      <c r="H97" s="13"/>
      <c r="I97" s="40"/>
      <c r="J97" s="14"/>
      <c r="K97" s="14">
        <f>SUMIFS('May - registro gastos'!$D$3:$D$300,'May - registro gastos'!$E$3:$E$300,May!$H$90,'May - registro gastos'!$F$3:$F$300,May!H97)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SUMIFS('May - registro gastos'!$D$3:$D$300,'May - registro gastos'!$E$3:$E$300,May!$B$100,'May - registro gastos'!$F$3:$F$300,May!B101)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SUMIFS('May - registro gastos'!$D$3:$D$300,'May - registro gastos'!$E$3:$E$300,May!$H$100,'May - registro gastos'!$F$3:$F$300,May!H101)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SUMIFS('May - registro gastos'!$D$3:$D$300,'May - registro gastos'!$E$3:$E$300,May!$B$100,'May - registro gastos'!$F$3:$F$300,May!B102)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SUMIFS('May - registro gastos'!$D$3:$D$300,'May - registro gastos'!$E$3:$E$300,May!$H$100,'May - registro gastos'!$F$3:$F$300,May!H102)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SUMIFS('May - registro gastos'!$D$3:$D$300,'May - registro gastos'!$E$3:$E$300,May!$B$100,'May - registro gastos'!$F$3:$F$300,May!B103)</f>
        <v>0</v>
      </c>
      <c r="F103" s="12">
        <f t="shared" si="16"/>
        <v>0</v>
      </c>
      <c r="G103" s="20"/>
      <c r="H103" s="9"/>
      <c r="I103" s="10"/>
      <c r="J103" s="11"/>
      <c r="K103" s="11">
        <f>SUMIFS('May - registro gastos'!$D$3:$D$300,'May - registro gastos'!$E$3:$E$300,May!$H$100,'May - registro gastos'!$F$3:$F$300,May!H103)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SUMIFS('May - registro gastos'!$D$3:$D$300,'May - registro gastos'!$E$3:$E$300,May!$B$100,'May - registro gastos'!$F$3:$F$300,May!B104)</f>
        <v>0</v>
      </c>
      <c r="F104" s="12">
        <f t="shared" si="16"/>
        <v>0</v>
      </c>
      <c r="G104" s="20"/>
      <c r="H104" s="9"/>
      <c r="I104" s="10"/>
      <c r="J104" s="11"/>
      <c r="K104" s="11">
        <f>SUMIFS('May - registro gastos'!$D$3:$D$300,'May - registro gastos'!$E$3:$E$300,May!$H$100,'May - registro gastos'!$F$3:$F$300,May!H104)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SUMIFS('May - registro gastos'!$D$3:$D$300,'May - registro gastos'!$E$3:$E$300,May!$B$100,'May - registro gastos'!$F$3:$F$300,May!B105)</f>
        <v>0</v>
      </c>
      <c r="F105" s="12">
        <f t="shared" si="16"/>
        <v>0</v>
      </c>
      <c r="G105" s="20"/>
      <c r="H105" s="9"/>
      <c r="I105" s="10"/>
      <c r="J105" s="11"/>
      <c r="K105" s="11">
        <f>SUMIFS('May - registro gastos'!$D$3:$D$300,'May - registro gastos'!$E$3:$E$300,May!$H$100,'May - registro gastos'!$F$3:$F$300,May!H105)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SUMIFS('May - registro gastos'!$D$3:$D$300,'May - registro gastos'!$E$3:$E$300,May!$B$100,'May - registro gastos'!$F$3:$F$300,May!B106)</f>
        <v>0</v>
      </c>
      <c r="F106" s="12">
        <f t="shared" si="16"/>
        <v>0</v>
      </c>
      <c r="G106" s="20"/>
      <c r="H106" s="9"/>
      <c r="I106" s="10"/>
      <c r="J106" s="11"/>
      <c r="K106" s="11">
        <f>SUMIFS('May - registro gastos'!$D$3:$D$300,'May - registro gastos'!$E$3:$E$300,May!$H$100,'May - registro gastos'!$F$3:$F$300,May!H106)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SUMIFS('May - registro gastos'!$D$3:$D$300,'May - registro gastos'!$E$3:$E$300,May!$B$100,'May - registro gastos'!$F$3:$F$300,May!B107)</f>
        <v>0</v>
      </c>
      <c r="F107" s="15">
        <f>D107-E107</f>
        <v>0</v>
      </c>
      <c r="G107" s="20"/>
      <c r="H107" s="13"/>
      <c r="I107" s="40"/>
      <c r="J107" s="14"/>
      <c r="K107" s="14">
        <f>SUMIFS('May - registro gastos'!$D$3:$D$300,'May - registro gastos'!$E$3:$E$300,May!$H$100,'May - registro gastos'!$F$3:$F$300,May!H107)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8 K13:K108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25BD91B-A613-6A4E-A7F6-7B224CE21D2E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50CE1D68-E1EC-0545-B7DD-4138F9EE4620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8054-BFC2-FF4A-B0DA-91F4D52B77DF}">
  <sheetPr codeName="Hoja7">
    <tabColor rgb="FFFD9F00"/>
  </sheetPr>
  <dimension ref="B2:AR312"/>
  <sheetViews>
    <sheetView showGridLines="0" zoomScale="110" zoomScaleNormal="11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May!$B$12</f>
        <v>NECESIDADES BÁSICAS</v>
      </c>
      <c r="AO4" s="84" t="str">
        <f>May!B13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May!$B$12</f>
        <v>NECESIDADES BÁSICAS</v>
      </c>
      <c r="AO5" s="86" t="str">
        <f>May!B14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May!$B$12</f>
        <v>NECESIDADES BÁSICAS</v>
      </c>
      <c r="AO6" s="86" t="str">
        <f>May!B15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May!$B$12</f>
        <v>NECESIDADES BÁSICAS</v>
      </c>
      <c r="AO7" s="86" t="str">
        <f>May!B16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May!$B$12</f>
        <v>NECESIDADES BÁSICAS</v>
      </c>
      <c r="AO8" s="86" t="str">
        <f>May!B17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May!$B$12</f>
        <v>NECESIDADES BÁSICAS</v>
      </c>
      <c r="AO9" s="86" t="str">
        <f>May!B18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May!$B$12</f>
        <v>NECESIDADES BÁSICAS</v>
      </c>
      <c r="AO10" s="86" t="str">
        <f>May!B19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May!$B$12</f>
        <v>NECESIDADES BÁSICAS</v>
      </c>
      <c r="AO11" s="86" t="str">
        <f>May!B20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May!$B$12</f>
        <v>NECESIDADES BÁSICAS</v>
      </c>
      <c r="AO12" s="86" t="str">
        <f>May!B21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May!$B$12</f>
        <v>NECESIDADES BÁSICAS</v>
      </c>
      <c r="AO13" s="86">
        <f>May!B22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May!$B$12</f>
        <v>NECESIDADES BÁSICAS</v>
      </c>
      <c r="AO14" s="86">
        <f>May!B23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May!$B$12</f>
        <v>NECESIDADES BÁSICAS</v>
      </c>
      <c r="AO15" s="88">
        <f>May!B24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May!$H$12</f>
        <v>AHORROS</v>
      </c>
      <c r="AO16" s="84" t="str">
        <f>May!H13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May!$H$12</f>
        <v>AHORROS</v>
      </c>
      <c r="AO17" s="86" t="str">
        <f>May!H14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May!$H$12</f>
        <v>AHORROS</v>
      </c>
      <c r="AO18" s="86" t="str">
        <f>May!H15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May!$H$12</f>
        <v>AHORROS</v>
      </c>
      <c r="AO19" s="86" t="str">
        <f>May!H16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May!$H$12</f>
        <v>AHORROS</v>
      </c>
      <c r="AO20" s="86" t="str">
        <f>May!H17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May!$H$12</f>
        <v>AHORROS</v>
      </c>
      <c r="AO21" s="86">
        <f>May!H18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May!$H$12</f>
        <v>AHORROS</v>
      </c>
      <c r="AO22" s="86">
        <f>May!H19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May!$H$12</f>
        <v>AHORROS</v>
      </c>
      <c r="AO23" s="86">
        <f>May!H20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May!$H$12</f>
        <v>AHORROS</v>
      </c>
      <c r="AO24" s="86">
        <f>May!H21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May!$H$12</f>
        <v>AHORROS</v>
      </c>
      <c r="AO25" s="86">
        <f>May!H22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May!$H$12</f>
        <v>AHORROS</v>
      </c>
      <c r="AO26" s="86">
        <f>May!H23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May!$H$12</f>
        <v>AHORROS</v>
      </c>
      <c r="AO27" s="88">
        <f>May!H24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May!$B$27</f>
        <v>DEUDAS</v>
      </c>
      <c r="AO28" s="84" t="str">
        <f>May!B28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May!$B$27</f>
        <v>DEUDAS</v>
      </c>
      <c r="AO29" s="86" t="str">
        <f>May!B29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May!$B$27</f>
        <v>DEUDAS</v>
      </c>
      <c r="AO30" s="86" t="str">
        <f>May!B30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May!$B$27</f>
        <v>DEUDAS</v>
      </c>
      <c r="AO31" s="86" t="str">
        <f>May!B31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May!$B$27</f>
        <v>DEUDAS</v>
      </c>
      <c r="AO32" s="86" t="str">
        <f>May!B32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May!$B$27</f>
        <v>DEUDAS</v>
      </c>
      <c r="AO33" s="86">
        <f>May!B33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May!$B$27</f>
        <v>DEUDAS</v>
      </c>
      <c r="AO34" s="86">
        <f>May!B34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May!$B$27</f>
        <v>DEUDAS</v>
      </c>
      <c r="AO35" s="88">
        <f>May!B35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May!$H$27</f>
        <v>REGALOS/ CARIDAD</v>
      </c>
      <c r="AO36" s="84" t="str">
        <f>May!H28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May!$H$27</f>
        <v>REGALOS/ CARIDAD</v>
      </c>
      <c r="AO37" s="86" t="str">
        <f>May!H29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May!$H$27</f>
        <v>REGALOS/ CARIDAD</v>
      </c>
      <c r="AO38" s="86" t="str">
        <f>May!H30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May!$H$27</f>
        <v>REGALOS/ CARIDAD</v>
      </c>
      <c r="AO39" s="86">
        <f>May!H31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May!$H$27</f>
        <v>REGALOS/ CARIDAD</v>
      </c>
      <c r="AO40" s="86">
        <f>May!H32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May!$H$27</f>
        <v>REGALOS/ CARIDAD</v>
      </c>
      <c r="AO41" s="86">
        <f>May!H33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May!$H$27</f>
        <v>REGALOS/ CARIDAD</v>
      </c>
      <c r="AO42" s="86">
        <f>May!H34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May!$H$27</f>
        <v>REGALOS/ CARIDAD</v>
      </c>
      <c r="AO43" s="88">
        <f>May!H35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May!$B$38</f>
        <v>CASA</v>
      </c>
      <c r="AO44" s="84" t="str">
        <f>May!B39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May!$B$38</f>
        <v>CASA</v>
      </c>
      <c r="AO45" s="86" t="str">
        <f>May!B40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May!$B$38</f>
        <v>CASA</v>
      </c>
      <c r="AO46" s="86" t="str">
        <f>May!B41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May!$B$38</f>
        <v>CASA</v>
      </c>
      <c r="AO47" s="86" t="str">
        <f>May!B42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May!$B$38</f>
        <v>CASA</v>
      </c>
      <c r="AO48" s="86">
        <f>May!B43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May!$B$38</f>
        <v>CASA</v>
      </c>
      <c r="AO49" s="86">
        <f>May!B44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May!$B$38</f>
        <v>CASA</v>
      </c>
      <c r="AO50" s="88">
        <f>May!B45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May!$H$38</f>
        <v>TRANSPORTE</v>
      </c>
      <c r="AO51" s="84" t="str">
        <f>May!H39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May!$H$38</f>
        <v>TRANSPORTE</v>
      </c>
      <c r="AO52" s="86" t="str">
        <f>May!H40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May!$H$38</f>
        <v>TRANSPORTE</v>
      </c>
      <c r="AO53" s="86" t="str">
        <f>May!H41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May!$H$38</f>
        <v>TRANSPORTE</v>
      </c>
      <c r="AO54" s="86" t="str">
        <f>May!H42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May!$H$38</f>
        <v>TRANSPORTE</v>
      </c>
      <c r="AO55" s="86" t="str">
        <f>May!H43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May!$H$38</f>
        <v>TRANSPORTE</v>
      </c>
      <c r="AO56" s="86">
        <f>May!H44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May!$H$38</f>
        <v>TRANSPORTE</v>
      </c>
      <c r="AO57" s="88">
        <f>May!H45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May!$B$48</f>
        <v>ALIMENTACIÓN</v>
      </c>
      <c r="AO58" s="84" t="str">
        <f>May!B49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May!$B$48</f>
        <v>ALIMENTACIÓN</v>
      </c>
      <c r="AO59" s="86" t="str">
        <f>May!B50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May!$B$48</f>
        <v>ALIMENTACIÓN</v>
      </c>
      <c r="AO60" s="86">
        <f>May!B51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May!$B$48</f>
        <v>ALIMENTACIÓN</v>
      </c>
      <c r="AO61" s="86">
        <f>May!B52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May!$B$48</f>
        <v>ALIMENTACIÓN</v>
      </c>
      <c r="AO62" s="86">
        <f>May!B53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May!$B$48</f>
        <v>ALIMENTACIÓN</v>
      </c>
      <c r="AO63" s="88">
        <f>May!B54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May!$H$48</f>
        <v>SEGUROS</v>
      </c>
      <c r="AO64" s="84" t="str">
        <f>May!H49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May!$H$48</f>
        <v>SEGUROS</v>
      </c>
      <c r="AO65" s="86" t="str">
        <f>May!H50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May!$H$48</f>
        <v>SEGUROS</v>
      </c>
      <c r="AO66" s="86" t="str">
        <f>May!H51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May!$H$48</f>
        <v>SEGUROS</v>
      </c>
      <c r="AO67" s="86" t="str">
        <f>May!H52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May!$H$48</f>
        <v>SEGUROS</v>
      </c>
      <c r="AO68" s="86">
        <f>May!H53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May!$H$48</f>
        <v>SEGUROS</v>
      </c>
      <c r="AO69" s="88">
        <f>May!H54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May!$B$57</f>
        <v>SALUD</v>
      </c>
      <c r="AO70" s="84" t="str">
        <f>May!B58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May!$B$57</f>
        <v>SALUD</v>
      </c>
      <c r="AO71" s="86" t="str">
        <f>May!B59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May!$B$57</f>
        <v>SALUD</v>
      </c>
      <c r="AO72" s="86" t="str">
        <f>May!B60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May!$B$57</f>
        <v>SALUD</v>
      </c>
      <c r="AO73" s="86">
        <f>May!B61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May!$B$57</f>
        <v>SALUD</v>
      </c>
      <c r="AO74" s="86">
        <f>May!B62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May!$B$57</f>
        <v>SALUD</v>
      </c>
      <c r="AO75" s="86">
        <f>May!B63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May!$B$57</f>
        <v>SALUD</v>
      </c>
      <c r="AO76" s="88">
        <f>May!B64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May!$H$57</f>
        <v>CUIDADO PERSONAL</v>
      </c>
      <c r="AO77" s="84" t="str">
        <f>May!H58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May!$H$57</f>
        <v>CUIDADO PERSONAL</v>
      </c>
      <c r="AO78" s="86" t="str">
        <f>May!H59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May!$H$57</f>
        <v>CUIDADO PERSONAL</v>
      </c>
      <c r="AO79" s="86" t="str">
        <f>May!H60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May!$H$57</f>
        <v>CUIDADO PERSONAL</v>
      </c>
      <c r="AO80" s="86" t="str">
        <f>May!H61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May!$H$57</f>
        <v>CUIDADO PERSONAL</v>
      </c>
      <c r="AO81" s="86" t="str">
        <f>May!H62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May!$H$57</f>
        <v>CUIDADO PERSONAL</v>
      </c>
      <c r="AO82" s="86">
        <f>May!H63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May!$H$57</f>
        <v>CUIDADO PERSONAL</v>
      </c>
      <c r="AO83" s="88">
        <f>May!H64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May!$B$67</f>
        <v>ENTRETENIMIENTO</v>
      </c>
      <c r="AO84" s="84" t="str">
        <f>May!B68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May!$B$67</f>
        <v>ENTRETENIMIENTO</v>
      </c>
      <c r="AO85" s="86" t="str">
        <f>May!B69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May!$B$67</f>
        <v>ENTRETENIMIENTO</v>
      </c>
      <c r="AO86" s="86" t="str">
        <f>May!B70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May!$B$67</f>
        <v>ENTRETENIMIENTO</v>
      </c>
      <c r="AO87" s="86" t="str">
        <f>May!B71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May!$B$67</f>
        <v>ENTRETENIMIENTO</v>
      </c>
      <c r="AO88" s="86" t="str">
        <f>May!B72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May!$B$67</f>
        <v>ENTRETENIMIENTO</v>
      </c>
      <c r="AO89" s="86" t="str">
        <f>May!B73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May!$B$67</f>
        <v>ENTRETENIMIENTO</v>
      </c>
      <c r="AO90" s="86" t="str">
        <f>May!B74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May!$B$67</f>
        <v>ENTRETENIMIENTO</v>
      </c>
      <c r="AO91" s="86">
        <f>May!B75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May!$B$67</f>
        <v>ENTRETENIMIENTO</v>
      </c>
      <c r="AO92" s="86">
        <f>May!B76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May!$B$67</f>
        <v>ENTRETENIMIENTO</v>
      </c>
      <c r="AO93" s="86">
        <f>May!B77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May!$B$67</f>
        <v>ENTRETENIMIENTO</v>
      </c>
      <c r="AO94" s="88">
        <f>May!B78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May!$H$67</f>
        <v>HIJOS</v>
      </c>
      <c r="AO95" s="84" t="str">
        <f>May!H68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May!$H$67</f>
        <v>HIJOS</v>
      </c>
      <c r="AO96" s="86" t="str">
        <f>May!H69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May!$H$67</f>
        <v>HIJOS</v>
      </c>
      <c r="AO97" s="86" t="str">
        <f>May!H70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May!$H$67</f>
        <v>HIJOS</v>
      </c>
      <c r="AO98" s="86" t="str">
        <f>May!H71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May!$H$67</f>
        <v>HIJOS</v>
      </c>
      <c r="AO99" s="86">
        <f>May!H72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May!$H$67</f>
        <v>HIJOS</v>
      </c>
      <c r="AO100" s="86">
        <f>May!H73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May!$H$67</f>
        <v>HIJOS</v>
      </c>
      <c r="AO101" s="86">
        <f>May!H74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May!$H$67</f>
        <v>HIJOS</v>
      </c>
      <c r="AO102" s="86">
        <f>May!H75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May!$H$67</f>
        <v>HIJOS</v>
      </c>
      <c r="AO103" s="86">
        <f>May!H76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May!$H$67</f>
        <v>HIJOS</v>
      </c>
      <c r="AO104" s="86">
        <f>May!H77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May!$H$67</f>
        <v>HIJOS</v>
      </c>
      <c r="AO105" s="88">
        <f>May!H78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May!$B$81</f>
        <v>MASCOTA</v>
      </c>
      <c r="AO106" s="84" t="str">
        <f>May!B82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May!$B$81</f>
        <v>MASCOTA</v>
      </c>
      <c r="AO107" s="86" t="str">
        <f>May!B83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May!$B$81</f>
        <v>MASCOTA</v>
      </c>
      <c r="AO108" s="86" t="str">
        <f>May!B84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May!$B$81</f>
        <v>MASCOTA</v>
      </c>
      <c r="AO109" s="86" t="str">
        <f>May!B85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May!$B$81</f>
        <v>MASCOTA</v>
      </c>
      <c r="AO110" s="86">
        <f>May!B86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May!$B$81</f>
        <v>MASCOTA</v>
      </c>
      <c r="AO111" s="88">
        <f>May!B87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May!$H$81</f>
        <v>OTROS 1</v>
      </c>
      <c r="AO112" s="84">
        <f>May!H82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May!$H$81</f>
        <v>OTROS 1</v>
      </c>
      <c r="AO113" s="86">
        <f>May!H83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May!$H$81</f>
        <v>OTROS 1</v>
      </c>
      <c r="AO114" s="86">
        <f>May!H84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May!$H$81</f>
        <v>OTROS 1</v>
      </c>
      <c r="AO115" s="86">
        <f>May!H85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May!$H$81</f>
        <v>OTROS 1</v>
      </c>
      <c r="AO116" s="86">
        <f>May!H86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May!$H$81</f>
        <v>OTROS 1</v>
      </c>
      <c r="AO117" s="88">
        <f>May!H87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May!$B$90</f>
        <v>OTROS 2</v>
      </c>
      <c r="AO118" s="84">
        <f>May!B91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May!$B$90</f>
        <v>OTROS 2</v>
      </c>
      <c r="AO119" s="86">
        <f>May!B92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May!$B$90</f>
        <v>OTROS 2</v>
      </c>
      <c r="AO120" s="86">
        <f>May!B93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May!$B$90</f>
        <v>OTROS 2</v>
      </c>
      <c r="AO121" s="86">
        <f>May!B94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May!$B$90</f>
        <v>OTROS 2</v>
      </c>
      <c r="AO122" s="86">
        <f>May!B95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May!$B$90</f>
        <v>OTROS 2</v>
      </c>
      <c r="AO123" s="88">
        <f>May!B96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May!$H$90</f>
        <v>OTROS 3</v>
      </c>
      <c r="AO124" s="84">
        <f>May!H91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May!$H$90</f>
        <v>OTROS 3</v>
      </c>
      <c r="AO125" s="86">
        <f>May!H92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May!$H$90</f>
        <v>OTROS 3</v>
      </c>
      <c r="AO126" s="86">
        <f>May!H93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May!$H$90</f>
        <v>OTROS 3</v>
      </c>
      <c r="AO127" s="86">
        <f>May!H94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May!$H$90</f>
        <v>OTROS 3</v>
      </c>
      <c r="AO128" s="86">
        <f>May!H95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May!$H$90</f>
        <v>OTROS 3</v>
      </c>
      <c r="AO129" s="88">
        <f>May!H96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May!$B$100</f>
        <v>OTROS 4</v>
      </c>
      <c r="AO130" s="84">
        <f>May!B101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May!$B$100</f>
        <v>OTROS 4</v>
      </c>
      <c r="AO131" s="86">
        <f>May!B102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May!$B$100</f>
        <v>OTROS 4</v>
      </c>
      <c r="AO132" s="86">
        <f>May!B103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May!$B$100</f>
        <v>OTROS 4</v>
      </c>
      <c r="AO133" s="86">
        <f>May!B104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May!$B$100</f>
        <v>OTROS 4</v>
      </c>
      <c r="AO134" s="86">
        <f>May!B105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May!$B$100</f>
        <v>OTROS 4</v>
      </c>
      <c r="AO135" s="88">
        <f>May!B106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May!$H$100</f>
        <v>OTROS 5</v>
      </c>
      <c r="AO136" s="84">
        <f>May!H101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May!$H$100</f>
        <v>OTROS 5</v>
      </c>
      <c r="AO137" s="86">
        <f>May!H102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May!$H$100</f>
        <v>OTROS 5</v>
      </c>
      <c r="AO138" s="86">
        <f>May!H103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May!$H$100</f>
        <v>OTROS 5</v>
      </c>
      <c r="AO139" s="86">
        <f>May!H104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May!$H$100</f>
        <v>OTROS 5</v>
      </c>
      <c r="AO140" s="86">
        <f>May!H105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May!$H$100</f>
        <v>OTROS 5</v>
      </c>
      <c r="AO141" s="88">
        <f>May!H106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tFZnAbDuZQlKfLQmKLZu90RfzWPukAC+gS3Lh2CKqDP2c4q98/vvbLQSuoekU6VpmcOtsNtsJfG1H6ZYPC12kQ==" saltValue="fLj0d3HeJdUXDzAF2Gofzw==" spinCount="100000" sheet="1" selectLockedCells="1"/>
  <conditionalFormatting sqref="J1:J300 J313:J1048576">
    <cfRule type="containsText" dxfId="15" priority="1" operator="containsText" text="Revisa">
      <formula>NOT(ISERROR(SEARCH("Revisa",J1)))</formula>
    </cfRule>
    <cfRule type="beginsWith" dxfId="14" priority="2" operator="beginsWith" text="Es">
      <formula>LEFT(J1,LEN("Es"))="Es"</formula>
    </cfRule>
  </conditionalFormatting>
  <dataValidations count="2">
    <dataValidation type="list" allowBlank="1" showInputMessage="1" showErrorMessage="1" sqref="E3:E300" xr:uid="{DDBF5963-6C5B-0247-B1C8-F04F41B7AEDA}">
      <formula1>$AN$4:$AN$141</formula1>
    </dataValidation>
    <dataValidation type="list" allowBlank="1" showInputMessage="1" showErrorMessage="1" sqref="F3:F300" xr:uid="{B056D4D8-ADCF-0544-8533-BCCA322C69B6}">
      <formula1>$AO$4:$AO$141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EF7522"/>
    <pageSetUpPr autoPageBreaks="0" fitToPage="1"/>
  </sheetPr>
  <dimension ref="B1:U110"/>
  <sheetViews>
    <sheetView showGridLines="0" topLeftCell="A84" zoomScaleNormal="100" zoomScalePageLayoutView="80" workbookViewId="0">
      <selection activeCell="K101" sqref="K101:K108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SUMIFS('Jun - registro gastos'!$D$3:$D$300,'Jun - registro gastos'!$E$3:$E$300,Jun!$B$12,'Jun - registro gastos'!$F$3:$F$300,Jun!B13)</f>
        <v>0</v>
      </c>
      <c r="F13" s="12">
        <f>D13-E13</f>
        <v>0</v>
      </c>
      <c r="H13" s="9" t="s">
        <v>13</v>
      </c>
      <c r="I13" s="10" t="s">
        <v>45</v>
      </c>
      <c r="J13" s="11"/>
      <c r="K13" s="11">
        <f>SUMIFS('Jun - registro gastos'!$D$3:$D$300,'Jun - registro gastos'!$E$3:$E$300,Jun!$H$12,'Jun - registro gastos'!$F$3:$F$300,Jun!H13)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SUMIFS('Jun - registro gastos'!$D$3:$D$300,'Jun - registro gastos'!$E$3:$E$300,Jun!$B$12,'Jun - registro gastos'!$F$3:$F$300,Jun!B14)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SUMIFS('Jun - registro gastos'!$D$3:$D$300,'Jun - registro gastos'!$E$3:$E$300,Jun!$H$12,'Jun - registro gastos'!$F$3:$F$300,Jun!H14)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SUMIFS('Jun - registro gastos'!$D$3:$D$300,'Jun - registro gastos'!$E$3:$E$300,Jun!$B$12,'Jun - registro gastos'!$F$3:$F$300,Jun!B15)</f>
        <v>0</v>
      </c>
      <c r="F15" s="12">
        <f t="shared" si="1"/>
        <v>0</v>
      </c>
      <c r="H15" s="9" t="s">
        <v>11</v>
      </c>
      <c r="I15" s="10"/>
      <c r="J15" s="39"/>
      <c r="K15" s="11">
        <f>SUMIFS('Jun - registro gastos'!$D$3:$D$300,'Jun - registro gastos'!$E$3:$E$300,Jun!$H$12,'Jun - registro gastos'!$F$3:$F$300,Jun!H15)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SUMIFS('Jun - registro gastos'!$D$3:$D$300,'Jun - registro gastos'!$E$3:$E$300,Jun!$B$12,'Jun - registro gastos'!$F$3:$F$300,Jun!B16)</f>
        <v>0</v>
      </c>
      <c r="F16" s="12">
        <f t="shared" si="1"/>
        <v>0</v>
      </c>
      <c r="H16" s="9" t="s">
        <v>10</v>
      </c>
      <c r="I16" s="10"/>
      <c r="J16" s="11"/>
      <c r="K16" s="11">
        <f>SUMIFS('Jun - registro gastos'!$D$3:$D$300,'Jun - registro gastos'!$E$3:$E$300,Jun!$H$12,'Jun - registro gastos'!$F$3:$F$300,Jun!H16)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SUMIFS('Jun - registro gastos'!$D$3:$D$300,'Jun - registro gastos'!$E$3:$E$300,Jun!$B$12,'Jun - registro gastos'!$F$3:$F$300,Jun!B17)</f>
        <v>0</v>
      </c>
      <c r="F17" s="12">
        <f t="shared" si="1"/>
        <v>0</v>
      </c>
      <c r="H17" s="9" t="s">
        <v>9</v>
      </c>
      <c r="I17" s="10"/>
      <c r="J17" s="11"/>
      <c r="K17" s="11">
        <f>SUMIFS('Jun - registro gastos'!$D$3:$D$300,'Jun - registro gastos'!$E$3:$E$300,Jun!$H$12,'Jun - registro gastos'!$F$3:$F$300,Jun!H17)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SUMIFS('Jun - registro gastos'!$D$3:$D$300,'Jun - registro gastos'!$E$3:$E$300,Jun!$B$12,'Jun - registro gastos'!$F$3:$F$300,Jun!B18)</f>
        <v>0</v>
      </c>
      <c r="F18" s="12">
        <f t="shared" si="1"/>
        <v>0</v>
      </c>
      <c r="H18" s="9"/>
      <c r="I18" s="10"/>
      <c r="J18" s="11"/>
      <c r="K18" s="11">
        <f>SUMIFS('Jun - registro gastos'!$D$3:$D$300,'Jun - registro gastos'!$E$3:$E$300,Jun!$H$12,'Jun - registro gastos'!$F$3:$F$300,Jun!H18)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SUMIFS('Jun - registro gastos'!$D$3:$D$300,'Jun - registro gastos'!$E$3:$E$300,Jun!$B$12,'Jun - registro gastos'!$F$3:$F$300,Jun!B19)</f>
        <v>0</v>
      </c>
      <c r="F19" s="12">
        <f t="shared" si="1"/>
        <v>0</v>
      </c>
      <c r="H19" s="9"/>
      <c r="I19" s="10"/>
      <c r="J19" s="11"/>
      <c r="K19" s="11">
        <f>SUMIFS('Jun - registro gastos'!$D$3:$D$300,'Jun - registro gastos'!$E$3:$E$300,Jun!$H$12,'Jun - registro gastos'!$F$3:$F$300,Jun!H19)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SUMIFS('Jun - registro gastos'!$D$3:$D$300,'Jun - registro gastos'!$E$3:$E$300,Jun!$B$12,'Jun - registro gastos'!$F$3:$F$300,Jun!B20)</f>
        <v>0</v>
      </c>
      <c r="F20" s="12">
        <f t="shared" si="1"/>
        <v>0</v>
      </c>
      <c r="H20" s="9"/>
      <c r="I20" s="10"/>
      <c r="J20" s="11"/>
      <c r="K20" s="11">
        <f>SUMIFS('Jun - registro gastos'!$D$3:$D$300,'Jun - registro gastos'!$E$3:$E$300,Jun!$H$12,'Jun - registro gastos'!$F$3:$F$300,Jun!H20)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SUMIFS('Jun - registro gastos'!$D$3:$D$300,'Jun - registro gastos'!$E$3:$E$300,Jun!$B$12,'Jun - registro gastos'!$F$3:$F$300,Jun!B21)</f>
        <v>0</v>
      </c>
      <c r="F21" s="12">
        <f t="shared" si="1"/>
        <v>0</v>
      </c>
      <c r="H21" s="9"/>
      <c r="I21" s="10"/>
      <c r="J21" s="11"/>
      <c r="K21" s="11">
        <f>SUMIFS('Jun - registro gastos'!$D$3:$D$300,'Jun - registro gastos'!$E$3:$E$300,Jun!$H$12,'Jun - registro gastos'!$F$3:$F$300,Jun!H21)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SUMIFS('Jun - registro gastos'!$D$3:$D$300,'Jun - registro gastos'!$E$3:$E$300,Jun!$B$12,'Jun - registro gastos'!$F$3:$F$300,Jun!B22)</f>
        <v>0</v>
      </c>
      <c r="F22" s="12">
        <f t="shared" si="1"/>
        <v>0</v>
      </c>
      <c r="H22" s="9"/>
      <c r="I22" s="10"/>
      <c r="J22" s="11"/>
      <c r="K22" s="11">
        <f>SUMIFS('Jun - registro gastos'!$D$3:$D$300,'Jun - registro gastos'!$E$3:$E$300,Jun!$H$12,'Jun - registro gastos'!$F$3:$F$300,Jun!H22)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SUMIFS('Jun - registro gastos'!$D$3:$D$300,'Jun - registro gastos'!$E$3:$E$300,Jun!$B$12,'Jun - registro gastos'!$F$3:$F$300,Jun!B23)</f>
        <v>0</v>
      </c>
      <c r="F23" s="12">
        <f t="shared" si="1"/>
        <v>0</v>
      </c>
      <c r="H23" s="9"/>
      <c r="I23" s="10"/>
      <c r="J23" s="11"/>
      <c r="K23" s="11">
        <f>SUMIFS('Jun - registro gastos'!$D$3:$D$300,'Jun - registro gastos'!$E$3:$E$300,Jun!$H$12,'Jun - registro gastos'!$F$3:$F$300,Jun!H23)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SUMIFS('Jun - registro gastos'!$D$3:$D$300,'Jun - registro gastos'!$E$3:$E$300,Jun!$B$12,'Jun - registro gastos'!$F$3:$F$300,Jun!B24)</f>
        <v>0</v>
      </c>
      <c r="F24" s="15">
        <f t="shared" si="1"/>
        <v>0</v>
      </c>
      <c r="H24" s="13"/>
      <c r="I24" s="40"/>
      <c r="J24" s="14"/>
      <c r="K24" s="14">
        <f>SUMIFS('Jun - registro gastos'!$D$3:$D$300,'Jun - registro gastos'!$E$3:$E$300,Jun!$H$12,'Jun - registro gastos'!$F$3:$F$300,Jun!H24)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SUMIFS('Jun - registro gastos'!$D$3:$D$300,'Jun - registro gastos'!$E$3:$E$300,Jun!$B$27,'Jun - registro gastos'!$F$3:$F$300,Jun!B28)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SUMIFS('Jun - registro gastos'!$D$3:$D$300,'Jun - registro gastos'!$E$3:$E$300,Jun!$H$27,'Jun - registro gastos'!$F$3:$F$300,Jun!H28)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SUMIFS('Jun - registro gastos'!$D$3:$D$300,'Jun - registro gastos'!$E$3:$E$300,Jun!$B$27,'Jun - registro gastos'!$F$3:$F$300,Jun!B29)</f>
        <v>0</v>
      </c>
      <c r="F29" s="12">
        <f t="shared" si="2"/>
        <v>0</v>
      </c>
      <c r="H29" s="9" t="s">
        <v>17</v>
      </c>
      <c r="I29" s="10"/>
      <c r="J29" s="11"/>
      <c r="K29" s="11">
        <f>SUMIFS('Jun - registro gastos'!$D$3:$D$300,'Jun - registro gastos'!$E$3:$E$300,Jun!$H$27,'Jun - registro gastos'!$F$3:$F$300,Jun!H29)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SUMIFS('Jun - registro gastos'!$D$3:$D$300,'Jun - registro gastos'!$E$3:$E$300,Jun!$B$27,'Jun - registro gastos'!$F$3:$F$300,Jun!B30)</f>
        <v>0</v>
      </c>
      <c r="F30" s="12">
        <f t="shared" si="2"/>
        <v>0</v>
      </c>
      <c r="H30" s="9" t="s">
        <v>16</v>
      </c>
      <c r="I30" s="10"/>
      <c r="J30" s="11"/>
      <c r="K30" s="11">
        <f>SUMIFS('Jun - registro gastos'!$D$3:$D$300,'Jun - registro gastos'!$E$3:$E$300,Jun!$H$27,'Jun - registro gastos'!$F$3:$F$300,Jun!H30)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SUMIFS('Jun - registro gastos'!$D$3:$D$300,'Jun - registro gastos'!$E$3:$E$300,Jun!$B$27,'Jun - registro gastos'!$F$3:$F$300,Jun!B31)</f>
        <v>0</v>
      </c>
      <c r="F31" s="12">
        <f t="shared" si="2"/>
        <v>0</v>
      </c>
      <c r="H31" s="9"/>
      <c r="I31" s="10"/>
      <c r="J31" s="11"/>
      <c r="K31" s="11">
        <f>SUMIFS('Jun - registro gastos'!$D$3:$D$300,'Jun - registro gastos'!$E$3:$E$300,Jun!$H$27,'Jun - registro gastos'!$F$3:$F$300,Jun!H31)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SUMIFS('Jun - registro gastos'!$D$3:$D$300,'Jun - registro gastos'!$E$3:$E$300,Jun!$B$27,'Jun - registro gastos'!$F$3:$F$300,Jun!B32)</f>
        <v>0</v>
      </c>
      <c r="F32" s="12">
        <f t="shared" si="2"/>
        <v>0</v>
      </c>
      <c r="H32" s="9"/>
      <c r="I32" s="10"/>
      <c r="J32" s="11"/>
      <c r="K32" s="11">
        <f>SUMIFS('Jun - registro gastos'!$D$3:$D$300,'Jun - registro gastos'!$E$3:$E$300,Jun!$H$27,'Jun - registro gastos'!$F$3:$F$300,Jun!H32)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SUMIFS('Jun - registro gastos'!$D$3:$D$300,'Jun - registro gastos'!$E$3:$E$300,Jun!$B$27,'Jun - registro gastos'!$F$3:$F$300,Jun!B33)</f>
        <v>0</v>
      </c>
      <c r="F33" s="12">
        <f t="shared" si="2"/>
        <v>0</v>
      </c>
      <c r="H33" s="9"/>
      <c r="I33" s="10"/>
      <c r="J33" s="11"/>
      <c r="K33" s="11">
        <f>SUMIFS('Jun - registro gastos'!$D$3:$D$300,'Jun - registro gastos'!$E$3:$E$300,Jun!$H$27,'Jun - registro gastos'!$F$3:$F$300,Jun!H33)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SUMIFS('Jun - registro gastos'!$D$3:$D$300,'Jun - registro gastos'!$E$3:$E$300,Jun!$B$27,'Jun - registro gastos'!$F$3:$F$300,Jun!B34)</f>
        <v>0</v>
      </c>
      <c r="F34" s="12">
        <f t="shared" si="2"/>
        <v>0</v>
      </c>
      <c r="H34" s="9"/>
      <c r="I34" s="10"/>
      <c r="J34" s="11"/>
      <c r="K34" s="11">
        <f>SUMIFS('Jun - registro gastos'!$D$3:$D$300,'Jun - registro gastos'!$E$3:$E$300,Jun!$H$27,'Jun - registro gastos'!$F$3:$F$300,Jun!H34)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SUMIFS('Jun - registro gastos'!$D$3:$D$300,'Jun - registro gastos'!$E$3:$E$300,Jun!$B$27,'Jun - registro gastos'!$F$3:$F$300,Jun!B35)</f>
        <v>0</v>
      </c>
      <c r="F35" s="15">
        <f t="shared" si="2"/>
        <v>0</v>
      </c>
      <c r="H35" s="13"/>
      <c r="I35" s="40"/>
      <c r="J35" s="14"/>
      <c r="K35" s="14">
        <f>SUMIFS('Jun - registro gastos'!$D$3:$D$300,'Jun - registro gastos'!$E$3:$E$300,Jun!$H$27,'Jun - registro gastos'!$F$3:$F$300,Jun!H35)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SUMIFS('Jun - registro gastos'!$D$3:$D$300,'Jun - registro gastos'!$E$3:$E$300,Jun!$B$38,'Jun - registro gastos'!$F$3:$F$300,Jun!B39)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SUMIFS('Jun - registro gastos'!$D$3:$D$300,'Jun - registro gastos'!$E$3:$E$300,Jun!$H$38,'Jun - registro gastos'!$F$3:$F$300,Jun!H39)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SUMIFS('Jun - registro gastos'!$D$3:$D$300,'Jun - registro gastos'!$E$3:$E$300,Jun!$B$38,'Jun - registro gastos'!$F$3:$F$300,Jun!B40)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SUMIFS('Jun - registro gastos'!$D$3:$D$300,'Jun - registro gastos'!$E$3:$E$300,Jun!$H$38,'Jun - registro gastos'!$F$3:$F$300,Jun!H40)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SUMIFS('Jun - registro gastos'!$D$3:$D$300,'Jun - registro gastos'!$E$3:$E$300,Jun!$B$38,'Jun - registro gastos'!$F$3:$F$300,Jun!B41)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SUMIFS('Jun - registro gastos'!$D$3:$D$300,'Jun - registro gastos'!$E$3:$E$300,Jun!$H$38,'Jun - registro gastos'!$F$3:$F$300,Jun!H41)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SUMIFS('Jun - registro gastos'!$D$3:$D$300,'Jun - registro gastos'!$E$3:$E$300,Jun!$B$38,'Jun - registro gastos'!$F$3:$F$300,Jun!B42)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SUMIFS('Jun - registro gastos'!$D$3:$D$300,'Jun - registro gastos'!$E$3:$E$300,Jun!$H$38,'Jun - registro gastos'!$F$3:$F$300,Jun!H42)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SUMIFS('Jun - registro gastos'!$D$3:$D$300,'Jun - registro gastos'!$E$3:$E$300,Jun!$B$38,'Jun - registro gastos'!$F$3:$F$300,Jun!B43)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SUMIFS('Jun - registro gastos'!$D$3:$D$300,'Jun - registro gastos'!$E$3:$E$300,Jun!$H$38,'Jun - registro gastos'!$F$3:$F$300,Jun!H43)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SUMIFS('Jun - registro gastos'!$D$3:$D$300,'Jun - registro gastos'!$E$3:$E$300,Jun!$B$38,'Jun - registro gastos'!$F$3:$F$300,Jun!B44)</f>
        <v>0</v>
      </c>
      <c r="F44" s="12">
        <f t="shared" si="4"/>
        <v>0</v>
      </c>
      <c r="G44" s="20"/>
      <c r="H44" s="30"/>
      <c r="I44" s="10"/>
      <c r="J44" s="31"/>
      <c r="K44" s="31">
        <f>SUMIFS('Jun - registro gastos'!$D$3:$D$300,'Jun - registro gastos'!$E$3:$E$300,Jun!$H$38,'Jun - registro gastos'!$F$3:$F$300,Jun!H44)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SUMIFS('Jun - registro gastos'!$D$3:$D$300,'Jun - registro gastos'!$E$3:$E$300,Jun!$B$38,'Jun - registro gastos'!$F$3:$F$300,Jun!B45)</f>
        <v>0</v>
      </c>
      <c r="F45" s="15">
        <f t="shared" si="4"/>
        <v>0</v>
      </c>
      <c r="G45" s="20"/>
      <c r="H45" s="13"/>
      <c r="I45" s="40"/>
      <c r="J45" s="14"/>
      <c r="K45" s="14">
        <f>SUMIFS('Jun - registro gastos'!$D$3:$D$300,'Jun - registro gastos'!$E$3:$E$300,Jun!$H$38,'Jun - registro gastos'!$F$3:$F$300,Jun!H45)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SUMIFS('Jun - registro gastos'!$D$3:$D$300,'Jun - registro gastos'!$E$3:$E$300,Jun!$B$48,'Jun - registro gastos'!$F$3:$F$300,Jun!B49)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SUMIFS('Jun - registro gastos'!$D$3:$D$300,'Jun - registro gastos'!$E$3:$E$300,Jun!$H$48,'Jun - registro gastos'!$F$3:$F$300,Jun!H49)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SUMIFS('Jun - registro gastos'!$D$3:$D$300,'Jun - registro gastos'!$E$3:$E$300,Jun!$B$48,'Jun - registro gastos'!$F$3:$F$300,Jun!B50)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SUMIFS('Jun - registro gastos'!$D$3:$D$300,'Jun - registro gastos'!$E$3:$E$300,Jun!$H$48,'Jun - registro gastos'!$F$3:$F$300,Jun!H50)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SUMIFS('Jun - registro gastos'!$D$3:$D$300,'Jun - registro gastos'!$E$3:$E$300,Jun!$B$48,'Jun - registro gastos'!$F$3:$F$300,Jun!B51)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SUMIFS('Jun - registro gastos'!$D$3:$D$300,'Jun - registro gastos'!$E$3:$E$300,Jun!$H$48,'Jun - registro gastos'!$F$3:$F$300,Jun!H51)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SUMIFS('Jun - registro gastos'!$D$3:$D$300,'Jun - registro gastos'!$E$3:$E$300,Jun!$B$48,'Jun - registro gastos'!$F$3:$F$300,Jun!B52)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SUMIFS('Jun - registro gastos'!$D$3:$D$300,'Jun - registro gastos'!$E$3:$E$300,Jun!$H$48,'Jun - registro gastos'!$F$3:$F$300,Jun!H52)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SUMIFS('Jun - registro gastos'!$D$3:$D$300,'Jun - registro gastos'!$E$3:$E$300,Jun!$B$48,'Jun - registro gastos'!$F$3:$F$300,Jun!B53)</f>
        <v>0</v>
      </c>
      <c r="F53" s="12">
        <f t="shared" si="6"/>
        <v>0</v>
      </c>
      <c r="G53" s="20"/>
      <c r="H53" s="9"/>
      <c r="I53" s="10"/>
      <c r="J53" s="11"/>
      <c r="K53" s="11">
        <f>SUMIFS('Jun - registro gastos'!$D$3:$D$300,'Jun - registro gastos'!$E$3:$E$300,Jun!$H$48,'Jun - registro gastos'!$F$3:$F$300,Jun!H53)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SUMIFS('Jun - registro gastos'!$D$3:$D$300,'Jun - registro gastos'!$E$3:$E$300,Jun!$B$48,'Jun - registro gastos'!$F$3:$F$300,Jun!B54)</f>
        <v>0</v>
      </c>
      <c r="F54" s="15">
        <f t="shared" si="6"/>
        <v>0</v>
      </c>
      <c r="G54" s="20"/>
      <c r="H54" s="13"/>
      <c r="I54" s="40"/>
      <c r="J54" s="14"/>
      <c r="K54" s="14">
        <f>SUMIFS('Jun - registro gastos'!$D$3:$D$300,'Jun - registro gastos'!$E$3:$E$300,Jun!$H$48,'Jun - registro gastos'!$F$3:$F$300,Jun!H54)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SUMIFS('Jun - registro gastos'!$D$3:$D$300,'Jun - registro gastos'!$E$3:$E$300,Jun!$B$57,'Jun - registro gastos'!$F$3:$F$300,Jun!B58)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SUMIFS('Jun - registro gastos'!$D$3:$D$300,'Jun - registro gastos'!$E$3:$E$300,Jun!$H$57,'Jun - registro gastos'!$F$3:$F$300,Jun!H58)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SUMIFS('Jun - registro gastos'!$D$3:$D$300,'Jun - registro gastos'!$E$3:$E$300,Jun!$B$57,'Jun - registro gastos'!$F$3:$F$300,Jun!B59)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SUMIFS('Jun - registro gastos'!$D$3:$D$300,'Jun - registro gastos'!$E$3:$E$300,Jun!$H$57,'Jun - registro gastos'!$F$3:$F$300,Jun!H59)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SUMIFS('Jun - registro gastos'!$D$3:$D$300,'Jun - registro gastos'!$E$3:$E$300,Jun!$B$57,'Jun - registro gastos'!$F$3:$F$300,Jun!B60)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SUMIFS('Jun - registro gastos'!$D$3:$D$300,'Jun - registro gastos'!$E$3:$E$300,Jun!$H$57,'Jun - registro gastos'!$F$3:$F$300,Jun!H60)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SUMIFS('Jun - registro gastos'!$D$3:$D$300,'Jun - registro gastos'!$E$3:$E$300,Jun!$B$57,'Jun - registro gastos'!$F$3:$F$300,Jun!B61)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SUMIFS('Jun - registro gastos'!$D$3:$D$300,'Jun - registro gastos'!$E$3:$E$300,Jun!$H$57,'Jun - registro gastos'!$F$3:$F$300,Jun!H61)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SUMIFS('Jun - registro gastos'!$D$3:$D$300,'Jun - registro gastos'!$E$3:$E$300,Jun!$B$57,'Jun - registro gastos'!$F$3:$F$300,Jun!B62)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SUMIFS('Jun - registro gastos'!$D$3:$D$300,'Jun - registro gastos'!$E$3:$E$300,Jun!$H$57,'Jun - registro gastos'!$F$3:$F$300,Jun!H62)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SUMIFS('Jun - registro gastos'!$D$3:$D$300,'Jun - registro gastos'!$E$3:$E$300,Jun!$B$57,'Jun - registro gastos'!$F$3:$F$300,Jun!B63)</f>
        <v>0</v>
      </c>
      <c r="F63" s="12">
        <f t="shared" si="9"/>
        <v>0</v>
      </c>
      <c r="G63" s="20"/>
      <c r="H63" s="30"/>
      <c r="I63" s="10"/>
      <c r="J63" s="31"/>
      <c r="K63" s="31">
        <f>SUMIFS('Jun - registro gastos'!$D$3:$D$300,'Jun - registro gastos'!$E$3:$E$300,Jun!$H$57,'Jun - registro gastos'!$F$3:$F$300,Jun!H63)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SUMIFS('Jun - registro gastos'!$D$3:$D$300,'Jun - registro gastos'!$E$3:$E$300,Jun!$B$57,'Jun - registro gastos'!$F$3:$F$300,Jun!B64)</f>
        <v>0</v>
      </c>
      <c r="F64" s="15">
        <f t="shared" si="9"/>
        <v>0</v>
      </c>
      <c r="G64" s="20"/>
      <c r="H64" s="13"/>
      <c r="I64" s="40"/>
      <c r="J64" s="14"/>
      <c r="K64" s="14">
        <f>SUMIFS('Jun - registro gastos'!$D$3:$D$300,'Jun - registro gastos'!$E$3:$E$300,Jun!$H$57,'Jun - registro gastos'!$F$3:$F$300,Jun!H64)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SUMIFS('Jun - registro gastos'!$D$3:$D$300,'Jun - registro gastos'!$E$3:$E$300,Jun!$B$67,'Jun - registro gastos'!$F$3:$F$300,Jun!B68)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SUMIFS('Jun - registro gastos'!$D$3:$D$300,'Jun - registro gastos'!$E$3:$E$300,Jun!$H$67,'Jun - registro gastos'!$F$3:$F$300,Jun!H68)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SUMIFS('Jun - registro gastos'!$D$3:$D$300,'Jun - registro gastos'!$E$3:$E$300,Jun!$B$67,'Jun - registro gastos'!$F$3:$F$300,Jun!B69)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SUMIFS('Jun - registro gastos'!$D$3:$D$300,'Jun - registro gastos'!$E$3:$E$300,Jun!$H$67,'Jun - registro gastos'!$F$3:$F$300,Jun!H69)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SUMIFS('Jun - registro gastos'!$D$3:$D$300,'Jun - registro gastos'!$E$3:$E$300,Jun!$B$67,'Jun - registro gastos'!$F$3:$F$300,Jun!B70)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SUMIFS('Jun - registro gastos'!$D$3:$D$300,'Jun - registro gastos'!$E$3:$E$300,Jun!$H$67,'Jun - registro gastos'!$F$3:$F$300,Jun!H70)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SUMIFS('Jun - registro gastos'!$D$3:$D$300,'Jun - registro gastos'!$E$3:$E$300,Jun!$B$67,'Jun - registro gastos'!$F$3:$F$300,Jun!B71)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SUMIFS('Jun - registro gastos'!$D$3:$D$300,'Jun - registro gastos'!$E$3:$E$300,Jun!$H$67,'Jun - registro gastos'!$F$3:$F$300,Jun!H71)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SUMIFS('Jun - registro gastos'!$D$3:$D$300,'Jun - registro gastos'!$E$3:$E$300,Jun!$B$67,'Jun - registro gastos'!$F$3:$F$300,Jun!B72)</f>
        <v>0</v>
      </c>
      <c r="F72" s="12">
        <f t="shared" si="10"/>
        <v>0</v>
      </c>
      <c r="G72" s="20"/>
      <c r="H72" s="9"/>
      <c r="I72" s="10"/>
      <c r="J72" s="11"/>
      <c r="K72" s="11">
        <f>SUMIFS('Jun - registro gastos'!$D$3:$D$300,'Jun - registro gastos'!$E$3:$E$300,Jun!$H$67,'Jun - registro gastos'!$F$3:$F$300,Jun!H72)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SUMIFS('Jun - registro gastos'!$D$3:$D$300,'Jun - registro gastos'!$E$3:$E$300,Jun!$B$67,'Jun - registro gastos'!$F$3:$F$300,Jun!B73)</f>
        <v>0</v>
      </c>
      <c r="F73" s="12">
        <f t="shared" si="10"/>
        <v>0</v>
      </c>
      <c r="G73" s="20"/>
      <c r="H73" s="9"/>
      <c r="I73" s="10"/>
      <c r="J73" s="11"/>
      <c r="K73" s="11">
        <f>SUMIFS('Jun - registro gastos'!$D$3:$D$300,'Jun - registro gastos'!$E$3:$E$300,Jun!$H$67,'Jun - registro gastos'!$F$3:$F$300,Jun!H73)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SUMIFS('Jun - registro gastos'!$D$3:$D$300,'Jun - registro gastos'!$E$3:$E$300,Jun!$B$67,'Jun - registro gastos'!$F$3:$F$300,Jun!B74)</f>
        <v>0</v>
      </c>
      <c r="F74" s="12">
        <f t="shared" si="10"/>
        <v>0</v>
      </c>
      <c r="G74" s="20"/>
      <c r="H74" s="9"/>
      <c r="I74" s="10"/>
      <c r="J74" s="11"/>
      <c r="K74" s="11">
        <f>SUMIFS('Jun - registro gastos'!$D$3:$D$300,'Jun - registro gastos'!$E$3:$E$300,Jun!$H$67,'Jun - registro gastos'!$F$3:$F$300,Jun!H74)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SUMIFS('Jun - registro gastos'!$D$3:$D$300,'Jun - registro gastos'!$E$3:$E$300,Jun!$B$67,'Jun - registro gastos'!$F$3:$F$300,Jun!B75)</f>
        <v>0</v>
      </c>
      <c r="F75" s="12">
        <f t="shared" si="10"/>
        <v>0</v>
      </c>
      <c r="G75" s="20"/>
      <c r="H75" s="30"/>
      <c r="I75" s="10"/>
      <c r="J75" s="31"/>
      <c r="K75" s="31">
        <f>SUMIFS('Jun - registro gastos'!$D$3:$D$300,'Jun - registro gastos'!$E$3:$E$300,Jun!$H$67,'Jun - registro gastos'!$F$3:$F$300,Jun!H75)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SUMIFS('Jun - registro gastos'!$D$3:$D$300,'Jun - registro gastos'!$E$3:$E$300,Jun!$B$67,'Jun - registro gastos'!$F$3:$F$300,Jun!B76)</f>
        <v>0</v>
      </c>
      <c r="F76" s="12">
        <f t="shared" si="10"/>
        <v>0</v>
      </c>
      <c r="G76" s="20"/>
      <c r="H76" s="30"/>
      <c r="I76" s="10"/>
      <c r="J76" s="31"/>
      <c r="K76" s="31">
        <f>SUMIFS('Jun - registro gastos'!$D$3:$D$300,'Jun - registro gastos'!$E$3:$E$300,Jun!$H$67,'Jun - registro gastos'!$F$3:$F$300,Jun!H76)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SUMIFS('Jun - registro gastos'!$D$3:$D$300,'Jun - registro gastos'!$E$3:$E$300,Jun!$B$67,'Jun - registro gastos'!$F$3:$F$300,Jun!B77)</f>
        <v>0</v>
      </c>
      <c r="F77" s="12">
        <f t="shared" si="10"/>
        <v>0</v>
      </c>
      <c r="G77" s="20"/>
      <c r="H77" s="30"/>
      <c r="I77" s="10"/>
      <c r="J77" s="31"/>
      <c r="K77" s="31">
        <f>SUMIFS('Jun - registro gastos'!$D$3:$D$300,'Jun - registro gastos'!$E$3:$E$300,Jun!$H$67,'Jun - registro gastos'!$F$3:$F$300,Jun!H77)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SUMIFS('Jun - registro gastos'!$D$3:$D$300,'Jun - registro gastos'!$E$3:$E$300,Jun!$B$67,'Jun - registro gastos'!$F$3:$F$300,Jun!B78)</f>
        <v>0</v>
      </c>
      <c r="F78" s="15">
        <f t="shared" si="10"/>
        <v>0</v>
      </c>
      <c r="G78" s="20"/>
      <c r="H78" s="13"/>
      <c r="I78" s="40"/>
      <c r="J78" s="14"/>
      <c r="K78" s="14">
        <f>SUMIFS('Jun - registro gastos'!$D$3:$D$300,'Jun - registro gastos'!$E$3:$E$300,Jun!$H$67,'Jun - registro gastos'!$F$3:$F$300,Jun!H78)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SUMIFS('Jun - registro gastos'!$D$3:$D$300,'Jun - registro gastos'!$E$3:$E$300,Jun!$B$81,'Jun - registro gastos'!$F$3:$F$300,Jun!B82)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SUMIFS('Jun - registro gastos'!$D$3:$D$300,'Jun - registro gastos'!$E$3:$E$300,Jun!$H$81,'Jun - registro gastos'!$F$3:$F$300,Jun!H82)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SUMIFS('Jun - registro gastos'!$D$3:$D$300,'Jun - registro gastos'!$E$3:$E$300,Jun!$B$81,'Jun - registro gastos'!$F$3:$F$300,Jun!B83)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SUMIFS('Jun - registro gastos'!$D$3:$D$300,'Jun - registro gastos'!$E$3:$E$300,Jun!$H$81,'Jun - registro gastos'!$F$3:$F$300,Jun!H83)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SUMIFS('Jun - registro gastos'!$D$3:$D$300,'Jun - registro gastos'!$E$3:$E$300,Jun!$B$81,'Jun - registro gastos'!$F$3:$F$300,Jun!B84)</f>
        <v>0</v>
      </c>
      <c r="F84" s="12">
        <f t="shared" si="12"/>
        <v>0</v>
      </c>
      <c r="G84" s="20"/>
      <c r="H84" s="9"/>
      <c r="I84" s="10"/>
      <c r="J84" s="11"/>
      <c r="K84" s="11">
        <f>SUMIFS('Jun - registro gastos'!$D$3:$D$300,'Jun - registro gastos'!$E$3:$E$300,Jun!$H$81,'Jun - registro gastos'!$F$3:$F$300,Jun!H84)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SUMIFS('Jun - registro gastos'!$D$3:$D$300,'Jun - registro gastos'!$E$3:$E$300,Jun!$B$81,'Jun - registro gastos'!$F$3:$F$300,Jun!B85)</f>
        <v>0</v>
      </c>
      <c r="F85" s="12">
        <f>D85-E85</f>
        <v>0</v>
      </c>
      <c r="G85" s="20"/>
      <c r="H85" s="9"/>
      <c r="I85" s="10"/>
      <c r="J85" s="11"/>
      <c r="K85" s="11">
        <f>SUMIFS('Jun - registro gastos'!$D$3:$D$300,'Jun - registro gastos'!$E$3:$E$300,Jun!$H$81,'Jun - registro gastos'!$F$3:$F$300,Jun!H85)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SUMIFS('Jun - registro gastos'!$D$3:$D$300,'Jun - registro gastos'!$E$3:$E$300,Jun!$B$81,'Jun - registro gastos'!$F$3:$F$300,Jun!B86)</f>
        <v>0</v>
      </c>
      <c r="F86" s="12">
        <f t="shared" si="12"/>
        <v>0</v>
      </c>
      <c r="G86" s="20"/>
      <c r="H86" s="9"/>
      <c r="I86" s="10"/>
      <c r="J86" s="11"/>
      <c r="K86" s="11">
        <f>SUMIFS('Jun - registro gastos'!$D$3:$D$300,'Jun - registro gastos'!$E$3:$E$300,Jun!$H$81,'Jun - registro gastos'!$F$3:$F$300,Jun!H86)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SUMIFS('Jun - registro gastos'!$D$3:$D$300,'Jun - registro gastos'!$E$3:$E$300,Jun!$B$81,'Jun - registro gastos'!$F$3:$F$300,Jun!B87)</f>
        <v>0</v>
      </c>
      <c r="F87" s="15">
        <f t="shared" si="12"/>
        <v>0</v>
      </c>
      <c r="G87" s="20"/>
      <c r="H87" s="13"/>
      <c r="I87" s="40"/>
      <c r="J87" s="14"/>
      <c r="K87" s="14">
        <f>SUMIFS('Jun - registro gastos'!$D$3:$D$300,'Jun - registro gastos'!$E$3:$E$300,Jun!$H$81,'Jun - registro gastos'!$F$3:$F$300,Jun!H87)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SUMIFS('Jun - registro gastos'!$D$3:$D$300,'Jun - registro gastos'!$E$3:$E$300,Jun!$B$90,'Jun - registro gastos'!$F$3:$F$300,Jun!B91)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SUMIFS('Jun - registro gastos'!$D$3:$D$300,'Jun - registro gastos'!$E$3:$E$300,Jun!$H$90,'Jun - registro gastos'!$F$3:$F$300,Jun!H91)</f>
        <v>0</v>
      </c>
      <c r="L91" s="12">
        <f>J91-K91</f>
        <v>0</v>
      </c>
    </row>
    <row r="92" spans="2:12" x14ac:dyDescent="0.2">
      <c r="B92" s="9"/>
      <c r="C92" s="10"/>
      <c r="D92" s="11"/>
      <c r="E92" s="11">
        <f>SUMIFS('Jun - registro gastos'!$D$3:$D$300,'Jun - registro gastos'!$E$3:$E$300,Jun!$B$90,'Jun - registro gastos'!$F$3:$F$300,Jun!B92)</f>
        <v>0</v>
      </c>
      <c r="F92" s="12">
        <f t="shared" ref="F92:F97" si="14">D92-E92</f>
        <v>0</v>
      </c>
      <c r="G92" s="20"/>
      <c r="H92" s="9"/>
      <c r="I92" s="10"/>
      <c r="J92" s="11"/>
      <c r="K92" s="11">
        <f>SUMIFS('Jun - registro gastos'!$D$3:$D$300,'Jun - registro gastos'!$E$3:$E$300,Jun!$H$90,'Jun - registro gastos'!$F$3:$F$300,Jun!H92)</f>
        <v>0</v>
      </c>
      <c r="L92" s="12">
        <f t="shared" ref="L92:L97" si="15">J92-K92</f>
        <v>0</v>
      </c>
    </row>
    <row r="93" spans="2:12" x14ac:dyDescent="0.2">
      <c r="B93" s="9"/>
      <c r="C93" s="10"/>
      <c r="D93" s="11"/>
      <c r="E93" s="11">
        <f>SUMIFS('Jun - registro gastos'!$D$3:$D$300,'Jun - registro gastos'!$E$3:$E$300,Jun!$B$90,'Jun - registro gastos'!$F$3:$F$300,Jun!B93)</f>
        <v>0</v>
      </c>
      <c r="F93" s="12">
        <f t="shared" si="14"/>
        <v>0</v>
      </c>
      <c r="G93" s="20"/>
      <c r="H93" s="9"/>
      <c r="I93" s="10"/>
      <c r="J93" s="11"/>
      <c r="K93" s="11">
        <f>SUMIFS('Jun - registro gastos'!$D$3:$D$300,'Jun - registro gastos'!$E$3:$E$300,Jun!$H$90,'Jun - registro gastos'!$F$3:$F$300,Jun!H93)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SUMIFS('Jun - registro gastos'!$D$3:$D$300,'Jun - registro gastos'!$E$3:$E$300,Jun!$B$90,'Jun - registro gastos'!$F$3:$F$300,Jun!B94)</f>
        <v>0</v>
      </c>
      <c r="F94" s="12">
        <f t="shared" si="14"/>
        <v>0</v>
      </c>
      <c r="G94" s="20"/>
      <c r="H94" s="9"/>
      <c r="I94" s="10"/>
      <c r="J94" s="11"/>
      <c r="K94" s="11">
        <f>SUMIFS('Jun - registro gastos'!$D$3:$D$300,'Jun - registro gastos'!$E$3:$E$300,Jun!$H$90,'Jun - registro gastos'!$F$3:$F$300,Jun!H94)</f>
        <v>0</v>
      </c>
      <c r="L94" s="12">
        <f t="shared" si="15"/>
        <v>0</v>
      </c>
    </row>
    <row r="95" spans="2:12" x14ac:dyDescent="0.2">
      <c r="B95" s="9"/>
      <c r="C95" s="10"/>
      <c r="D95" s="11"/>
      <c r="E95" s="11">
        <f>SUMIFS('Jun - registro gastos'!$D$3:$D$300,'Jun - registro gastos'!$E$3:$E$300,Jun!$B$90,'Jun - registro gastos'!$F$3:$F$300,Jun!B95)</f>
        <v>0</v>
      </c>
      <c r="F95" s="12">
        <f>D95-E95</f>
        <v>0</v>
      </c>
      <c r="G95" s="20"/>
      <c r="H95" s="9"/>
      <c r="I95" s="10"/>
      <c r="J95" s="11"/>
      <c r="K95" s="11">
        <f>SUMIFS('Jun - registro gastos'!$D$3:$D$300,'Jun - registro gastos'!$E$3:$E$300,Jun!$H$90,'Jun - registro gastos'!$F$3:$F$300,Jun!H95)</f>
        <v>0</v>
      </c>
      <c r="L95" s="12">
        <f t="shared" si="15"/>
        <v>0</v>
      </c>
    </row>
    <row r="96" spans="2:12" x14ac:dyDescent="0.2">
      <c r="B96" s="9"/>
      <c r="C96" s="10"/>
      <c r="D96" s="11"/>
      <c r="E96" s="11">
        <f>SUMIFS('Jun - registro gastos'!$D$3:$D$300,'Jun - registro gastos'!$E$3:$E$300,Jun!$B$90,'Jun - registro gastos'!$F$3:$F$300,Jun!B96)</f>
        <v>0</v>
      </c>
      <c r="F96" s="12">
        <f t="shared" si="14"/>
        <v>0</v>
      </c>
      <c r="G96" s="20"/>
      <c r="H96" s="9"/>
      <c r="I96" s="10"/>
      <c r="J96" s="11"/>
      <c r="K96" s="11">
        <f>SUMIFS('Jun - registro gastos'!$D$3:$D$300,'Jun - registro gastos'!$E$3:$E$300,Jun!$H$90,'Jun - registro gastos'!$F$3:$F$300,Jun!H96)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SUMIFS('Jun - registro gastos'!$D$3:$D$300,'Jun - registro gastos'!$E$3:$E$300,Jun!$B$90,'Jun - registro gastos'!$F$3:$F$300,Jun!B97)</f>
        <v>0</v>
      </c>
      <c r="F97" s="15">
        <f t="shared" si="14"/>
        <v>0</v>
      </c>
      <c r="G97" s="20"/>
      <c r="H97" s="13"/>
      <c r="I97" s="40"/>
      <c r="J97" s="14"/>
      <c r="K97" s="14">
        <f>SUMIFS('Jun - registro gastos'!$D$3:$D$300,'Jun - registro gastos'!$E$3:$E$300,Jun!$H$90,'Jun - registro gastos'!$F$3:$F$300,Jun!H97)</f>
        <v>0</v>
      </c>
      <c r="L97" s="15">
        <f t="shared" si="15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SUMIFS('Jun - registro gastos'!$D$3:$D$300,'Jun - registro gastos'!$E$3:$E$300,Jun!$B$100,'Jun - registro gastos'!$F$3:$F$300,Jun!B101)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SUMIFS('Jun - registro gastos'!$D$3:$D$300,'Jun - registro gastos'!$E$3:$E$300,Jun!$H$100,'Jun - registro gastos'!$F$3:$F$300,Jun!H101)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SUMIFS('Jun - registro gastos'!$D$3:$D$300,'Jun - registro gastos'!$E$3:$E$300,Jun!$B$100,'Jun - registro gastos'!$F$3:$F$300,Jun!B102)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SUMIFS('Jun - registro gastos'!$D$3:$D$300,'Jun - registro gastos'!$E$3:$E$300,Jun!$H$100,'Jun - registro gastos'!$F$3:$F$300,Jun!H102)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SUMIFS('Jun - registro gastos'!$D$3:$D$300,'Jun - registro gastos'!$E$3:$E$300,Jun!$B$100,'Jun - registro gastos'!$F$3:$F$300,Jun!B103)</f>
        <v>0</v>
      </c>
      <c r="F103" s="12">
        <f t="shared" si="16"/>
        <v>0</v>
      </c>
      <c r="G103" s="20"/>
      <c r="H103" s="9"/>
      <c r="I103" s="10"/>
      <c r="J103" s="11"/>
      <c r="K103" s="11">
        <f>SUMIFS('Jun - registro gastos'!$D$3:$D$300,'Jun - registro gastos'!$E$3:$E$300,Jun!$H$100,'Jun - registro gastos'!$F$3:$F$300,Jun!H103)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SUMIFS('Jun - registro gastos'!$D$3:$D$300,'Jun - registro gastos'!$E$3:$E$300,Jun!$B$100,'Jun - registro gastos'!$F$3:$F$300,Jun!B104)</f>
        <v>0</v>
      </c>
      <c r="F104" s="12">
        <f t="shared" si="16"/>
        <v>0</v>
      </c>
      <c r="G104" s="20"/>
      <c r="H104" s="9"/>
      <c r="I104" s="10"/>
      <c r="J104" s="11"/>
      <c r="K104" s="11">
        <f>SUMIFS('Jun - registro gastos'!$D$3:$D$300,'Jun - registro gastos'!$E$3:$E$300,Jun!$H$100,'Jun - registro gastos'!$F$3:$F$300,Jun!H104)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SUMIFS('Jun - registro gastos'!$D$3:$D$300,'Jun - registro gastos'!$E$3:$E$300,Jun!$B$100,'Jun - registro gastos'!$F$3:$F$300,Jun!B105)</f>
        <v>0</v>
      </c>
      <c r="F105" s="12">
        <f t="shared" si="16"/>
        <v>0</v>
      </c>
      <c r="G105" s="20"/>
      <c r="H105" s="9"/>
      <c r="I105" s="10"/>
      <c r="J105" s="11"/>
      <c r="K105" s="11">
        <f>SUMIFS('Jun - registro gastos'!$D$3:$D$300,'Jun - registro gastos'!$E$3:$E$300,Jun!$H$100,'Jun - registro gastos'!$F$3:$F$300,Jun!H105)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SUMIFS('Jun - registro gastos'!$D$3:$D$300,'Jun - registro gastos'!$E$3:$E$300,Jun!$B$100,'Jun - registro gastos'!$F$3:$F$300,Jun!B106)</f>
        <v>0</v>
      </c>
      <c r="F106" s="12">
        <f t="shared" si="16"/>
        <v>0</v>
      </c>
      <c r="G106" s="20"/>
      <c r="H106" s="9"/>
      <c r="I106" s="10"/>
      <c r="J106" s="11"/>
      <c r="K106" s="11">
        <f>SUMIFS('Jun - registro gastos'!$D$3:$D$300,'Jun - registro gastos'!$E$3:$E$300,Jun!$H$100,'Jun - registro gastos'!$F$3:$F$300,Jun!H106)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SUMIFS('Jun - registro gastos'!$D$3:$D$300,'Jun - registro gastos'!$E$3:$E$300,Jun!$B$100,'Jun - registro gastos'!$F$3:$F$300,Jun!B107)</f>
        <v>0</v>
      </c>
      <c r="F107" s="15">
        <f>D107-E107</f>
        <v>0</v>
      </c>
      <c r="G107" s="20"/>
      <c r="H107" s="13"/>
      <c r="I107" s="40"/>
      <c r="J107" s="14"/>
      <c r="K107" s="14">
        <f>SUMIFS('Jun - registro gastos'!$D$3:$D$300,'Jun - registro gastos'!$E$3:$E$300,Jun!$H$100,'Jun - registro gastos'!$F$3:$F$300,Jun!H107)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40:E108 E29:E35 K13:K98 K101:K108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58B17F8-8470-DA46-B474-EFCC1398F900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7919EF51-73CC-6744-9F51-8F9312280C0C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DDBA-9982-694D-ABF7-5A913D8B8265}">
  <sheetPr codeName="Hoja8">
    <tabColor rgb="FFFD9F00"/>
  </sheetPr>
  <dimension ref="B2:AR312"/>
  <sheetViews>
    <sheetView showGridLines="0" topLeftCell="C1" zoomScale="110" zoomScaleNormal="11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2" width="11" customWidth="1"/>
    <col min="13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hidden="1" customWidth="1"/>
    <col min="45" max="45" width="0" hidden="1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Jun!$B$12</f>
        <v>NECESIDADES BÁSICAS</v>
      </c>
      <c r="AO4" s="84" t="str">
        <f>Jun!B13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Jun!$B$12</f>
        <v>NECESIDADES BÁSICAS</v>
      </c>
      <c r="AO5" s="86" t="str">
        <f>Jun!B14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Jun!$B$12</f>
        <v>NECESIDADES BÁSICAS</v>
      </c>
      <c r="AO6" s="86" t="str">
        <f>Jun!B15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Jun!$B$12</f>
        <v>NECESIDADES BÁSICAS</v>
      </c>
      <c r="AO7" s="86" t="str">
        <f>Jun!B16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Jun!$B$12</f>
        <v>NECESIDADES BÁSICAS</v>
      </c>
      <c r="AO8" s="86" t="str">
        <f>Jun!B17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Jun!$B$12</f>
        <v>NECESIDADES BÁSICAS</v>
      </c>
      <c r="AO9" s="86" t="str">
        <f>Jun!B18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Jun!$B$12</f>
        <v>NECESIDADES BÁSICAS</v>
      </c>
      <c r="AO10" s="86" t="str">
        <f>Jun!B19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Jun!$B$12</f>
        <v>NECESIDADES BÁSICAS</v>
      </c>
      <c r="AO11" s="86" t="str">
        <f>Jun!B20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Jun!$B$12</f>
        <v>NECESIDADES BÁSICAS</v>
      </c>
      <c r="AO12" s="86" t="str">
        <f>Jun!B21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Jun!$B$12</f>
        <v>NECESIDADES BÁSICAS</v>
      </c>
      <c r="AO13" s="86">
        <f>Jun!B22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Jun!$B$12</f>
        <v>NECESIDADES BÁSICAS</v>
      </c>
      <c r="AO14" s="86">
        <f>Jun!B23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Jun!$B$12</f>
        <v>NECESIDADES BÁSICAS</v>
      </c>
      <c r="AO15" s="88">
        <f>Jun!B24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Jun!$H$12</f>
        <v>AHORROS</v>
      </c>
      <c r="AO16" s="84" t="str">
        <f>Jun!H13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Jun!$H$12</f>
        <v>AHORROS</v>
      </c>
      <c r="AO17" s="86" t="str">
        <f>Jun!H14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Jun!$H$12</f>
        <v>AHORROS</v>
      </c>
      <c r="AO18" s="86" t="str">
        <f>Jun!H15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Jun!$H$12</f>
        <v>AHORROS</v>
      </c>
      <c r="AO19" s="86" t="str">
        <f>Jun!H16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Jun!$H$12</f>
        <v>AHORROS</v>
      </c>
      <c r="AO20" s="86" t="str">
        <f>Jun!H17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Jun!$H$12</f>
        <v>AHORROS</v>
      </c>
      <c r="AO21" s="86">
        <f>Jun!H18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Jun!$H$12</f>
        <v>AHORROS</v>
      </c>
      <c r="AO22" s="86">
        <f>Jun!H19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Jun!$H$12</f>
        <v>AHORROS</v>
      </c>
      <c r="AO23" s="86">
        <f>Jun!H20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Jun!$H$12</f>
        <v>AHORROS</v>
      </c>
      <c r="AO24" s="86">
        <f>Jun!H21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Jun!$H$12</f>
        <v>AHORROS</v>
      </c>
      <c r="AO25" s="86">
        <f>Jun!H22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Jun!$H$12</f>
        <v>AHORROS</v>
      </c>
      <c r="AO26" s="86">
        <f>Jun!H23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Jun!$H$12</f>
        <v>AHORROS</v>
      </c>
      <c r="AO27" s="88">
        <f>Jun!H24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Jun!$B$27</f>
        <v>DEUDAS</v>
      </c>
      <c r="AO28" s="84" t="str">
        <f>Jun!B28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Jun!$B$27</f>
        <v>DEUDAS</v>
      </c>
      <c r="AO29" s="86" t="str">
        <f>Jun!B29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Jun!$B$27</f>
        <v>DEUDAS</v>
      </c>
      <c r="AO30" s="86" t="str">
        <f>Jun!B30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Jun!$B$27</f>
        <v>DEUDAS</v>
      </c>
      <c r="AO31" s="86" t="str">
        <f>Jun!B31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Jun!$B$27</f>
        <v>DEUDAS</v>
      </c>
      <c r="AO32" s="86" t="str">
        <f>Jun!B32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Jun!$B$27</f>
        <v>DEUDAS</v>
      </c>
      <c r="AO33" s="86">
        <f>Jun!B33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Jun!$B$27</f>
        <v>DEUDAS</v>
      </c>
      <c r="AO34" s="86">
        <f>Jun!B34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Jun!$B$27</f>
        <v>DEUDAS</v>
      </c>
      <c r="AO35" s="88">
        <f>Jun!B35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Jun!$H$27</f>
        <v>REGALOS/ CARIDAD</v>
      </c>
      <c r="AO36" s="84" t="str">
        <f>Jun!H28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Jun!$H$27</f>
        <v>REGALOS/ CARIDAD</v>
      </c>
      <c r="AO37" s="86" t="str">
        <f>Jun!H29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Jun!$H$27</f>
        <v>REGALOS/ CARIDAD</v>
      </c>
      <c r="AO38" s="86" t="str">
        <f>Jun!H30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Jun!$H$27</f>
        <v>REGALOS/ CARIDAD</v>
      </c>
      <c r="AO39" s="86">
        <f>Jun!H31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Jun!$H$27</f>
        <v>REGALOS/ CARIDAD</v>
      </c>
      <c r="AO40" s="86">
        <f>Jun!H32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Jun!$H$27</f>
        <v>REGALOS/ CARIDAD</v>
      </c>
      <c r="AO41" s="86">
        <f>Jun!H33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Jun!$H$27</f>
        <v>REGALOS/ CARIDAD</v>
      </c>
      <c r="AO42" s="86">
        <f>Jun!H34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Jun!$H$27</f>
        <v>REGALOS/ CARIDAD</v>
      </c>
      <c r="AO43" s="88">
        <f>Jun!H35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Jun!$B$38</f>
        <v>CASA</v>
      </c>
      <c r="AO44" s="84" t="str">
        <f>Jun!B39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Jun!$B$38</f>
        <v>CASA</v>
      </c>
      <c r="AO45" s="86" t="str">
        <f>Jun!B40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Jun!$B$38</f>
        <v>CASA</v>
      </c>
      <c r="AO46" s="86" t="str">
        <f>Jun!B41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Jun!$B$38</f>
        <v>CASA</v>
      </c>
      <c r="AO47" s="86" t="str">
        <f>Jun!B42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Jun!$B$38</f>
        <v>CASA</v>
      </c>
      <c r="AO48" s="86">
        <f>Jun!B43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Jun!$B$38</f>
        <v>CASA</v>
      </c>
      <c r="AO49" s="86">
        <f>Jun!B44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Jun!$B$38</f>
        <v>CASA</v>
      </c>
      <c r="AO50" s="88">
        <f>Jun!B45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Jun!$H$38</f>
        <v>TRANSPORTE</v>
      </c>
      <c r="AO51" s="84" t="str">
        <f>Jun!H39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Jun!$H$38</f>
        <v>TRANSPORTE</v>
      </c>
      <c r="AO52" s="86" t="str">
        <f>Jun!H40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Jun!$H$38</f>
        <v>TRANSPORTE</v>
      </c>
      <c r="AO53" s="86" t="str">
        <f>Jun!H41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Jun!$H$38</f>
        <v>TRANSPORTE</v>
      </c>
      <c r="AO54" s="86" t="str">
        <f>Jun!H42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Jun!$H$38</f>
        <v>TRANSPORTE</v>
      </c>
      <c r="AO55" s="86" t="str">
        <f>Jun!H43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Jun!$H$38</f>
        <v>TRANSPORTE</v>
      </c>
      <c r="AO56" s="86">
        <f>Jun!H44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Jun!$H$38</f>
        <v>TRANSPORTE</v>
      </c>
      <c r="AO57" s="88">
        <f>Jun!H45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Jun!$B$48</f>
        <v>ALIMENTACIÓN</v>
      </c>
      <c r="AO58" s="84" t="str">
        <f>Jun!B49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Jun!$B$48</f>
        <v>ALIMENTACIÓN</v>
      </c>
      <c r="AO59" s="86" t="str">
        <f>Jun!B50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Jun!$B$48</f>
        <v>ALIMENTACIÓN</v>
      </c>
      <c r="AO60" s="86">
        <f>Jun!B51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Jun!$B$48</f>
        <v>ALIMENTACIÓN</v>
      </c>
      <c r="AO61" s="86">
        <f>Jun!B52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Jun!$B$48</f>
        <v>ALIMENTACIÓN</v>
      </c>
      <c r="AO62" s="86">
        <f>Jun!B53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Jun!$B$48</f>
        <v>ALIMENTACIÓN</v>
      </c>
      <c r="AO63" s="88">
        <f>Jun!B54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Jun!$H$48</f>
        <v>SEGUROS</v>
      </c>
      <c r="AO64" s="84" t="str">
        <f>Jun!H49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Jun!$H$48</f>
        <v>SEGUROS</v>
      </c>
      <c r="AO65" s="86" t="str">
        <f>Jun!H50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Jun!$H$48</f>
        <v>SEGUROS</v>
      </c>
      <c r="AO66" s="86" t="str">
        <f>Jun!H51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Jun!$H$48</f>
        <v>SEGUROS</v>
      </c>
      <c r="AO67" s="86" t="str">
        <f>Jun!H52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Jun!$H$48</f>
        <v>SEGUROS</v>
      </c>
      <c r="AO68" s="86">
        <f>Jun!H53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Jun!$H$48</f>
        <v>SEGUROS</v>
      </c>
      <c r="AO69" s="88">
        <f>Jun!H54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Jun!$B$57</f>
        <v>SALUD</v>
      </c>
      <c r="AO70" s="84" t="str">
        <f>Jun!B58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Jun!$B$57</f>
        <v>SALUD</v>
      </c>
      <c r="AO71" s="86" t="str">
        <f>Jun!B59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Jun!$B$57</f>
        <v>SALUD</v>
      </c>
      <c r="AO72" s="86" t="str">
        <f>Jun!B60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Jun!$B$57</f>
        <v>SALUD</v>
      </c>
      <c r="AO73" s="86">
        <f>Jun!B61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Jun!$B$57</f>
        <v>SALUD</v>
      </c>
      <c r="AO74" s="86">
        <f>Jun!B62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Jun!$B$57</f>
        <v>SALUD</v>
      </c>
      <c r="AO75" s="86">
        <f>Jun!B63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Jun!$B$57</f>
        <v>SALUD</v>
      </c>
      <c r="AO76" s="88">
        <f>Jun!B64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Jun!$H$57</f>
        <v>CUIDADO PERSONAL</v>
      </c>
      <c r="AO77" s="84" t="str">
        <f>Jun!H58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Jun!$H$57</f>
        <v>CUIDADO PERSONAL</v>
      </c>
      <c r="AO78" s="86" t="str">
        <f>Jun!H59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Jun!$H$57</f>
        <v>CUIDADO PERSONAL</v>
      </c>
      <c r="AO79" s="86" t="str">
        <f>Jun!H60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Jun!$H$57</f>
        <v>CUIDADO PERSONAL</v>
      </c>
      <c r="AO80" s="86" t="str">
        <f>Jun!H61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Jun!$H$57</f>
        <v>CUIDADO PERSONAL</v>
      </c>
      <c r="AO81" s="86" t="str">
        <f>Jun!H62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Jun!$H$57</f>
        <v>CUIDADO PERSONAL</v>
      </c>
      <c r="AO82" s="86">
        <f>Jun!H63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Jun!$H$57</f>
        <v>CUIDADO PERSONAL</v>
      </c>
      <c r="AO83" s="88">
        <f>Jun!H64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Jun!$B$67</f>
        <v>ENTRETENIMIENTO</v>
      </c>
      <c r="AO84" s="84" t="str">
        <f>Jun!B68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Jun!$B$67</f>
        <v>ENTRETENIMIENTO</v>
      </c>
      <c r="AO85" s="86" t="str">
        <f>Jun!B69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Jun!$B$67</f>
        <v>ENTRETENIMIENTO</v>
      </c>
      <c r="AO86" s="86" t="str">
        <f>Jun!B70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Jun!$B$67</f>
        <v>ENTRETENIMIENTO</v>
      </c>
      <c r="AO87" s="86" t="str">
        <f>Jun!B71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Jun!$B$67</f>
        <v>ENTRETENIMIENTO</v>
      </c>
      <c r="AO88" s="86" t="str">
        <f>Jun!B72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Jun!$B$67</f>
        <v>ENTRETENIMIENTO</v>
      </c>
      <c r="AO89" s="86" t="str">
        <f>Jun!B73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Jun!$B$67</f>
        <v>ENTRETENIMIENTO</v>
      </c>
      <c r="AO90" s="86" t="str">
        <f>Jun!B74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Jun!$B$67</f>
        <v>ENTRETENIMIENTO</v>
      </c>
      <c r="AO91" s="86">
        <f>Jun!B75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Jun!$B$67</f>
        <v>ENTRETENIMIENTO</v>
      </c>
      <c r="AO92" s="86">
        <f>Jun!B76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Jun!$B$67</f>
        <v>ENTRETENIMIENTO</v>
      </c>
      <c r="AO93" s="86">
        <f>Jun!B77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Jun!$B$67</f>
        <v>ENTRETENIMIENTO</v>
      </c>
      <c r="AO94" s="88">
        <f>Jun!B78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Jun!$H$67</f>
        <v>HIJOS</v>
      </c>
      <c r="AO95" s="84" t="str">
        <f>Jun!H68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Jun!$H$67</f>
        <v>HIJOS</v>
      </c>
      <c r="AO96" s="86" t="str">
        <f>Jun!H69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Jun!$H$67</f>
        <v>HIJOS</v>
      </c>
      <c r="AO97" s="86" t="str">
        <f>Jun!H70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Jun!$H$67</f>
        <v>HIJOS</v>
      </c>
      <c r="AO98" s="86" t="str">
        <f>Jun!H71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Jun!$H$67</f>
        <v>HIJOS</v>
      </c>
      <c r="AO99" s="86">
        <f>Jun!H72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Jun!$H$67</f>
        <v>HIJOS</v>
      </c>
      <c r="AO100" s="86">
        <f>Jun!H73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Jun!$H$67</f>
        <v>HIJOS</v>
      </c>
      <c r="AO101" s="86">
        <f>Jun!H74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Jun!$H$67</f>
        <v>HIJOS</v>
      </c>
      <c r="AO102" s="86">
        <f>Jun!H75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Jun!$H$67</f>
        <v>HIJOS</v>
      </c>
      <c r="AO103" s="86">
        <f>Jun!H76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Jun!$H$67</f>
        <v>HIJOS</v>
      </c>
      <c r="AO104" s="86">
        <f>Jun!H77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Jun!$H$67</f>
        <v>HIJOS</v>
      </c>
      <c r="AO105" s="88">
        <f>Jun!H78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Jun!$B$81</f>
        <v>MASCOTA</v>
      </c>
      <c r="AO106" s="84" t="str">
        <f>Jun!B82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Jun!$B$81</f>
        <v>MASCOTA</v>
      </c>
      <c r="AO107" s="86" t="str">
        <f>Jun!B83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Jun!$B$81</f>
        <v>MASCOTA</v>
      </c>
      <c r="AO108" s="86" t="str">
        <f>Jun!B84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Jun!$B$81</f>
        <v>MASCOTA</v>
      </c>
      <c r="AO109" s="86" t="str">
        <f>Jun!B85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Jun!$B$81</f>
        <v>MASCOTA</v>
      </c>
      <c r="AO110" s="86">
        <f>Jun!B86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Jun!$B$81</f>
        <v>MASCOTA</v>
      </c>
      <c r="AO111" s="88">
        <f>Jun!B87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Jun!$H$81</f>
        <v>OTROS 1</v>
      </c>
      <c r="AO112" s="84">
        <f>Jun!H82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Jun!$H$81</f>
        <v>OTROS 1</v>
      </c>
      <c r="AO113" s="86">
        <f>Jun!H83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Jun!$H$81</f>
        <v>OTROS 1</v>
      </c>
      <c r="AO114" s="86">
        <f>Jun!H84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Jun!$H$81</f>
        <v>OTROS 1</v>
      </c>
      <c r="AO115" s="86">
        <f>Jun!H85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Jun!$H$81</f>
        <v>OTROS 1</v>
      </c>
      <c r="AO116" s="86">
        <f>Jun!H86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Jun!$H$81</f>
        <v>OTROS 1</v>
      </c>
      <c r="AO117" s="88">
        <f>Jun!H87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Jun!$B$90</f>
        <v>OTROS 2</v>
      </c>
      <c r="AO118" s="84">
        <f>Jun!B91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Jun!$B$90</f>
        <v>OTROS 2</v>
      </c>
      <c r="AO119" s="86">
        <f>Jun!B92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Jun!$B$90</f>
        <v>OTROS 2</v>
      </c>
      <c r="AO120" s="86">
        <f>Jun!B93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Jun!$B$90</f>
        <v>OTROS 2</v>
      </c>
      <c r="AO121" s="86">
        <f>Jun!B94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Jun!$B$90</f>
        <v>OTROS 2</v>
      </c>
      <c r="AO122" s="86">
        <f>Jun!B95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Jun!$B$90</f>
        <v>OTROS 2</v>
      </c>
      <c r="AO123" s="88">
        <f>Jun!B96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Jun!$H$90</f>
        <v>OTROS 3</v>
      </c>
      <c r="AO124" s="84">
        <f>Jun!H91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Jun!$H$90</f>
        <v>OTROS 3</v>
      </c>
      <c r="AO125" s="86">
        <f>Jun!H92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Jun!$H$90</f>
        <v>OTROS 3</v>
      </c>
      <c r="AO126" s="86">
        <f>Jun!H93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Jun!$H$90</f>
        <v>OTROS 3</v>
      </c>
      <c r="AO127" s="86">
        <f>Jun!H94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Jun!$H$90</f>
        <v>OTROS 3</v>
      </c>
      <c r="AO128" s="86">
        <f>Jun!H95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Jun!$H$90</f>
        <v>OTROS 3</v>
      </c>
      <c r="AO129" s="88">
        <f>Jun!H96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Jun!$B$100</f>
        <v>OTROS 4</v>
      </c>
      <c r="AO130" s="84">
        <f>Jun!B101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Jun!$B$100</f>
        <v>OTROS 4</v>
      </c>
      <c r="AO131" s="86">
        <f>Jun!B102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Jun!$B$100</f>
        <v>OTROS 4</v>
      </c>
      <c r="AO132" s="86">
        <f>Jun!B103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Jun!$B$100</f>
        <v>OTROS 4</v>
      </c>
      <c r="AO133" s="86">
        <f>Jun!B104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Jun!$B$100</f>
        <v>OTROS 4</v>
      </c>
      <c r="AO134" s="86">
        <f>Jun!B105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Jun!$B$100</f>
        <v>OTROS 4</v>
      </c>
      <c r="AO135" s="88">
        <f>Jun!B106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Jun!$H$100</f>
        <v>OTROS 5</v>
      </c>
      <c r="AO136" s="84">
        <f>Jun!H101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Jun!$H$100</f>
        <v>OTROS 5</v>
      </c>
      <c r="AO137" s="86">
        <f>Jun!H102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Jun!$H$100</f>
        <v>OTROS 5</v>
      </c>
      <c r="AO138" s="86">
        <f>Jun!H103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Jun!$H$100</f>
        <v>OTROS 5</v>
      </c>
      <c r="AO139" s="86">
        <f>Jun!H104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Jun!$H$100</f>
        <v>OTROS 5</v>
      </c>
      <c r="AO140" s="86">
        <f>Jun!H105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Jun!$H$100</f>
        <v>OTROS 5</v>
      </c>
      <c r="AO141" s="88">
        <f>Jun!H106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8I2FOQK7nRS4OKO3TFBsl7uajyZvBp3U4X07WydY9+OQfi5Sc1jS8vvqWOJsEyv+CGu2DgW0gwyYSe/Jdy5xkA==" saltValue="WYLZGrG3sx2TfaOwV/fzTg==" spinCount="100000" sheet="1" selectLockedCells="1"/>
  <conditionalFormatting sqref="J1:J300 J313:J1048576">
    <cfRule type="containsText" dxfId="13" priority="1" operator="containsText" text="Revisa">
      <formula>NOT(ISERROR(SEARCH("Revisa",J1)))</formula>
    </cfRule>
    <cfRule type="beginsWith" dxfId="12" priority="2" operator="beginsWith" text="Es">
      <formula>LEFT(J1,LEN("Es"))="Es"</formula>
    </cfRule>
  </conditionalFormatting>
  <dataValidations count="2">
    <dataValidation type="list" allowBlank="1" showInputMessage="1" showErrorMessage="1" sqref="F3:F300" xr:uid="{61FA66E8-57DA-ED43-8843-F80720ABA3F6}">
      <formula1>$AO$4:$AO$141</formula1>
    </dataValidation>
    <dataValidation type="list" allowBlank="1" showInputMessage="1" showErrorMessage="1" sqref="E3:E300" xr:uid="{B7595D5B-4016-6E4C-AB4D-7E825274CF7B}">
      <formula1>$AN$4:$AN$141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EF7522"/>
    <pageSetUpPr autoPageBreaks="0" fitToPage="1"/>
  </sheetPr>
  <dimension ref="B1:U110"/>
  <sheetViews>
    <sheetView showGridLines="0" topLeftCell="A12" zoomScaleNormal="100" zoomScalePageLayoutView="80" workbookViewId="0">
      <selection activeCell="E29" sqref="E29:E36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SUMIFS('Jul - registro gastos'!$D$3:$D$300,'Jul - registro gastos'!$E$3:$E$300,Jul!$B$12,'Jul - registro gastos'!$F$3:$F$300,Jul!B13)</f>
        <v>0</v>
      </c>
      <c r="F13" s="12">
        <f>D13-E13</f>
        <v>0</v>
      </c>
      <c r="H13" s="9" t="s">
        <v>13</v>
      </c>
      <c r="I13" s="10" t="s">
        <v>45</v>
      </c>
      <c r="J13" s="11"/>
      <c r="K13" s="11">
        <f>SUMIFS('Jul - registro gastos'!$D$3:$D$300,'Jul - registro gastos'!$E$3:$E$300,Jul!$H$12,'Jul - registro gastos'!$F$3:$F$300,Jul!H13)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SUMIFS('Jul - registro gastos'!$D$3:$D$300,'Jul - registro gastos'!$E$3:$E$300,Jul!$B$12,'Jul - registro gastos'!$F$3:$F$300,Jul!B14)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SUMIFS('Jul - registro gastos'!$D$3:$D$300,'Jul - registro gastos'!$E$3:$E$300,Jul!$H$12,'Jul - registro gastos'!$F$3:$F$300,Jul!H14)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SUMIFS('Jul - registro gastos'!$D$3:$D$300,'Jul - registro gastos'!$E$3:$E$300,Jul!$B$12,'Jul - registro gastos'!$F$3:$F$300,Jul!B15)</f>
        <v>0</v>
      </c>
      <c r="F15" s="12">
        <f t="shared" si="1"/>
        <v>0</v>
      </c>
      <c r="H15" s="9" t="s">
        <v>11</v>
      </c>
      <c r="I15" s="10"/>
      <c r="J15" s="39"/>
      <c r="K15" s="11">
        <f>SUMIFS('Jul - registro gastos'!$D$3:$D$300,'Jul - registro gastos'!$E$3:$E$300,Jul!$H$12,'Jul - registro gastos'!$F$3:$F$300,Jul!H15)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SUMIFS('Jul - registro gastos'!$D$3:$D$300,'Jul - registro gastos'!$E$3:$E$300,Jul!$B$12,'Jul - registro gastos'!$F$3:$F$300,Jul!B16)</f>
        <v>0</v>
      </c>
      <c r="F16" s="12">
        <f t="shared" si="1"/>
        <v>0</v>
      </c>
      <c r="H16" s="9" t="s">
        <v>10</v>
      </c>
      <c r="I16" s="10"/>
      <c r="J16" s="11"/>
      <c r="K16" s="11">
        <f>SUMIFS('Jul - registro gastos'!$D$3:$D$300,'Jul - registro gastos'!$E$3:$E$300,Jul!$H$12,'Jul - registro gastos'!$F$3:$F$300,Jul!H16)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SUMIFS('Jul - registro gastos'!$D$3:$D$300,'Jul - registro gastos'!$E$3:$E$300,Jul!$B$12,'Jul - registro gastos'!$F$3:$F$300,Jul!B17)</f>
        <v>0</v>
      </c>
      <c r="F17" s="12">
        <f t="shared" si="1"/>
        <v>0</v>
      </c>
      <c r="H17" s="9" t="s">
        <v>9</v>
      </c>
      <c r="I17" s="10"/>
      <c r="J17" s="11"/>
      <c r="K17" s="11">
        <f>SUMIFS('Jul - registro gastos'!$D$3:$D$300,'Jul - registro gastos'!$E$3:$E$300,Jul!$H$12,'Jul - registro gastos'!$F$3:$F$300,Jul!H17)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SUMIFS('Jul - registro gastos'!$D$3:$D$300,'Jul - registro gastos'!$E$3:$E$300,Jul!$B$12,'Jul - registro gastos'!$F$3:$F$300,Jul!B18)</f>
        <v>0</v>
      </c>
      <c r="F18" s="12">
        <f t="shared" si="1"/>
        <v>0</v>
      </c>
      <c r="H18" s="9"/>
      <c r="I18" s="10"/>
      <c r="J18" s="11"/>
      <c r="K18" s="11">
        <f>SUMIFS('Jul - registro gastos'!$D$3:$D$300,'Jul - registro gastos'!$E$3:$E$300,Jul!$H$12,'Jul - registro gastos'!$F$3:$F$300,Jul!H18)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SUMIFS('Jul - registro gastos'!$D$3:$D$300,'Jul - registro gastos'!$E$3:$E$300,Jul!$B$12,'Jul - registro gastos'!$F$3:$F$300,Jul!B19)</f>
        <v>0</v>
      </c>
      <c r="F19" s="12">
        <f t="shared" si="1"/>
        <v>0</v>
      </c>
      <c r="H19" s="9"/>
      <c r="I19" s="10"/>
      <c r="J19" s="11"/>
      <c r="K19" s="11">
        <f>SUMIFS('Jul - registro gastos'!$D$3:$D$300,'Jul - registro gastos'!$E$3:$E$300,Jul!$H$12,'Jul - registro gastos'!$F$3:$F$300,Jul!H19)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SUMIFS('Jul - registro gastos'!$D$3:$D$300,'Jul - registro gastos'!$E$3:$E$300,Jul!$B$12,'Jul - registro gastos'!$F$3:$F$300,Jul!B20)</f>
        <v>0</v>
      </c>
      <c r="F20" s="12">
        <f t="shared" si="1"/>
        <v>0</v>
      </c>
      <c r="H20" s="9"/>
      <c r="I20" s="10"/>
      <c r="J20" s="11"/>
      <c r="K20" s="11">
        <f>SUMIFS('Jul - registro gastos'!$D$3:$D$300,'Jul - registro gastos'!$E$3:$E$300,Jul!$H$12,'Jul - registro gastos'!$F$3:$F$300,Jul!H20)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SUMIFS('Jul - registro gastos'!$D$3:$D$300,'Jul - registro gastos'!$E$3:$E$300,Jul!$B$12,'Jul - registro gastos'!$F$3:$F$300,Jul!B21)</f>
        <v>0</v>
      </c>
      <c r="F21" s="12">
        <f t="shared" si="1"/>
        <v>0</v>
      </c>
      <c r="H21" s="9"/>
      <c r="I21" s="10"/>
      <c r="J21" s="11"/>
      <c r="K21" s="11">
        <f>SUMIFS('Jul - registro gastos'!$D$3:$D$300,'Jul - registro gastos'!$E$3:$E$300,Jul!$H$12,'Jul - registro gastos'!$F$3:$F$300,Jul!H21)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SUMIFS('Jul - registro gastos'!$D$3:$D$300,'Jul - registro gastos'!$E$3:$E$300,Jul!$B$12,'Jul - registro gastos'!$F$3:$F$300,Jul!B22)</f>
        <v>0</v>
      </c>
      <c r="F22" s="12">
        <f t="shared" si="1"/>
        <v>0</v>
      </c>
      <c r="H22" s="9"/>
      <c r="I22" s="10"/>
      <c r="J22" s="11"/>
      <c r="K22" s="11">
        <f>SUMIFS('Jul - registro gastos'!$D$3:$D$300,'Jul - registro gastos'!$E$3:$E$300,Jul!$H$12,'Jul - registro gastos'!$F$3:$F$300,Jul!H22)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SUMIFS('Jul - registro gastos'!$D$3:$D$300,'Jul - registro gastos'!$E$3:$E$300,Jul!$B$12,'Jul - registro gastos'!$F$3:$F$300,Jul!B23)</f>
        <v>0</v>
      </c>
      <c r="F23" s="12">
        <f t="shared" si="1"/>
        <v>0</v>
      </c>
      <c r="H23" s="9"/>
      <c r="I23" s="10"/>
      <c r="J23" s="11"/>
      <c r="K23" s="11">
        <f>SUMIFS('Jul - registro gastos'!$D$3:$D$300,'Jul - registro gastos'!$E$3:$E$300,Jul!$H$12,'Jul - registro gastos'!$F$3:$F$300,Jul!H23)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SUMIFS('Jul - registro gastos'!$D$3:$D$300,'Jul - registro gastos'!$E$3:$E$300,Jul!$B$12,'Jul - registro gastos'!$F$3:$F$300,Jul!B24)</f>
        <v>0</v>
      </c>
      <c r="F24" s="15">
        <f t="shared" si="1"/>
        <v>0</v>
      </c>
      <c r="H24" s="13"/>
      <c r="I24" s="40"/>
      <c r="J24" s="14"/>
      <c r="K24" s="14">
        <f>SUMIFS('Jul - registro gastos'!$D$3:$D$300,'Jul - registro gastos'!$E$3:$E$300,Jul!$H$12,'Jul - registro gastos'!$F$3:$F$300,Jul!H24)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SUMIFS('Jul - registro gastos'!$D$3:$D$300,'Jul - registro gastos'!$E$3:$E$300,Jul!$B$27,'Jul - registro gastos'!$F$3:$F$300,Jul!B28)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SUMIFS('Jul - registro gastos'!$D$3:$D$300,'Jul - registro gastos'!$E$3:$E$300,Jul!$H$27,'Jul - registro gastos'!$F$3:$F$300,Jul!H28)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SUMIFS('Jul - registro gastos'!$D$3:$D$300,'Jul - registro gastos'!$E$3:$E$300,Jul!$B$27,'Jul - registro gastos'!$F$3:$F$300,Jul!B29)</f>
        <v>0</v>
      </c>
      <c r="F29" s="12">
        <f t="shared" si="2"/>
        <v>0</v>
      </c>
      <c r="H29" s="9" t="s">
        <v>17</v>
      </c>
      <c r="I29" s="10"/>
      <c r="J29" s="11"/>
      <c r="K29" s="11">
        <f>SUMIFS('Jul - registro gastos'!$D$3:$D$300,'Jul - registro gastos'!$E$3:$E$300,Jul!$H$27,'Jul - registro gastos'!$F$3:$F$300,Jul!H29)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SUMIFS('Jul - registro gastos'!$D$3:$D$300,'Jul - registro gastos'!$E$3:$E$300,Jul!$B$27,'Jul - registro gastos'!$F$3:$F$300,Jul!B30)</f>
        <v>0</v>
      </c>
      <c r="F30" s="12">
        <f t="shared" si="2"/>
        <v>0</v>
      </c>
      <c r="H30" s="9" t="s">
        <v>16</v>
      </c>
      <c r="I30" s="10"/>
      <c r="J30" s="11"/>
      <c r="K30" s="11">
        <f>SUMIFS('Jul - registro gastos'!$D$3:$D$300,'Jul - registro gastos'!$E$3:$E$300,Jul!$H$27,'Jul - registro gastos'!$F$3:$F$300,Jul!H30)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SUMIFS('Jul - registro gastos'!$D$3:$D$300,'Jul - registro gastos'!$E$3:$E$300,Jul!$B$27,'Jul - registro gastos'!$F$3:$F$300,Jul!B31)</f>
        <v>0</v>
      </c>
      <c r="F31" s="12">
        <f t="shared" si="2"/>
        <v>0</v>
      </c>
      <c r="H31" s="9"/>
      <c r="I31" s="10"/>
      <c r="J31" s="11"/>
      <c r="K31" s="11">
        <f>SUMIFS('Jul - registro gastos'!$D$3:$D$300,'Jul - registro gastos'!$E$3:$E$300,Jul!$H$27,'Jul - registro gastos'!$F$3:$F$300,Jul!H31)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SUMIFS('Jul - registro gastos'!$D$3:$D$300,'Jul - registro gastos'!$E$3:$E$300,Jul!$B$27,'Jul - registro gastos'!$F$3:$F$300,Jul!B32)</f>
        <v>0</v>
      </c>
      <c r="F32" s="12">
        <f t="shared" si="2"/>
        <v>0</v>
      </c>
      <c r="H32" s="9"/>
      <c r="I32" s="10"/>
      <c r="J32" s="11"/>
      <c r="K32" s="11">
        <f>SUMIFS('Jul - registro gastos'!$D$3:$D$300,'Jul - registro gastos'!$E$3:$E$300,Jul!$H$27,'Jul - registro gastos'!$F$3:$F$300,Jul!H32)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SUMIFS('Jul - registro gastos'!$D$3:$D$300,'Jul - registro gastos'!$E$3:$E$300,Jul!$B$27,'Jul - registro gastos'!$F$3:$F$300,Jul!B33)</f>
        <v>0</v>
      </c>
      <c r="F33" s="12">
        <f t="shared" si="2"/>
        <v>0</v>
      </c>
      <c r="H33" s="9"/>
      <c r="I33" s="10"/>
      <c r="J33" s="11"/>
      <c r="K33" s="11">
        <f>SUMIFS('Jul - registro gastos'!$D$3:$D$300,'Jul - registro gastos'!$E$3:$E$300,Jul!$H$27,'Jul - registro gastos'!$F$3:$F$300,Jul!H33)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SUMIFS('Jul - registro gastos'!$D$3:$D$300,'Jul - registro gastos'!$E$3:$E$300,Jul!$B$27,'Jul - registro gastos'!$F$3:$F$300,Jul!B34)</f>
        <v>0</v>
      </c>
      <c r="F34" s="12">
        <f t="shared" si="2"/>
        <v>0</v>
      </c>
      <c r="H34" s="9"/>
      <c r="I34" s="10"/>
      <c r="J34" s="11"/>
      <c r="K34" s="11">
        <f>SUMIFS('Jul - registro gastos'!$D$3:$D$300,'Jul - registro gastos'!$E$3:$E$300,Jul!$H$27,'Jul - registro gastos'!$F$3:$F$300,Jul!H34)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SUMIFS('Jul - registro gastos'!$D$3:$D$300,'Jul - registro gastos'!$E$3:$E$300,Jul!$B$27,'Jul - registro gastos'!$F$3:$F$300,Jul!B35)</f>
        <v>0</v>
      </c>
      <c r="F35" s="15">
        <f t="shared" si="2"/>
        <v>0</v>
      </c>
      <c r="H35" s="13"/>
      <c r="I35" s="40"/>
      <c r="J35" s="14"/>
      <c r="K35" s="14">
        <f>SUMIFS('Jul - registro gastos'!$D$3:$D$300,'Jul - registro gastos'!$E$3:$E$300,Jul!$H$27,'Jul - registro gastos'!$F$3:$F$300,Jul!H35)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SUMIFS('Jul - registro gastos'!$D$3:$D$300,'Jul - registro gastos'!$E$3:$E$300,Jul!$B$38,'Jul - registro gastos'!$F$3:$F$300,Jul!B39)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SUMIFS('Jul - registro gastos'!$D$3:$D$300,'Jul - registro gastos'!$E$3:$E$300,Jul!$H$38,'Jul - registro gastos'!$F$3:$F$300,Jul!H39)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SUMIFS('Jul - registro gastos'!$D$3:$D$300,'Jul - registro gastos'!$E$3:$E$300,Jul!$B$38,'Jul - registro gastos'!$F$3:$F$300,Jul!B40)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SUMIFS('Jul - registro gastos'!$D$3:$D$300,'Jul - registro gastos'!$E$3:$E$300,Jul!$H$38,'Jul - registro gastos'!$F$3:$F$300,Jul!H40)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SUMIFS('Jul - registro gastos'!$D$3:$D$300,'Jul - registro gastos'!$E$3:$E$300,Jul!$B$38,'Jul - registro gastos'!$F$3:$F$300,Jul!B41)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SUMIFS('Jul - registro gastos'!$D$3:$D$300,'Jul - registro gastos'!$E$3:$E$300,Jul!$H$38,'Jul - registro gastos'!$F$3:$F$300,Jul!H41)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SUMIFS('Jul - registro gastos'!$D$3:$D$300,'Jul - registro gastos'!$E$3:$E$300,Jul!$B$38,'Jul - registro gastos'!$F$3:$F$300,Jul!B42)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SUMIFS('Jul - registro gastos'!$D$3:$D$300,'Jul - registro gastos'!$E$3:$E$300,Jul!$H$38,'Jul - registro gastos'!$F$3:$F$300,Jul!H42)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SUMIFS('Jul - registro gastos'!$D$3:$D$300,'Jul - registro gastos'!$E$3:$E$300,Jul!$B$38,'Jul - registro gastos'!$F$3:$F$300,Jul!B43)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SUMIFS('Jul - registro gastos'!$D$3:$D$300,'Jul - registro gastos'!$E$3:$E$300,Jul!$H$38,'Jul - registro gastos'!$F$3:$F$300,Jul!H43)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SUMIFS('Jul - registro gastos'!$D$3:$D$300,'Jul - registro gastos'!$E$3:$E$300,Jul!$B$38,'Jul - registro gastos'!$F$3:$F$300,Jul!B44)</f>
        <v>0</v>
      </c>
      <c r="F44" s="12">
        <f t="shared" si="4"/>
        <v>0</v>
      </c>
      <c r="G44" s="20"/>
      <c r="H44" s="30"/>
      <c r="I44" s="10"/>
      <c r="J44" s="31"/>
      <c r="K44" s="31">
        <f>SUMIFS('Jul - registro gastos'!$D$3:$D$300,'Jul - registro gastos'!$E$3:$E$300,Jul!$H$38,'Jul - registro gastos'!$F$3:$F$300,Jul!H44)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SUMIFS('Jul - registro gastos'!$D$3:$D$300,'Jul - registro gastos'!$E$3:$E$300,Jul!$B$38,'Jul - registro gastos'!$F$3:$F$300,Jul!B45)</f>
        <v>0</v>
      </c>
      <c r="F45" s="15">
        <f t="shared" si="4"/>
        <v>0</v>
      </c>
      <c r="G45" s="20"/>
      <c r="H45" s="13"/>
      <c r="I45" s="40"/>
      <c r="J45" s="14"/>
      <c r="K45" s="14">
        <f>SUMIFS('Jul - registro gastos'!$D$3:$D$300,'Jul - registro gastos'!$E$3:$E$300,Jul!$H$38,'Jul - registro gastos'!$F$3:$F$300,Jul!H45)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SUMIFS('Jul - registro gastos'!$D$3:$D$300,'Jul - registro gastos'!$E$3:$E$300,Jul!$B$48,'Jul - registro gastos'!$F$3:$F$300,Jul!B49)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SUMIFS('Jul - registro gastos'!$D$3:$D$300,'Jul - registro gastos'!$E$3:$E$300,Jul!$H$48,'Jul - registro gastos'!$F$3:$F$300,Jul!H49)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SUMIFS('Jul - registro gastos'!$D$3:$D$300,'Jul - registro gastos'!$E$3:$E$300,Jul!$B$48,'Jul - registro gastos'!$F$3:$F$300,Jul!B50)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SUMIFS('Jul - registro gastos'!$D$3:$D$300,'Jul - registro gastos'!$E$3:$E$300,Jul!$H$48,'Jul - registro gastos'!$F$3:$F$300,Jul!H50)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SUMIFS('Jul - registro gastos'!$D$3:$D$300,'Jul - registro gastos'!$E$3:$E$300,Jul!$B$48,'Jul - registro gastos'!$F$3:$F$300,Jul!B51)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SUMIFS('Jul - registro gastos'!$D$3:$D$300,'Jul - registro gastos'!$E$3:$E$300,Jul!$H$48,'Jul - registro gastos'!$F$3:$F$300,Jul!H51)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SUMIFS('Jul - registro gastos'!$D$3:$D$300,'Jul - registro gastos'!$E$3:$E$300,Jul!$B$48,'Jul - registro gastos'!$F$3:$F$300,Jul!B52)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SUMIFS('Jul - registro gastos'!$D$3:$D$300,'Jul - registro gastos'!$E$3:$E$300,Jul!$H$48,'Jul - registro gastos'!$F$3:$F$300,Jul!H52)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SUMIFS('Jul - registro gastos'!$D$3:$D$300,'Jul - registro gastos'!$E$3:$E$300,Jul!$B$48,'Jul - registro gastos'!$F$3:$F$300,Jul!B53)</f>
        <v>0</v>
      </c>
      <c r="F53" s="12">
        <f t="shared" si="6"/>
        <v>0</v>
      </c>
      <c r="G53" s="20"/>
      <c r="H53" s="9"/>
      <c r="I53" s="10"/>
      <c r="J53" s="11"/>
      <c r="K53" s="11">
        <f>SUMIFS('Jul - registro gastos'!$D$3:$D$300,'Jul - registro gastos'!$E$3:$E$300,Jul!$H$48,'Jul - registro gastos'!$F$3:$F$300,Jul!H53)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SUMIFS('Jul - registro gastos'!$D$3:$D$300,'Jul - registro gastos'!$E$3:$E$300,Jul!$B$48,'Jul - registro gastos'!$F$3:$F$300,Jul!B54)</f>
        <v>0</v>
      </c>
      <c r="F54" s="15">
        <f t="shared" si="6"/>
        <v>0</v>
      </c>
      <c r="G54" s="20"/>
      <c r="H54" s="13"/>
      <c r="I54" s="40"/>
      <c r="J54" s="14"/>
      <c r="K54" s="14">
        <f>SUMIFS('Jul - registro gastos'!$D$3:$D$300,'Jul - registro gastos'!$E$3:$E$300,Jul!$H$48,'Jul - registro gastos'!$F$3:$F$300,Jul!H54)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SUMIFS('Jul - registro gastos'!$D$3:$D$300,'Jul - registro gastos'!$E$3:$E$300,Jul!$B$57,'Jul - registro gastos'!$F$3:$F$300,Jul!B58)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SUMIFS('Jul - registro gastos'!$D$3:$D$300,'Jul - registro gastos'!$E$3:$E$300,Jul!$H$57,'Jul - registro gastos'!$F$3:$F$300,Jul!H58)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SUMIFS('Jul - registro gastos'!$D$3:$D$300,'Jul - registro gastos'!$E$3:$E$300,Jul!$B$57,'Jul - registro gastos'!$F$3:$F$300,Jul!B59)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SUMIFS('Jul - registro gastos'!$D$3:$D$300,'Jul - registro gastos'!$E$3:$E$300,Jul!$H$57,'Jul - registro gastos'!$F$3:$F$300,Jul!H59)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SUMIFS('Jul - registro gastos'!$D$3:$D$300,'Jul - registro gastos'!$E$3:$E$300,Jul!$B$57,'Jul - registro gastos'!$F$3:$F$300,Jul!B60)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SUMIFS('Jul - registro gastos'!$D$3:$D$300,'Jul - registro gastos'!$E$3:$E$300,Jul!$H$57,'Jul - registro gastos'!$F$3:$F$300,Jul!H60)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SUMIFS('Jul - registro gastos'!$D$3:$D$300,'Jul - registro gastos'!$E$3:$E$300,Jul!$B$57,'Jul - registro gastos'!$F$3:$F$300,Jul!B61)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SUMIFS('Jul - registro gastos'!$D$3:$D$300,'Jul - registro gastos'!$E$3:$E$300,Jul!$H$57,'Jul - registro gastos'!$F$3:$F$300,Jul!H61)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SUMIFS('Jul - registro gastos'!$D$3:$D$300,'Jul - registro gastos'!$E$3:$E$300,Jul!$B$57,'Jul - registro gastos'!$F$3:$F$300,Jul!B62)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SUMIFS('Jul - registro gastos'!$D$3:$D$300,'Jul - registro gastos'!$E$3:$E$300,Jul!$H$57,'Jul - registro gastos'!$F$3:$F$300,Jul!H62)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SUMIFS('Jul - registro gastos'!$D$3:$D$300,'Jul - registro gastos'!$E$3:$E$300,Jul!$B$57,'Jul - registro gastos'!$F$3:$F$300,Jul!B63)</f>
        <v>0</v>
      </c>
      <c r="F63" s="12">
        <f t="shared" si="9"/>
        <v>0</v>
      </c>
      <c r="G63" s="20"/>
      <c r="H63" s="30"/>
      <c r="I63" s="10"/>
      <c r="J63" s="31"/>
      <c r="K63" s="31">
        <f>SUMIFS('Jul - registro gastos'!$D$3:$D$300,'Jul - registro gastos'!$E$3:$E$300,Jul!$H$57,'Jul - registro gastos'!$F$3:$F$300,Jul!H63)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SUMIFS('Jul - registro gastos'!$D$3:$D$300,'Jul - registro gastos'!$E$3:$E$300,Jul!$B$57,'Jul - registro gastos'!$F$3:$F$300,Jul!B64)</f>
        <v>0</v>
      </c>
      <c r="F64" s="15">
        <f t="shared" si="9"/>
        <v>0</v>
      </c>
      <c r="G64" s="20"/>
      <c r="H64" s="13"/>
      <c r="I64" s="40"/>
      <c r="J64" s="14"/>
      <c r="K64" s="14">
        <f>SUMIFS('Jul - registro gastos'!$D$3:$D$300,'Jul - registro gastos'!$E$3:$E$300,Jul!$H$57,'Jul - registro gastos'!$F$3:$F$300,Jul!H64)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SUMIFS('Jul - registro gastos'!$D$3:$D$300,'Jul - registro gastos'!$E$3:$E$300,Jul!$B$67,'Jul - registro gastos'!$F$3:$F$300,Jul!B68)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SUMIFS('Jul - registro gastos'!$D$3:$D$300,'Jul - registro gastos'!$E$3:$E$300,Jul!$H$67,'Jul - registro gastos'!$F$3:$F$300,Jul!H68)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SUMIFS('Jul - registro gastos'!$D$3:$D$300,'Jul - registro gastos'!$E$3:$E$300,Jul!$B$67,'Jul - registro gastos'!$F$3:$F$300,Jul!B69)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SUMIFS('Jul - registro gastos'!$D$3:$D$300,'Jul - registro gastos'!$E$3:$E$300,Jul!$H$67,'Jul - registro gastos'!$F$3:$F$300,Jul!H69)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SUMIFS('Jul - registro gastos'!$D$3:$D$300,'Jul - registro gastos'!$E$3:$E$300,Jul!$B$67,'Jul - registro gastos'!$F$3:$F$300,Jul!B70)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SUMIFS('Jul - registro gastos'!$D$3:$D$300,'Jul - registro gastos'!$E$3:$E$300,Jul!$H$67,'Jul - registro gastos'!$F$3:$F$300,Jul!H70)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SUMIFS('Jul - registro gastos'!$D$3:$D$300,'Jul - registro gastos'!$E$3:$E$300,Jul!$B$67,'Jul - registro gastos'!$F$3:$F$300,Jul!B71)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SUMIFS('Jul - registro gastos'!$D$3:$D$300,'Jul - registro gastos'!$E$3:$E$300,Jul!$H$67,'Jul - registro gastos'!$F$3:$F$300,Jul!H71)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SUMIFS('Jul - registro gastos'!$D$3:$D$300,'Jul - registro gastos'!$E$3:$E$300,Jul!$B$67,'Jul - registro gastos'!$F$3:$F$300,Jul!B72)</f>
        <v>0</v>
      </c>
      <c r="F72" s="12">
        <f t="shared" si="10"/>
        <v>0</v>
      </c>
      <c r="G72" s="20"/>
      <c r="H72" s="9"/>
      <c r="I72" s="10"/>
      <c r="J72" s="11"/>
      <c r="K72" s="11">
        <f>SUMIFS('Jul - registro gastos'!$D$3:$D$300,'Jul - registro gastos'!$E$3:$E$300,Jul!$H$67,'Jul - registro gastos'!$F$3:$F$300,Jul!H72)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SUMIFS('Jul - registro gastos'!$D$3:$D$300,'Jul - registro gastos'!$E$3:$E$300,Jul!$B$67,'Jul - registro gastos'!$F$3:$F$300,Jul!B73)</f>
        <v>0</v>
      </c>
      <c r="F73" s="12">
        <f t="shared" si="10"/>
        <v>0</v>
      </c>
      <c r="G73" s="20"/>
      <c r="H73" s="9"/>
      <c r="I73" s="10"/>
      <c r="J73" s="11"/>
      <c r="K73" s="11">
        <f>SUMIFS('Jul - registro gastos'!$D$3:$D$300,'Jul - registro gastos'!$E$3:$E$300,Jul!$H$67,'Jul - registro gastos'!$F$3:$F$300,Jul!H73)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SUMIFS('Jul - registro gastos'!$D$3:$D$300,'Jul - registro gastos'!$E$3:$E$300,Jul!$B$67,'Jul - registro gastos'!$F$3:$F$300,Jul!B74)</f>
        <v>0</v>
      </c>
      <c r="F74" s="12">
        <f t="shared" si="10"/>
        <v>0</v>
      </c>
      <c r="G74" s="20"/>
      <c r="H74" s="9"/>
      <c r="I74" s="10"/>
      <c r="J74" s="11"/>
      <c r="K74" s="11">
        <f>SUMIFS('Jul - registro gastos'!$D$3:$D$300,'Jul - registro gastos'!$E$3:$E$300,Jul!$H$67,'Jul - registro gastos'!$F$3:$F$300,Jul!H74)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SUMIFS('Jul - registro gastos'!$D$3:$D$300,'Jul - registro gastos'!$E$3:$E$300,Jul!$B$67,'Jul - registro gastos'!$F$3:$F$300,Jul!B75)</f>
        <v>0</v>
      </c>
      <c r="F75" s="12">
        <f t="shared" si="10"/>
        <v>0</v>
      </c>
      <c r="G75" s="20"/>
      <c r="H75" s="30"/>
      <c r="I75" s="10"/>
      <c r="J75" s="31"/>
      <c r="K75" s="31">
        <f>SUMIFS('Jul - registro gastos'!$D$3:$D$300,'Jul - registro gastos'!$E$3:$E$300,Jul!$H$67,'Jul - registro gastos'!$F$3:$F$300,Jul!H75)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SUMIFS('Jul - registro gastos'!$D$3:$D$300,'Jul - registro gastos'!$E$3:$E$300,Jul!$B$67,'Jul - registro gastos'!$F$3:$F$300,Jul!B76)</f>
        <v>0</v>
      </c>
      <c r="F76" s="12">
        <f t="shared" si="10"/>
        <v>0</v>
      </c>
      <c r="G76" s="20"/>
      <c r="H76" s="30"/>
      <c r="I76" s="10"/>
      <c r="J76" s="31"/>
      <c r="K76" s="31">
        <f>SUMIFS('Jul - registro gastos'!$D$3:$D$300,'Jul - registro gastos'!$E$3:$E$300,Jul!$H$67,'Jul - registro gastos'!$F$3:$F$300,Jul!H76)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SUMIFS('Jul - registro gastos'!$D$3:$D$300,'Jul - registro gastos'!$E$3:$E$300,Jul!$B$67,'Jul - registro gastos'!$F$3:$F$300,Jul!B77)</f>
        <v>0</v>
      </c>
      <c r="F77" s="12">
        <f t="shared" si="10"/>
        <v>0</v>
      </c>
      <c r="G77" s="20"/>
      <c r="H77" s="30"/>
      <c r="I77" s="10"/>
      <c r="J77" s="31"/>
      <c r="K77" s="31">
        <f>SUMIFS('Jul - registro gastos'!$D$3:$D$300,'Jul - registro gastos'!$E$3:$E$300,Jul!$H$67,'Jul - registro gastos'!$F$3:$F$300,Jul!H77)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SUMIFS('Jul - registro gastos'!$D$3:$D$300,'Jul - registro gastos'!$E$3:$E$300,Jul!$B$67,'Jul - registro gastos'!$F$3:$F$300,Jul!B78)</f>
        <v>0</v>
      </c>
      <c r="F78" s="15">
        <f t="shared" si="10"/>
        <v>0</v>
      </c>
      <c r="G78" s="20"/>
      <c r="H78" s="13"/>
      <c r="I78" s="40"/>
      <c r="J78" s="14"/>
      <c r="K78" s="14">
        <f>SUMIFS('Jul - registro gastos'!$D$3:$D$300,'Jul - registro gastos'!$E$3:$E$300,Jul!$H$67,'Jul - registro gastos'!$F$3:$F$300,Jul!H78)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SUMIFS('Jul - registro gastos'!$D$3:$D$300,'Jul - registro gastos'!$E$3:$E$300,Jul!$B$81,'Jul - registro gastos'!$F$3:$F$300,Jul!B82)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SUMIFS('Jul - registro gastos'!$D$3:$D$300,'Jul - registro gastos'!$E$3:$E$300,Jul!$H$81,'Jul - registro gastos'!$F$3:$F$300,Jul!H82)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SUMIFS('Jul - registro gastos'!$D$3:$D$300,'Jul - registro gastos'!$E$3:$E$300,Jul!$B$81,'Jul - registro gastos'!$F$3:$F$300,Jul!B83)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SUMIFS('Jul - registro gastos'!$D$3:$D$300,'Jul - registro gastos'!$E$3:$E$300,Jul!$H$81,'Jul - registro gastos'!$F$3:$F$300,Jul!H83)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SUMIFS('Jul - registro gastos'!$D$3:$D$300,'Jul - registro gastos'!$E$3:$E$300,Jul!$B$81,'Jul - registro gastos'!$F$3:$F$300,Jul!B84)</f>
        <v>0</v>
      </c>
      <c r="F84" s="12">
        <f t="shared" si="12"/>
        <v>0</v>
      </c>
      <c r="G84" s="20"/>
      <c r="H84" s="9"/>
      <c r="I84" s="10"/>
      <c r="J84" s="11"/>
      <c r="K84" s="11">
        <f>SUMIFS('Jul - registro gastos'!$D$3:$D$300,'Jul - registro gastos'!$E$3:$E$300,Jul!$H$81,'Jul - registro gastos'!$F$3:$F$300,Jul!H84)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SUMIFS('Jul - registro gastos'!$D$3:$D$300,'Jul - registro gastos'!$E$3:$E$300,Jul!$B$81,'Jul - registro gastos'!$F$3:$F$300,Jul!B85)</f>
        <v>0</v>
      </c>
      <c r="F85" s="12">
        <f>D85-E85</f>
        <v>0</v>
      </c>
      <c r="G85" s="20"/>
      <c r="H85" s="9"/>
      <c r="I85" s="10"/>
      <c r="J85" s="11"/>
      <c r="K85" s="11">
        <f>SUMIFS('Jul - registro gastos'!$D$3:$D$300,'Jul - registro gastos'!$E$3:$E$300,Jul!$H$81,'Jul - registro gastos'!$F$3:$F$300,Jul!H85)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SUMIFS('Jul - registro gastos'!$D$3:$D$300,'Jul - registro gastos'!$E$3:$E$300,Jul!$B$81,'Jul - registro gastos'!$F$3:$F$300,Jul!B86)</f>
        <v>0</v>
      </c>
      <c r="F86" s="12">
        <f t="shared" si="12"/>
        <v>0</v>
      </c>
      <c r="G86" s="20"/>
      <c r="H86" s="9"/>
      <c r="I86" s="10"/>
      <c r="J86" s="11"/>
      <c r="K86" s="11">
        <f>SUMIFS('Jul - registro gastos'!$D$3:$D$300,'Jul - registro gastos'!$E$3:$E$300,Jul!$H$81,'Jul - registro gastos'!$F$3:$F$300,Jul!H86)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SUMIFS('Jul - registro gastos'!$D$3:$D$300,'Jul - registro gastos'!$E$3:$E$300,Jul!$B$81,'Jul - registro gastos'!$F$3:$F$300,Jul!B87)</f>
        <v>0</v>
      </c>
      <c r="F87" s="15">
        <f t="shared" si="12"/>
        <v>0</v>
      </c>
      <c r="G87" s="20"/>
      <c r="H87" s="13"/>
      <c r="I87" s="40"/>
      <c r="J87" s="14"/>
      <c r="K87" s="14">
        <f>SUMIFS('Jul - registro gastos'!$D$3:$D$300,'Jul - registro gastos'!$E$3:$E$300,Jul!$H$81,'Jul - registro gastos'!$F$3:$F$300,Jul!H87)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SUMIFS('Jul - registro gastos'!$D$3:$D$300,'Jul - registro gastos'!$E$3:$E$300,Jul!$B$90,'Jul - registro gastos'!$F$3:$F$300,Jul!B91)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SUMIFS('Jul - registro gastos'!$D$3:$D$300,'Jul - registro gastos'!$E$3:$E$300,Jul!$H$90,'Jul - registro gastos'!$F$3:$F$300,Jul!H91)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SUMIFS('Jul - registro gastos'!$D$3:$D$300,'Jul - registro gastos'!$E$3:$E$300,Jul!$B$90,'Jul - registro gastos'!$F$3:$F$300,Jul!B92)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SUMIFS('Jul - registro gastos'!$D$3:$D$300,'Jul - registro gastos'!$E$3:$E$300,Jul!$H$90,'Jul - registro gastos'!$F$3:$F$300,Jul!H92)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SUMIFS('Jul - registro gastos'!$D$3:$D$300,'Jul - registro gastos'!$E$3:$E$300,Jul!$B$90,'Jul - registro gastos'!$F$3:$F$300,Jul!B93)</f>
        <v>0</v>
      </c>
      <c r="F93" s="12">
        <f t="shared" si="15"/>
        <v>0</v>
      </c>
      <c r="G93" s="20"/>
      <c r="H93" s="9"/>
      <c r="I93" s="10"/>
      <c r="J93" s="11"/>
      <c r="K93" s="11">
        <f>SUMIFS('Jul - registro gastos'!$D$3:$D$300,'Jul - registro gastos'!$E$3:$E$300,Jul!$H$90,'Jul - registro gastos'!$F$3:$F$300,Jul!H93)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SUMIFS('Jul - registro gastos'!$D$3:$D$300,'Jul - registro gastos'!$E$3:$E$300,Jul!$B$90,'Jul - registro gastos'!$F$3:$F$300,Jul!B94)</f>
        <v>0</v>
      </c>
      <c r="F94" s="12">
        <f t="shared" si="15"/>
        <v>0</v>
      </c>
      <c r="G94" s="20"/>
      <c r="H94" s="9"/>
      <c r="I94" s="10"/>
      <c r="J94" s="11"/>
      <c r="K94" s="11">
        <f>SUMIFS('Jul - registro gastos'!$D$3:$D$300,'Jul - registro gastos'!$E$3:$E$300,Jul!$H$90,'Jul - registro gastos'!$F$3:$F$300,Jul!H94)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SUMIFS('Jul - registro gastos'!$D$3:$D$300,'Jul - registro gastos'!$E$3:$E$300,Jul!$B$90,'Jul - registro gastos'!$F$3:$F$300,Jul!B95)</f>
        <v>0</v>
      </c>
      <c r="F95" s="12">
        <f>D95-E95</f>
        <v>0</v>
      </c>
      <c r="G95" s="20"/>
      <c r="H95" s="9"/>
      <c r="I95" s="10"/>
      <c r="J95" s="11"/>
      <c r="K95" s="11">
        <f>SUMIFS('Jul - registro gastos'!$D$3:$D$300,'Jul - registro gastos'!$E$3:$E$300,Jul!$H$90,'Jul - registro gastos'!$F$3:$F$300,Jul!H95)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SUMIFS('Jul - registro gastos'!$D$3:$D$300,'Jul - registro gastos'!$E$3:$E$300,Jul!$B$90,'Jul - registro gastos'!$F$3:$F$300,Jul!B96)</f>
        <v>0</v>
      </c>
      <c r="F96" s="12">
        <f t="shared" si="15"/>
        <v>0</v>
      </c>
      <c r="G96" s="20"/>
      <c r="H96" s="9"/>
      <c r="I96" s="10"/>
      <c r="J96" s="11"/>
      <c r="K96" s="11">
        <f>SUMIFS('Jul - registro gastos'!$D$3:$D$300,'Jul - registro gastos'!$E$3:$E$300,Jul!$H$90,'Jul - registro gastos'!$F$3:$F$300,Jul!H96)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SUMIFS('Jul - registro gastos'!$D$3:$D$300,'Jul - registro gastos'!$E$3:$E$300,Jul!$B$90,'Jul - registro gastos'!$F$3:$F$300,Jul!B97)</f>
        <v>0</v>
      </c>
      <c r="F97" s="15">
        <f t="shared" si="15"/>
        <v>0</v>
      </c>
      <c r="G97" s="20"/>
      <c r="H97" s="13"/>
      <c r="I97" s="40"/>
      <c r="J97" s="14"/>
      <c r="K97" s="14">
        <f>SUMIFS('Jul - registro gastos'!$D$3:$D$300,'Jul - registro gastos'!$E$3:$E$300,Jul!$H$90,'Jul - registro gastos'!$F$3:$F$300,Jul!H97)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SUMIFS('Jul - registro gastos'!$D$3:$D$300,'Jul - registro gastos'!$E$3:$E$300,Jul!$B$100,'Jul - registro gastos'!$F$3:$F$300,Jul!B101)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SUMIFS('Jul - registro gastos'!$D$3:$D$300,'Jul - registro gastos'!$E$3:$E$300,Jul!$H$100,'Jul - registro gastos'!$F$3:$F$300,Jul!H101)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SUMIFS('Jul - registro gastos'!$D$3:$D$300,'Jul - registro gastos'!$E$3:$E$300,Jul!$B$100,'Jul - registro gastos'!$F$3:$F$300,Jul!B102)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SUMIFS('Jul - registro gastos'!$D$3:$D$300,'Jul - registro gastos'!$E$3:$E$300,Jul!$H$100,'Jul - registro gastos'!$F$3:$F$300,Jul!H102)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SUMIFS('Jul - registro gastos'!$D$3:$D$300,'Jul - registro gastos'!$E$3:$E$300,Jul!$B$100,'Jul - registro gastos'!$F$3:$F$300,Jul!B103)</f>
        <v>0</v>
      </c>
      <c r="F103" s="12">
        <f t="shared" si="16"/>
        <v>0</v>
      </c>
      <c r="G103" s="20"/>
      <c r="H103" s="9"/>
      <c r="I103" s="10"/>
      <c r="J103" s="11"/>
      <c r="K103" s="11">
        <f>SUMIFS('Jul - registro gastos'!$D$3:$D$300,'Jul - registro gastos'!$E$3:$E$300,Jul!$H$100,'Jul - registro gastos'!$F$3:$F$300,Jul!H103)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SUMIFS('Jul - registro gastos'!$D$3:$D$300,'Jul - registro gastos'!$E$3:$E$300,Jul!$B$100,'Jul - registro gastos'!$F$3:$F$300,Jul!B104)</f>
        <v>0</v>
      </c>
      <c r="F104" s="12">
        <f t="shared" si="16"/>
        <v>0</v>
      </c>
      <c r="G104" s="20"/>
      <c r="H104" s="9"/>
      <c r="I104" s="10"/>
      <c r="J104" s="11"/>
      <c r="K104" s="11">
        <f>SUMIFS('Jul - registro gastos'!$D$3:$D$300,'Jul - registro gastos'!$E$3:$E$300,Jul!$H$100,'Jul - registro gastos'!$F$3:$F$300,Jul!H104)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SUMIFS('Jul - registro gastos'!$D$3:$D$300,'Jul - registro gastos'!$E$3:$E$300,Jul!$B$100,'Jul - registro gastos'!$F$3:$F$300,Jul!B105)</f>
        <v>0</v>
      </c>
      <c r="F105" s="12">
        <f t="shared" si="16"/>
        <v>0</v>
      </c>
      <c r="G105" s="20"/>
      <c r="H105" s="9"/>
      <c r="I105" s="10"/>
      <c r="J105" s="11"/>
      <c r="K105" s="11">
        <f>SUMIFS('Jul - registro gastos'!$D$3:$D$300,'Jul - registro gastos'!$E$3:$E$300,Jul!$H$100,'Jul - registro gastos'!$F$3:$F$300,Jul!H105)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SUMIFS('Jul - registro gastos'!$D$3:$D$300,'Jul - registro gastos'!$E$3:$E$300,Jul!$B$100,'Jul - registro gastos'!$F$3:$F$300,Jul!B106)</f>
        <v>0</v>
      </c>
      <c r="F106" s="12">
        <f t="shared" si="16"/>
        <v>0</v>
      </c>
      <c r="G106" s="20"/>
      <c r="H106" s="9"/>
      <c r="I106" s="10"/>
      <c r="J106" s="11"/>
      <c r="K106" s="11">
        <f>SUMIFS('Jul - registro gastos'!$D$3:$D$300,'Jul - registro gastos'!$E$3:$E$300,Jul!$H$100,'Jul - registro gastos'!$F$3:$F$300,Jul!H106)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SUMIFS('Jul - registro gastos'!$D$3:$D$300,'Jul - registro gastos'!$E$3:$E$300,Jul!$B$100,'Jul - registro gastos'!$F$3:$F$300,Jul!B107)</f>
        <v>0</v>
      </c>
      <c r="F107" s="15">
        <f>D107-E107</f>
        <v>0</v>
      </c>
      <c r="G107" s="20"/>
      <c r="H107" s="13"/>
      <c r="I107" s="40"/>
      <c r="J107" s="14"/>
      <c r="K107" s="14">
        <f>SUMIFS('Jul - registro gastos'!$D$3:$D$300,'Jul - registro gastos'!$E$3:$E$300,Jul!$H$100,'Jul - registro gastos'!$F$3:$F$300,Jul!H107)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40:E108 K12:K107 E29:E36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9A8F3BA-382A-0D44-B102-A4138DBCEF55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8CECED8F-3F56-6A4D-ABD2-988E5C9A6222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30BC-D08E-BB4C-B8A4-975871ECA2F0}">
  <sheetPr codeName="Hoja9">
    <tabColor rgb="FFFD9F00"/>
  </sheetPr>
  <dimension ref="B2:AR312"/>
  <sheetViews>
    <sheetView showGridLines="0" topLeftCell="B1" zoomScale="110" zoomScaleNormal="11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3" width="11" customWidth="1"/>
    <col min="14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hidden="1" customWidth="1"/>
    <col min="45" max="46" width="0" hidden="1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Jul!$B$12</f>
        <v>NECESIDADES BÁSICAS</v>
      </c>
      <c r="AO4" s="84" t="str">
        <f>Jul!B13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Jul!$B$12</f>
        <v>NECESIDADES BÁSICAS</v>
      </c>
      <c r="AO5" s="86" t="str">
        <f>Jul!B14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Jul!$B$12</f>
        <v>NECESIDADES BÁSICAS</v>
      </c>
      <c r="AO6" s="86" t="str">
        <f>Jul!B15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Jul!$B$12</f>
        <v>NECESIDADES BÁSICAS</v>
      </c>
      <c r="AO7" s="86" t="str">
        <f>Jul!B16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Jul!$B$12</f>
        <v>NECESIDADES BÁSICAS</v>
      </c>
      <c r="AO8" s="86" t="str">
        <f>Jul!B17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Jul!$B$12</f>
        <v>NECESIDADES BÁSICAS</v>
      </c>
      <c r="AO9" s="86" t="str">
        <f>Jul!B18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Jul!$B$12</f>
        <v>NECESIDADES BÁSICAS</v>
      </c>
      <c r="AO10" s="86" t="str">
        <f>Jul!B19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Jul!$B$12</f>
        <v>NECESIDADES BÁSICAS</v>
      </c>
      <c r="AO11" s="86" t="str">
        <f>Jul!B20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Jul!$B$12</f>
        <v>NECESIDADES BÁSICAS</v>
      </c>
      <c r="AO12" s="86" t="str">
        <f>Jul!B21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Jul!$B$12</f>
        <v>NECESIDADES BÁSICAS</v>
      </c>
      <c r="AO13" s="86">
        <f>Jul!B22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Jul!$B$12</f>
        <v>NECESIDADES BÁSICAS</v>
      </c>
      <c r="AO14" s="86">
        <f>Jul!B23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Jul!$B$12</f>
        <v>NECESIDADES BÁSICAS</v>
      </c>
      <c r="AO15" s="88">
        <f>Jul!B24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Jul!$H$12</f>
        <v>AHORROS</v>
      </c>
      <c r="AO16" s="84" t="str">
        <f>Jul!H13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Jul!$H$12</f>
        <v>AHORROS</v>
      </c>
      <c r="AO17" s="86" t="str">
        <f>Jul!H14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Jul!$H$12</f>
        <v>AHORROS</v>
      </c>
      <c r="AO18" s="86" t="str">
        <f>Jul!H15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Jul!$H$12</f>
        <v>AHORROS</v>
      </c>
      <c r="AO19" s="86" t="str">
        <f>Jul!H16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Jul!$H$12</f>
        <v>AHORROS</v>
      </c>
      <c r="AO20" s="86" t="str">
        <f>Jul!H17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Jul!$H$12</f>
        <v>AHORROS</v>
      </c>
      <c r="AO21" s="86">
        <f>Jul!H18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Jul!$H$12</f>
        <v>AHORROS</v>
      </c>
      <c r="AO22" s="86">
        <f>Jul!H19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Jul!$H$12</f>
        <v>AHORROS</v>
      </c>
      <c r="AO23" s="86">
        <f>Jul!H20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Jul!$H$12</f>
        <v>AHORROS</v>
      </c>
      <c r="AO24" s="86">
        <f>Jul!H21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Jul!$H$12</f>
        <v>AHORROS</v>
      </c>
      <c r="AO25" s="86">
        <f>Jul!H22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Jul!$H$12</f>
        <v>AHORROS</v>
      </c>
      <c r="AO26" s="86">
        <f>Jul!H23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Jul!$H$12</f>
        <v>AHORROS</v>
      </c>
      <c r="AO27" s="88">
        <f>Jul!H24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Jul!$B$27</f>
        <v>DEUDAS</v>
      </c>
      <c r="AO28" s="84" t="str">
        <f>Jul!B28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Jul!$B$27</f>
        <v>DEUDAS</v>
      </c>
      <c r="AO29" s="86" t="str">
        <f>Jul!B29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Jul!$B$27</f>
        <v>DEUDAS</v>
      </c>
      <c r="AO30" s="86" t="str">
        <f>Jul!B30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Jul!$B$27</f>
        <v>DEUDAS</v>
      </c>
      <c r="AO31" s="86" t="str">
        <f>Jul!B31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Jul!$B$27</f>
        <v>DEUDAS</v>
      </c>
      <c r="AO32" s="86" t="str">
        <f>Jul!B32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Jul!$B$27</f>
        <v>DEUDAS</v>
      </c>
      <c r="AO33" s="86">
        <f>Jul!B33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Jul!$B$27</f>
        <v>DEUDAS</v>
      </c>
      <c r="AO34" s="86">
        <f>Jul!B34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Jul!$B$27</f>
        <v>DEUDAS</v>
      </c>
      <c r="AO35" s="88">
        <f>Jul!B35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Jul!$H$27</f>
        <v>REGALOS/ CARIDAD</v>
      </c>
      <c r="AO36" s="84" t="str">
        <f>Jul!H28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Jul!$H$27</f>
        <v>REGALOS/ CARIDAD</v>
      </c>
      <c r="AO37" s="86" t="str">
        <f>Jul!H29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Jul!$H$27</f>
        <v>REGALOS/ CARIDAD</v>
      </c>
      <c r="AO38" s="86" t="str">
        <f>Jul!H30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Jul!$H$27</f>
        <v>REGALOS/ CARIDAD</v>
      </c>
      <c r="AO39" s="86">
        <f>Jul!H31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Jul!$H$27</f>
        <v>REGALOS/ CARIDAD</v>
      </c>
      <c r="AO40" s="86">
        <f>Jul!H32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Jul!$H$27</f>
        <v>REGALOS/ CARIDAD</v>
      </c>
      <c r="AO41" s="86">
        <f>Jul!H33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Jul!$H$27</f>
        <v>REGALOS/ CARIDAD</v>
      </c>
      <c r="AO42" s="86">
        <f>Jul!H34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Jul!$H$27</f>
        <v>REGALOS/ CARIDAD</v>
      </c>
      <c r="AO43" s="88">
        <f>Jul!H35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Jul!$B$38</f>
        <v>CASA</v>
      </c>
      <c r="AO44" s="84" t="str">
        <f>Jul!B39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Jul!$B$38</f>
        <v>CASA</v>
      </c>
      <c r="AO45" s="86" t="str">
        <f>Jul!B40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Jul!$B$38</f>
        <v>CASA</v>
      </c>
      <c r="AO46" s="86" t="str">
        <f>Jul!B41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Jul!$B$38</f>
        <v>CASA</v>
      </c>
      <c r="AO47" s="86" t="str">
        <f>Jul!B42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Jul!$B$38</f>
        <v>CASA</v>
      </c>
      <c r="AO48" s="86">
        <f>Jul!B43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Jul!$B$38</f>
        <v>CASA</v>
      </c>
      <c r="AO49" s="86">
        <f>Jul!B44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Jul!$B$38</f>
        <v>CASA</v>
      </c>
      <c r="AO50" s="88">
        <f>Jul!B45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Jul!$H$38</f>
        <v>TRANSPORTE</v>
      </c>
      <c r="AO51" s="84" t="str">
        <f>Jul!H39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Jul!$H$38</f>
        <v>TRANSPORTE</v>
      </c>
      <c r="AO52" s="86" t="str">
        <f>Jul!H40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Jul!$H$38</f>
        <v>TRANSPORTE</v>
      </c>
      <c r="AO53" s="86" t="str">
        <f>Jul!H41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Jul!$H$38</f>
        <v>TRANSPORTE</v>
      </c>
      <c r="AO54" s="86" t="str">
        <f>Jul!H42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Jul!$H$38</f>
        <v>TRANSPORTE</v>
      </c>
      <c r="AO55" s="86" t="str">
        <f>Jul!H43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Jul!$H$38</f>
        <v>TRANSPORTE</v>
      </c>
      <c r="AO56" s="86">
        <f>Jul!H44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Jul!$H$38</f>
        <v>TRANSPORTE</v>
      </c>
      <c r="AO57" s="88">
        <f>Jul!H45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Jul!$B$48</f>
        <v>ALIMENTACIÓN</v>
      </c>
      <c r="AO58" s="84" t="str">
        <f>Jul!B49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Jul!$B$48</f>
        <v>ALIMENTACIÓN</v>
      </c>
      <c r="AO59" s="86" t="str">
        <f>Jul!B50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Jul!$B$48</f>
        <v>ALIMENTACIÓN</v>
      </c>
      <c r="AO60" s="86">
        <f>Jul!B51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Jul!$B$48</f>
        <v>ALIMENTACIÓN</v>
      </c>
      <c r="AO61" s="86">
        <f>Jul!B52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Jul!$B$48</f>
        <v>ALIMENTACIÓN</v>
      </c>
      <c r="AO62" s="86">
        <f>Jul!B53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Jul!$B$48</f>
        <v>ALIMENTACIÓN</v>
      </c>
      <c r="AO63" s="88">
        <f>Jul!B54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Jul!$H$48</f>
        <v>SEGUROS</v>
      </c>
      <c r="AO64" s="84" t="str">
        <f>Jul!H49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Jul!$H$48</f>
        <v>SEGUROS</v>
      </c>
      <c r="AO65" s="86" t="str">
        <f>Jul!H50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Jul!$H$48</f>
        <v>SEGUROS</v>
      </c>
      <c r="AO66" s="86" t="str">
        <f>Jul!H51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Jul!$H$48</f>
        <v>SEGUROS</v>
      </c>
      <c r="AO67" s="86" t="str">
        <f>Jul!H52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Jul!$H$48</f>
        <v>SEGUROS</v>
      </c>
      <c r="AO68" s="86">
        <f>Jul!H53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Jul!$H$48</f>
        <v>SEGUROS</v>
      </c>
      <c r="AO69" s="88">
        <f>Jul!H54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Jul!$B$57</f>
        <v>SALUD</v>
      </c>
      <c r="AO70" s="84" t="str">
        <f>Jul!B58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Jul!$B$57</f>
        <v>SALUD</v>
      </c>
      <c r="AO71" s="86" t="str">
        <f>Jul!B59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Jul!$B$57</f>
        <v>SALUD</v>
      </c>
      <c r="AO72" s="86" t="str">
        <f>Jul!B60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Jul!$B$57</f>
        <v>SALUD</v>
      </c>
      <c r="AO73" s="86">
        <f>Jul!B61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Jul!$B$57</f>
        <v>SALUD</v>
      </c>
      <c r="AO74" s="86">
        <f>Jul!B62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Jul!$B$57</f>
        <v>SALUD</v>
      </c>
      <c r="AO75" s="86">
        <f>Jul!B63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Jul!$B$57</f>
        <v>SALUD</v>
      </c>
      <c r="AO76" s="88">
        <f>Jul!B64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Jul!$H$57</f>
        <v>CUIDADO PERSONAL</v>
      </c>
      <c r="AO77" s="84" t="str">
        <f>Jul!H58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Jul!$H$57</f>
        <v>CUIDADO PERSONAL</v>
      </c>
      <c r="AO78" s="86" t="str">
        <f>Jul!H59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Jul!$H$57</f>
        <v>CUIDADO PERSONAL</v>
      </c>
      <c r="AO79" s="86" t="str">
        <f>Jul!H60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Jul!$H$57</f>
        <v>CUIDADO PERSONAL</v>
      </c>
      <c r="AO80" s="86" t="str">
        <f>Jul!H61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Jul!$H$57</f>
        <v>CUIDADO PERSONAL</v>
      </c>
      <c r="AO81" s="86" t="str">
        <f>Jul!H62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Jul!$H$57</f>
        <v>CUIDADO PERSONAL</v>
      </c>
      <c r="AO82" s="86">
        <f>Jul!H63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Jul!$H$57</f>
        <v>CUIDADO PERSONAL</v>
      </c>
      <c r="AO83" s="88">
        <f>Jul!H64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Jul!$B$67</f>
        <v>ENTRETENIMIENTO</v>
      </c>
      <c r="AO84" s="84" t="str">
        <f>Jul!B68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Jul!$B$67</f>
        <v>ENTRETENIMIENTO</v>
      </c>
      <c r="AO85" s="86" t="str">
        <f>Jul!B69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Jul!$B$67</f>
        <v>ENTRETENIMIENTO</v>
      </c>
      <c r="AO86" s="86" t="str">
        <f>Jul!B70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Jul!$B$67</f>
        <v>ENTRETENIMIENTO</v>
      </c>
      <c r="AO87" s="86" t="str">
        <f>Jul!B71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Jul!$B$67</f>
        <v>ENTRETENIMIENTO</v>
      </c>
      <c r="AO88" s="86" t="str">
        <f>Jul!B72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Jul!$B$67</f>
        <v>ENTRETENIMIENTO</v>
      </c>
      <c r="AO89" s="86" t="str">
        <f>Jul!B73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Jul!$B$67</f>
        <v>ENTRETENIMIENTO</v>
      </c>
      <c r="AO90" s="86" t="str">
        <f>Jul!B74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Jul!$B$67</f>
        <v>ENTRETENIMIENTO</v>
      </c>
      <c r="AO91" s="86">
        <f>Jul!B75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Jul!$B$67</f>
        <v>ENTRETENIMIENTO</v>
      </c>
      <c r="AO92" s="86">
        <f>Jul!B76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Jul!$B$67</f>
        <v>ENTRETENIMIENTO</v>
      </c>
      <c r="AO93" s="86">
        <f>Jul!B77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Jul!$B$67</f>
        <v>ENTRETENIMIENTO</v>
      </c>
      <c r="AO94" s="88">
        <f>Jul!B78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Jul!$H$67</f>
        <v>HIJOS</v>
      </c>
      <c r="AO95" s="84" t="str">
        <f>Jul!H68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Jul!$H$67</f>
        <v>HIJOS</v>
      </c>
      <c r="AO96" s="86" t="str">
        <f>Jul!H69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Jul!$H$67</f>
        <v>HIJOS</v>
      </c>
      <c r="AO97" s="86" t="str">
        <f>Jul!H70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Jul!$H$67</f>
        <v>HIJOS</v>
      </c>
      <c r="AO98" s="86" t="str">
        <f>Jul!H71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Jul!$H$67</f>
        <v>HIJOS</v>
      </c>
      <c r="AO99" s="86">
        <f>Jul!H72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Jul!$H$67</f>
        <v>HIJOS</v>
      </c>
      <c r="AO100" s="86">
        <f>Jul!H73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Jul!$H$67</f>
        <v>HIJOS</v>
      </c>
      <c r="AO101" s="86">
        <f>Jul!H74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Jul!$H$67</f>
        <v>HIJOS</v>
      </c>
      <c r="AO102" s="86">
        <f>Jul!H75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Jul!$H$67</f>
        <v>HIJOS</v>
      </c>
      <c r="AO103" s="86">
        <f>Jul!H76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Jul!$H$67</f>
        <v>HIJOS</v>
      </c>
      <c r="AO104" s="86">
        <f>Jul!H77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Jul!$H$67</f>
        <v>HIJOS</v>
      </c>
      <c r="AO105" s="88">
        <f>Jul!H78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Jul!$B$81</f>
        <v>MASCOTA</v>
      </c>
      <c r="AO106" s="84" t="str">
        <f>Jul!B82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Jul!$B$81</f>
        <v>MASCOTA</v>
      </c>
      <c r="AO107" s="86" t="str">
        <f>Jul!B83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Jul!$B$81</f>
        <v>MASCOTA</v>
      </c>
      <c r="AO108" s="86" t="str">
        <f>Jul!B84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Jul!$B$81</f>
        <v>MASCOTA</v>
      </c>
      <c r="AO109" s="86" t="str">
        <f>Jul!B85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Jul!$B$81</f>
        <v>MASCOTA</v>
      </c>
      <c r="AO110" s="86">
        <f>Jul!B86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Jul!$B$81</f>
        <v>MASCOTA</v>
      </c>
      <c r="AO111" s="88">
        <f>Jul!B87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Jul!$H$81</f>
        <v>OTROS 1</v>
      </c>
      <c r="AO112" s="84">
        <f>Jul!H82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Jul!$H$81</f>
        <v>OTROS 1</v>
      </c>
      <c r="AO113" s="86">
        <f>Jul!H83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Jul!$H$81</f>
        <v>OTROS 1</v>
      </c>
      <c r="AO114" s="86">
        <f>Jul!H84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Jul!$H$81</f>
        <v>OTROS 1</v>
      </c>
      <c r="AO115" s="86">
        <f>Jul!H85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Jul!$H$81</f>
        <v>OTROS 1</v>
      </c>
      <c r="AO116" s="86">
        <f>Jul!H86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Jul!$H$81</f>
        <v>OTROS 1</v>
      </c>
      <c r="AO117" s="88">
        <f>Jul!H87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Jul!$B$90</f>
        <v>OTROS 2</v>
      </c>
      <c r="AO118" s="84">
        <f>Jul!B91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Jul!$B$90</f>
        <v>OTROS 2</v>
      </c>
      <c r="AO119" s="86">
        <f>Jul!B92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Jul!$B$90</f>
        <v>OTROS 2</v>
      </c>
      <c r="AO120" s="86">
        <f>Jul!B93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Jul!$B$90</f>
        <v>OTROS 2</v>
      </c>
      <c r="AO121" s="86">
        <f>Jul!B94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Jul!$B$90</f>
        <v>OTROS 2</v>
      </c>
      <c r="AO122" s="86">
        <f>Jul!B95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Jul!$B$90</f>
        <v>OTROS 2</v>
      </c>
      <c r="AO123" s="88">
        <f>Jul!B96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Jul!$H$90</f>
        <v>OTROS 3</v>
      </c>
      <c r="AO124" s="84">
        <f>Jul!H91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Jul!$H$90</f>
        <v>OTROS 3</v>
      </c>
      <c r="AO125" s="86">
        <f>Jul!H92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Jul!$H$90</f>
        <v>OTROS 3</v>
      </c>
      <c r="AO126" s="86">
        <f>Jul!H93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Jul!$H$90</f>
        <v>OTROS 3</v>
      </c>
      <c r="AO127" s="86">
        <f>Jul!H94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Jul!$H$90</f>
        <v>OTROS 3</v>
      </c>
      <c r="AO128" s="86">
        <f>Jul!H95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Jul!$H$90</f>
        <v>OTROS 3</v>
      </c>
      <c r="AO129" s="88">
        <f>Jul!H96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Jul!$B$100</f>
        <v>OTROS 4</v>
      </c>
      <c r="AO130" s="84">
        <f>Jul!B101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Jul!$B$100</f>
        <v>OTROS 4</v>
      </c>
      <c r="AO131" s="86">
        <f>Jul!B102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Jul!$B$100</f>
        <v>OTROS 4</v>
      </c>
      <c r="AO132" s="86">
        <f>Jul!B103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Jul!$B$100</f>
        <v>OTROS 4</v>
      </c>
      <c r="AO133" s="86">
        <f>Jul!B104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Jul!$B$100</f>
        <v>OTROS 4</v>
      </c>
      <c r="AO134" s="86">
        <f>Jul!B105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Jul!$B$100</f>
        <v>OTROS 4</v>
      </c>
      <c r="AO135" s="88">
        <f>Jul!B106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Jul!$H$100</f>
        <v>OTROS 5</v>
      </c>
      <c r="AO136" s="84">
        <f>Jul!H101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Jul!$H$100</f>
        <v>OTROS 5</v>
      </c>
      <c r="AO137" s="86">
        <f>Jul!H102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Jul!$H$100</f>
        <v>OTROS 5</v>
      </c>
      <c r="AO138" s="86">
        <f>Jul!H103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Jul!$H$100</f>
        <v>OTROS 5</v>
      </c>
      <c r="AO139" s="86">
        <f>Jul!H104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Jul!$H$100</f>
        <v>OTROS 5</v>
      </c>
      <c r="AO140" s="86">
        <f>Jul!H105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Jul!$H$100</f>
        <v>OTROS 5</v>
      </c>
      <c r="AO141" s="88">
        <f>Jul!H106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cPvIdtEz7gyGNUvtkMhOSxWSuEgVdH4E5fFjYbjW4/IHO4Ilm0UDuM2uOcafH9lnblN6+pIuWcav+PwBhoxqiQ==" saltValue="J9ct/7x3CR7FJKsGxHX32Q==" spinCount="100000" sheet="1" selectLockedCells="1"/>
  <conditionalFormatting sqref="J1:J300 J313:J1048576">
    <cfRule type="containsText" dxfId="11" priority="1" operator="containsText" text="Revisa">
      <formula>NOT(ISERROR(SEARCH("Revisa",J1)))</formula>
    </cfRule>
    <cfRule type="beginsWith" dxfId="10" priority="2" operator="beginsWith" text="Es">
      <formula>LEFT(J1,LEN("Es"))="Es"</formula>
    </cfRule>
  </conditionalFormatting>
  <dataValidations count="2">
    <dataValidation type="list" allowBlank="1" showInputMessage="1" showErrorMessage="1" sqref="E3:E300" xr:uid="{D7B3E82E-28FD-AC4A-972C-49BFF7AEA3F5}">
      <formula1>$AN$4:$AN$141</formula1>
    </dataValidation>
    <dataValidation type="list" allowBlank="1" showInputMessage="1" showErrorMessage="1" sqref="F3:F300" xr:uid="{9BD68F28-320B-AA4D-B3E7-A53B39412EB8}">
      <formula1>$AO$4:$AO$141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EF7522"/>
    <pageSetUpPr autoPageBreaks="0" fitToPage="1"/>
  </sheetPr>
  <dimension ref="B1:U110"/>
  <sheetViews>
    <sheetView showGridLines="0" zoomScaleNormal="100" zoomScalePageLayoutView="80" workbookViewId="0">
      <selection activeCell="K107" sqref="K13:K107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SUMIFS('Ago - registro gastos'!$D$3:$D$300,'Ago - registro gastos'!$E$3:$E$300,Ago!$B$12,'Ago - registro gastos'!$F$3:$F$300,Ago!B13)</f>
        <v>0</v>
      </c>
      <c r="F13" s="12">
        <f>D13-E13</f>
        <v>0</v>
      </c>
      <c r="H13" s="9" t="s">
        <v>13</v>
      </c>
      <c r="I13" s="10" t="s">
        <v>45</v>
      </c>
      <c r="J13" s="11"/>
      <c r="K13" s="11">
        <f>SUMIFS('Ago - registro gastos'!$D$3:$D$300,'Ago - registro gastos'!$E$3:$E$300,Ago!$H$12,'Ago - registro gastos'!$F$3:$F$300,Ago!H13)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SUMIFS('Ago - registro gastos'!$D$3:$D$300,'Ago - registro gastos'!$E$3:$E$300,Ago!$B$12,'Ago - registro gastos'!$F$3:$F$300,Ago!B14)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SUMIFS('Ago - registro gastos'!$D$3:$D$300,'Ago - registro gastos'!$E$3:$E$300,Ago!$H$12,'Ago - registro gastos'!$F$3:$F$300,Ago!H14)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SUMIFS('Ago - registro gastos'!$D$3:$D$300,'Ago - registro gastos'!$E$3:$E$300,Ago!$B$12,'Ago - registro gastos'!$F$3:$F$300,Ago!B15)</f>
        <v>0</v>
      </c>
      <c r="F15" s="12">
        <f t="shared" si="1"/>
        <v>0</v>
      </c>
      <c r="H15" s="9" t="s">
        <v>11</v>
      </c>
      <c r="I15" s="10"/>
      <c r="J15" s="39"/>
      <c r="K15" s="11">
        <f>SUMIFS('Ago - registro gastos'!$D$3:$D$300,'Ago - registro gastos'!$E$3:$E$300,Ago!$H$12,'Ago - registro gastos'!$F$3:$F$300,Ago!H15)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SUMIFS('Ago - registro gastos'!$D$3:$D$300,'Ago - registro gastos'!$E$3:$E$300,Ago!$B$12,'Ago - registro gastos'!$F$3:$F$300,Ago!B16)</f>
        <v>0</v>
      </c>
      <c r="F16" s="12">
        <f t="shared" si="1"/>
        <v>0</v>
      </c>
      <c r="H16" s="9" t="s">
        <v>10</v>
      </c>
      <c r="I16" s="10"/>
      <c r="J16" s="11"/>
      <c r="K16" s="11">
        <f>SUMIFS('Ago - registro gastos'!$D$3:$D$300,'Ago - registro gastos'!$E$3:$E$300,Ago!$H$12,'Ago - registro gastos'!$F$3:$F$300,Ago!H16)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SUMIFS('Ago - registro gastos'!$D$3:$D$300,'Ago - registro gastos'!$E$3:$E$300,Ago!$B$12,'Ago - registro gastos'!$F$3:$F$300,Ago!B17)</f>
        <v>0</v>
      </c>
      <c r="F17" s="12">
        <f t="shared" si="1"/>
        <v>0</v>
      </c>
      <c r="H17" s="9" t="s">
        <v>9</v>
      </c>
      <c r="I17" s="10"/>
      <c r="J17" s="11"/>
      <c r="K17" s="11">
        <f>SUMIFS('Ago - registro gastos'!$D$3:$D$300,'Ago - registro gastos'!$E$3:$E$300,Ago!$H$12,'Ago - registro gastos'!$F$3:$F$300,Ago!H17)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SUMIFS('Ago - registro gastos'!$D$3:$D$300,'Ago - registro gastos'!$E$3:$E$300,Ago!$B$12,'Ago - registro gastos'!$F$3:$F$300,Ago!B18)</f>
        <v>0</v>
      </c>
      <c r="F18" s="12">
        <f t="shared" si="1"/>
        <v>0</v>
      </c>
      <c r="H18" s="9"/>
      <c r="I18" s="10"/>
      <c r="J18" s="11"/>
      <c r="K18" s="11">
        <f>SUMIFS('Ago - registro gastos'!$D$3:$D$300,'Ago - registro gastos'!$E$3:$E$300,Ago!$H$12,'Ago - registro gastos'!$F$3:$F$300,Ago!H18)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SUMIFS('Ago - registro gastos'!$D$3:$D$300,'Ago - registro gastos'!$E$3:$E$300,Ago!$B$12,'Ago - registro gastos'!$F$3:$F$300,Ago!B19)</f>
        <v>0</v>
      </c>
      <c r="F19" s="12">
        <f t="shared" si="1"/>
        <v>0</v>
      </c>
      <c r="H19" s="9"/>
      <c r="I19" s="10"/>
      <c r="J19" s="11"/>
      <c r="K19" s="11">
        <f>SUMIFS('Ago - registro gastos'!$D$3:$D$300,'Ago - registro gastos'!$E$3:$E$300,Ago!$H$12,'Ago - registro gastos'!$F$3:$F$300,Ago!H19)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SUMIFS('Ago - registro gastos'!$D$3:$D$300,'Ago - registro gastos'!$E$3:$E$300,Ago!$B$12,'Ago - registro gastos'!$F$3:$F$300,Ago!B20)</f>
        <v>0</v>
      </c>
      <c r="F20" s="12">
        <f t="shared" si="1"/>
        <v>0</v>
      </c>
      <c r="H20" s="9"/>
      <c r="I20" s="10"/>
      <c r="J20" s="11"/>
      <c r="K20" s="11">
        <f>SUMIFS('Ago - registro gastos'!$D$3:$D$300,'Ago - registro gastos'!$E$3:$E$300,Ago!$H$12,'Ago - registro gastos'!$F$3:$F$300,Ago!H20)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SUMIFS('Ago - registro gastos'!$D$3:$D$300,'Ago - registro gastos'!$E$3:$E$300,Ago!$B$12,'Ago - registro gastos'!$F$3:$F$300,Ago!B21)</f>
        <v>0</v>
      </c>
      <c r="F21" s="12">
        <f t="shared" si="1"/>
        <v>0</v>
      </c>
      <c r="H21" s="9"/>
      <c r="I21" s="10"/>
      <c r="J21" s="11"/>
      <c r="K21" s="11">
        <f>SUMIFS('Ago - registro gastos'!$D$3:$D$300,'Ago - registro gastos'!$E$3:$E$300,Ago!$H$12,'Ago - registro gastos'!$F$3:$F$300,Ago!H21)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SUMIFS('Ago - registro gastos'!$D$3:$D$300,'Ago - registro gastos'!$E$3:$E$300,Ago!$B$12,'Ago - registro gastos'!$F$3:$F$300,Ago!B22)</f>
        <v>0</v>
      </c>
      <c r="F22" s="12">
        <f t="shared" si="1"/>
        <v>0</v>
      </c>
      <c r="H22" s="9"/>
      <c r="I22" s="10"/>
      <c r="J22" s="11"/>
      <c r="K22" s="11">
        <f>SUMIFS('Ago - registro gastos'!$D$3:$D$300,'Ago - registro gastos'!$E$3:$E$300,Ago!$H$12,'Ago - registro gastos'!$F$3:$F$300,Ago!H22)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SUMIFS('Ago - registro gastos'!$D$3:$D$300,'Ago - registro gastos'!$E$3:$E$300,Ago!$B$12,'Ago - registro gastos'!$F$3:$F$300,Ago!B23)</f>
        <v>0</v>
      </c>
      <c r="F23" s="12">
        <f t="shared" si="1"/>
        <v>0</v>
      </c>
      <c r="H23" s="9"/>
      <c r="I23" s="10"/>
      <c r="J23" s="11"/>
      <c r="K23" s="11">
        <f>SUMIFS('Ago - registro gastos'!$D$3:$D$300,'Ago - registro gastos'!$E$3:$E$300,Ago!$H$12,'Ago - registro gastos'!$F$3:$F$300,Ago!H23)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SUMIFS('Ago - registro gastos'!$D$3:$D$300,'Ago - registro gastos'!$E$3:$E$300,Ago!$B$12,'Ago - registro gastos'!$F$3:$F$300,Ago!B24)</f>
        <v>0</v>
      </c>
      <c r="F24" s="15">
        <f t="shared" si="1"/>
        <v>0</v>
      </c>
      <c r="H24" s="13"/>
      <c r="I24" s="40"/>
      <c r="J24" s="14"/>
      <c r="K24" s="14">
        <f>SUMIFS('Ago - registro gastos'!$D$3:$D$300,'Ago - registro gastos'!$E$3:$E$300,Ago!$H$12,'Ago - registro gastos'!$F$3:$F$300,Ago!H24)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SUMIFS('Ago - registro gastos'!$D$3:$D$300,'Ago - registro gastos'!$E$3:$E$300,Ago!$B$27,'Ago - registro gastos'!$F$3:$F$300,Ago!B28)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SUMIFS('Ago - registro gastos'!$D$3:$D$300,'Ago - registro gastos'!$E$3:$E$300,Ago!$H$27,'Ago - registro gastos'!$F$3:$F$300,Ago!H28)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SUMIFS('Ago - registro gastos'!$D$3:$D$300,'Ago - registro gastos'!$E$3:$E$300,Ago!$B$27,'Ago - registro gastos'!$F$3:$F$300,Ago!B29)</f>
        <v>0</v>
      </c>
      <c r="F29" s="12">
        <f t="shared" si="2"/>
        <v>0</v>
      </c>
      <c r="H29" s="9" t="s">
        <v>17</v>
      </c>
      <c r="I29" s="10"/>
      <c r="J29" s="11"/>
      <c r="K29" s="11">
        <f>SUMIFS('Ago - registro gastos'!$D$3:$D$300,'Ago - registro gastos'!$E$3:$E$300,Ago!$H$27,'Ago - registro gastos'!$F$3:$F$300,Ago!H29)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SUMIFS('Ago - registro gastos'!$D$3:$D$300,'Ago - registro gastos'!$E$3:$E$300,Ago!$B$27,'Ago - registro gastos'!$F$3:$F$300,Ago!B30)</f>
        <v>0</v>
      </c>
      <c r="F30" s="12">
        <f t="shared" si="2"/>
        <v>0</v>
      </c>
      <c r="H30" s="9" t="s">
        <v>16</v>
      </c>
      <c r="I30" s="10"/>
      <c r="J30" s="11"/>
      <c r="K30" s="11">
        <f>SUMIFS('Ago - registro gastos'!$D$3:$D$300,'Ago - registro gastos'!$E$3:$E$300,Ago!$H$27,'Ago - registro gastos'!$F$3:$F$300,Ago!H30)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SUMIFS('Ago - registro gastos'!$D$3:$D$300,'Ago - registro gastos'!$E$3:$E$300,Ago!$B$27,'Ago - registro gastos'!$F$3:$F$300,Ago!B31)</f>
        <v>0</v>
      </c>
      <c r="F31" s="12">
        <f t="shared" si="2"/>
        <v>0</v>
      </c>
      <c r="H31" s="9"/>
      <c r="I31" s="10"/>
      <c r="J31" s="11"/>
      <c r="K31" s="11">
        <f>SUMIFS('Ago - registro gastos'!$D$3:$D$300,'Ago - registro gastos'!$E$3:$E$300,Ago!$H$27,'Ago - registro gastos'!$F$3:$F$300,Ago!H31)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SUMIFS('Ago - registro gastos'!$D$3:$D$300,'Ago - registro gastos'!$E$3:$E$300,Ago!$B$27,'Ago - registro gastos'!$F$3:$F$300,Ago!B32)</f>
        <v>0</v>
      </c>
      <c r="F32" s="12">
        <f t="shared" si="2"/>
        <v>0</v>
      </c>
      <c r="H32" s="9"/>
      <c r="I32" s="10"/>
      <c r="J32" s="11"/>
      <c r="K32" s="11">
        <f>SUMIFS('Ago - registro gastos'!$D$3:$D$300,'Ago - registro gastos'!$E$3:$E$300,Ago!$H$27,'Ago - registro gastos'!$F$3:$F$300,Ago!H32)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SUMIFS('Ago - registro gastos'!$D$3:$D$300,'Ago - registro gastos'!$E$3:$E$300,Ago!$B$27,'Ago - registro gastos'!$F$3:$F$300,Ago!B33)</f>
        <v>0</v>
      </c>
      <c r="F33" s="12">
        <f t="shared" si="2"/>
        <v>0</v>
      </c>
      <c r="H33" s="9"/>
      <c r="I33" s="10"/>
      <c r="J33" s="11"/>
      <c r="K33" s="11">
        <f>SUMIFS('Ago - registro gastos'!$D$3:$D$300,'Ago - registro gastos'!$E$3:$E$300,Ago!$H$27,'Ago - registro gastos'!$F$3:$F$300,Ago!H33)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SUMIFS('Ago - registro gastos'!$D$3:$D$300,'Ago - registro gastos'!$E$3:$E$300,Ago!$B$27,'Ago - registro gastos'!$F$3:$F$300,Ago!B34)</f>
        <v>0</v>
      </c>
      <c r="F34" s="12">
        <f t="shared" si="2"/>
        <v>0</v>
      </c>
      <c r="H34" s="9"/>
      <c r="I34" s="10"/>
      <c r="J34" s="11"/>
      <c r="K34" s="11">
        <f>SUMIFS('Ago - registro gastos'!$D$3:$D$300,'Ago - registro gastos'!$E$3:$E$300,Ago!$H$27,'Ago - registro gastos'!$F$3:$F$300,Ago!H34)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SUMIFS('Ago - registro gastos'!$D$3:$D$300,'Ago - registro gastos'!$E$3:$E$300,Ago!$B$27,'Ago - registro gastos'!$F$3:$F$300,Ago!B35)</f>
        <v>0</v>
      </c>
      <c r="F35" s="15">
        <f t="shared" si="2"/>
        <v>0</v>
      </c>
      <c r="H35" s="13"/>
      <c r="I35" s="40"/>
      <c r="J35" s="14"/>
      <c r="K35" s="14">
        <f>SUMIFS('Ago - registro gastos'!$D$3:$D$300,'Ago - registro gastos'!$E$3:$E$300,Ago!$H$27,'Ago - registro gastos'!$F$3:$F$300,Ago!H35)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SUMIFS('Ago - registro gastos'!$D$3:$D$300,'Ago - registro gastos'!$E$3:$E$300,Ago!$B$38,'Ago - registro gastos'!$F$3:$F$300,Ago!B39)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SUMIFS('Ago - registro gastos'!$D$3:$D$300,'Ago - registro gastos'!$E$3:$E$300,Ago!$H$38,'Ago - registro gastos'!$F$3:$F$300,Ago!H39)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SUMIFS('Ago - registro gastos'!$D$3:$D$300,'Ago - registro gastos'!$E$3:$E$300,Ago!$B$38,'Ago - registro gastos'!$F$3:$F$300,Ago!B40)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SUMIFS('Ago - registro gastos'!$D$3:$D$300,'Ago - registro gastos'!$E$3:$E$300,Ago!$H$38,'Ago - registro gastos'!$F$3:$F$300,Ago!H40)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SUMIFS('Ago - registro gastos'!$D$3:$D$300,'Ago - registro gastos'!$E$3:$E$300,Ago!$B$38,'Ago - registro gastos'!$F$3:$F$300,Ago!B41)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SUMIFS('Ago - registro gastos'!$D$3:$D$300,'Ago - registro gastos'!$E$3:$E$300,Ago!$H$38,'Ago - registro gastos'!$F$3:$F$300,Ago!H41)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SUMIFS('Ago - registro gastos'!$D$3:$D$300,'Ago - registro gastos'!$E$3:$E$300,Ago!$B$38,'Ago - registro gastos'!$F$3:$F$300,Ago!B42)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SUMIFS('Ago - registro gastos'!$D$3:$D$300,'Ago - registro gastos'!$E$3:$E$300,Ago!$H$38,'Ago - registro gastos'!$F$3:$F$300,Ago!H42)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SUMIFS('Ago - registro gastos'!$D$3:$D$300,'Ago - registro gastos'!$E$3:$E$300,Ago!$B$38,'Ago - registro gastos'!$F$3:$F$300,Ago!B43)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SUMIFS('Ago - registro gastos'!$D$3:$D$300,'Ago - registro gastos'!$E$3:$E$300,Ago!$H$38,'Ago - registro gastos'!$F$3:$F$300,Ago!H43)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SUMIFS('Ago - registro gastos'!$D$3:$D$300,'Ago - registro gastos'!$E$3:$E$300,Ago!$B$38,'Ago - registro gastos'!$F$3:$F$300,Ago!B44)</f>
        <v>0</v>
      </c>
      <c r="F44" s="12">
        <f t="shared" si="4"/>
        <v>0</v>
      </c>
      <c r="G44" s="20"/>
      <c r="H44" s="30"/>
      <c r="I44" s="10"/>
      <c r="J44" s="31"/>
      <c r="K44" s="31">
        <f>SUMIFS('Ago - registro gastos'!$D$3:$D$300,'Ago - registro gastos'!$E$3:$E$300,Ago!$H$38,'Ago - registro gastos'!$F$3:$F$300,Ago!H44)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SUMIFS('Ago - registro gastos'!$D$3:$D$300,'Ago - registro gastos'!$E$3:$E$300,Ago!$B$38,'Ago - registro gastos'!$F$3:$F$300,Ago!B45)</f>
        <v>0</v>
      </c>
      <c r="F45" s="15">
        <f t="shared" si="4"/>
        <v>0</v>
      </c>
      <c r="G45" s="20"/>
      <c r="H45" s="13"/>
      <c r="I45" s="40"/>
      <c r="J45" s="14"/>
      <c r="K45" s="14">
        <f>SUMIFS('Ago - registro gastos'!$D$3:$D$300,'Ago - registro gastos'!$E$3:$E$300,Ago!$H$38,'Ago - registro gastos'!$F$3:$F$300,Ago!H45)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SUMIFS('Ago - registro gastos'!$D$3:$D$300,'Ago - registro gastos'!$E$3:$E$300,Ago!$B$48,'Ago - registro gastos'!$F$3:$F$300,Ago!B49)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SUMIFS('Ago - registro gastos'!$D$3:$D$300,'Ago - registro gastos'!$E$3:$E$300,Ago!$H$48,'Ago - registro gastos'!$F$3:$F$300,Ago!H49)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SUMIFS('Ago - registro gastos'!$D$3:$D$300,'Ago - registro gastos'!$E$3:$E$300,Ago!$B$48,'Ago - registro gastos'!$F$3:$F$300,Ago!B50)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SUMIFS('Ago - registro gastos'!$D$3:$D$300,'Ago - registro gastos'!$E$3:$E$300,Ago!$H$48,'Ago - registro gastos'!$F$3:$F$300,Ago!H50)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SUMIFS('Ago - registro gastos'!$D$3:$D$300,'Ago - registro gastos'!$E$3:$E$300,Ago!$B$48,'Ago - registro gastos'!$F$3:$F$300,Ago!B51)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SUMIFS('Ago - registro gastos'!$D$3:$D$300,'Ago - registro gastos'!$E$3:$E$300,Ago!$H$48,'Ago - registro gastos'!$F$3:$F$300,Ago!H51)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SUMIFS('Ago - registro gastos'!$D$3:$D$300,'Ago - registro gastos'!$E$3:$E$300,Ago!$B$48,'Ago - registro gastos'!$F$3:$F$300,Ago!B52)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SUMIFS('Ago - registro gastos'!$D$3:$D$300,'Ago - registro gastos'!$E$3:$E$300,Ago!$H$48,'Ago - registro gastos'!$F$3:$F$300,Ago!H52)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SUMIFS('Ago - registro gastos'!$D$3:$D$300,'Ago - registro gastos'!$E$3:$E$300,Ago!$B$48,'Ago - registro gastos'!$F$3:$F$300,Ago!B53)</f>
        <v>0</v>
      </c>
      <c r="F53" s="12">
        <f t="shared" si="6"/>
        <v>0</v>
      </c>
      <c r="G53" s="20"/>
      <c r="H53" s="9"/>
      <c r="I53" s="10"/>
      <c r="J53" s="11"/>
      <c r="K53" s="11">
        <f>SUMIFS('Ago - registro gastos'!$D$3:$D$300,'Ago - registro gastos'!$E$3:$E$300,Ago!$H$48,'Ago - registro gastos'!$F$3:$F$300,Ago!H53)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SUMIFS('Ago - registro gastos'!$D$3:$D$300,'Ago - registro gastos'!$E$3:$E$300,Ago!$B$48,'Ago - registro gastos'!$F$3:$F$300,Ago!B54)</f>
        <v>0</v>
      </c>
      <c r="F54" s="15">
        <f t="shared" si="6"/>
        <v>0</v>
      </c>
      <c r="G54" s="20"/>
      <c r="H54" s="13"/>
      <c r="I54" s="40"/>
      <c r="J54" s="14"/>
      <c r="K54" s="14">
        <f>SUMIFS('Ago - registro gastos'!$D$3:$D$300,'Ago - registro gastos'!$E$3:$E$300,Ago!$H$48,'Ago - registro gastos'!$F$3:$F$300,Ago!H54)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SUMIFS('Ago - registro gastos'!$D$3:$D$300,'Ago - registro gastos'!$E$3:$E$300,Ago!$B$57,'Ago - registro gastos'!$F$3:$F$300,Ago!B58)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SUMIFS('Ago - registro gastos'!$D$3:$D$300,'Ago - registro gastos'!$E$3:$E$300,Ago!$H$57,'Ago - registro gastos'!$F$3:$F$300,Ago!H58)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SUMIFS('Ago - registro gastos'!$D$3:$D$300,'Ago - registro gastos'!$E$3:$E$300,Ago!$B$57,'Ago - registro gastos'!$F$3:$F$300,Ago!B59)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SUMIFS('Ago - registro gastos'!$D$3:$D$300,'Ago - registro gastos'!$E$3:$E$300,Ago!$H$57,'Ago - registro gastos'!$F$3:$F$300,Ago!H59)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SUMIFS('Ago - registro gastos'!$D$3:$D$300,'Ago - registro gastos'!$E$3:$E$300,Ago!$B$57,'Ago - registro gastos'!$F$3:$F$300,Ago!B60)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SUMIFS('Ago - registro gastos'!$D$3:$D$300,'Ago - registro gastos'!$E$3:$E$300,Ago!$H$57,'Ago - registro gastos'!$F$3:$F$300,Ago!H60)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SUMIFS('Ago - registro gastos'!$D$3:$D$300,'Ago - registro gastos'!$E$3:$E$300,Ago!$B$57,'Ago - registro gastos'!$F$3:$F$300,Ago!B61)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SUMIFS('Ago - registro gastos'!$D$3:$D$300,'Ago - registro gastos'!$E$3:$E$300,Ago!$H$57,'Ago - registro gastos'!$F$3:$F$300,Ago!H61)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SUMIFS('Ago - registro gastos'!$D$3:$D$300,'Ago - registro gastos'!$E$3:$E$300,Ago!$B$57,'Ago - registro gastos'!$F$3:$F$300,Ago!B62)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SUMIFS('Ago - registro gastos'!$D$3:$D$300,'Ago - registro gastos'!$E$3:$E$300,Ago!$H$57,'Ago - registro gastos'!$F$3:$F$300,Ago!H62)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SUMIFS('Ago - registro gastos'!$D$3:$D$300,'Ago - registro gastos'!$E$3:$E$300,Ago!$B$57,'Ago - registro gastos'!$F$3:$F$300,Ago!B63)</f>
        <v>0</v>
      </c>
      <c r="F63" s="12">
        <f t="shared" si="9"/>
        <v>0</v>
      </c>
      <c r="G63" s="20"/>
      <c r="H63" s="30"/>
      <c r="I63" s="10"/>
      <c r="J63" s="31"/>
      <c r="K63" s="31">
        <f>SUMIFS('Ago - registro gastos'!$D$3:$D$300,'Ago - registro gastos'!$E$3:$E$300,Ago!$H$57,'Ago - registro gastos'!$F$3:$F$300,Ago!H63)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SUMIFS('Ago - registro gastos'!$D$3:$D$300,'Ago - registro gastos'!$E$3:$E$300,Ago!$B$57,'Ago - registro gastos'!$F$3:$F$300,Ago!B64)</f>
        <v>0</v>
      </c>
      <c r="F64" s="15">
        <f t="shared" si="9"/>
        <v>0</v>
      </c>
      <c r="G64" s="20"/>
      <c r="H64" s="13"/>
      <c r="I64" s="40"/>
      <c r="J64" s="14"/>
      <c r="K64" s="14">
        <f>SUMIFS('Ago - registro gastos'!$D$3:$D$300,'Ago - registro gastos'!$E$3:$E$300,Ago!$H$57,'Ago - registro gastos'!$F$3:$F$300,Ago!H64)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SUMIFS('Ago - registro gastos'!$D$3:$D$300,'Ago - registro gastos'!$E$3:$E$300,Ago!$B$67,'Ago - registro gastos'!$F$3:$F$300,Ago!B68)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SUMIFS('Ago - registro gastos'!$D$3:$D$300,'Ago - registro gastos'!$E$3:$E$300,Ago!$H$67,'Ago - registro gastos'!$F$3:$F$300,Ago!H68)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SUMIFS('Ago - registro gastos'!$D$3:$D$300,'Ago - registro gastos'!$E$3:$E$300,Ago!$B$67,'Ago - registro gastos'!$F$3:$F$300,Ago!B69)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SUMIFS('Ago - registro gastos'!$D$3:$D$300,'Ago - registro gastos'!$E$3:$E$300,Ago!$H$67,'Ago - registro gastos'!$F$3:$F$300,Ago!H69)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SUMIFS('Ago - registro gastos'!$D$3:$D$300,'Ago - registro gastos'!$E$3:$E$300,Ago!$B$67,'Ago - registro gastos'!$F$3:$F$300,Ago!B70)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SUMIFS('Ago - registro gastos'!$D$3:$D$300,'Ago - registro gastos'!$E$3:$E$300,Ago!$H$67,'Ago - registro gastos'!$F$3:$F$300,Ago!H70)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SUMIFS('Ago - registro gastos'!$D$3:$D$300,'Ago - registro gastos'!$E$3:$E$300,Ago!$B$67,'Ago - registro gastos'!$F$3:$F$300,Ago!B71)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SUMIFS('Ago - registro gastos'!$D$3:$D$300,'Ago - registro gastos'!$E$3:$E$300,Ago!$H$67,'Ago - registro gastos'!$F$3:$F$300,Ago!H71)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SUMIFS('Ago - registro gastos'!$D$3:$D$300,'Ago - registro gastos'!$E$3:$E$300,Ago!$B$67,'Ago - registro gastos'!$F$3:$F$300,Ago!B72)</f>
        <v>0</v>
      </c>
      <c r="F72" s="12">
        <f t="shared" si="10"/>
        <v>0</v>
      </c>
      <c r="G72" s="20"/>
      <c r="H72" s="9"/>
      <c r="I72" s="10"/>
      <c r="J72" s="11"/>
      <c r="K72" s="11">
        <f>SUMIFS('Ago - registro gastos'!$D$3:$D$300,'Ago - registro gastos'!$E$3:$E$300,Ago!$H$67,'Ago - registro gastos'!$F$3:$F$300,Ago!H72)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SUMIFS('Ago - registro gastos'!$D$3:$D$300,'Ago - registro gastos'!$E$3:$E$300,Ago!$B$67,'Ago - registro gastos'!$F$3:$F$300,Ago!B73)</f>
        <v>0</v>
      </c>
      <c r="F73" s="12">
        <f t="shared" si="10"/>
        <v>0</v>
      </c>
      <c r="G73" s="20"/>
      <c r="H73" s="9"/>
      <c r="I73" s="10"/>
      <c r="J73" s="11"/>
      <c r="K73" s="11">
        <f>SUMIFS('Ago - registro gastos'!$D$3:$D$300,'Ago - registro gastos'!$E$3:$E$300,Ago!$H$67,'Ago - registro gastos'!$F$3:$F$300,Ago!H73)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SUMIFS('Ago - registro gastos'!$D$3:$D$300,'Ago - registro gastos'!$E$3:$E$300,Ago!$B$67,'Ago - registro gastos'!$F$3:$F$300,Ago!B74)</f>
        <v>0</v>
      </c>
      <c r="F74" s="12">
        <f t="shared" si="10"/>
        <v>0</v>
      </c>
      <c r="G74" s="20"/>
      <c r="H74" s="9"/>
      <c r="I74" s="10"/>
      <c r="J74" s="11"/>
      <c r="K74" s="11">
        <f>SUMIFS('Ago - registro gastos'!$D$3:$D$300,'Ago - registro gastos'!$E$3:$E$300,Ago!$H$67,'Ago - registro gastos'!$F$3:$F$300,Ago!H74)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SUMIFS('Ago - registro gastos'!$D$3:$D$300,'Ago - registro gastos'!$E$3:$E$300,Ago!$B$67,'Ago - registro gastos'!$F$3:$F$300,Ago!B75)</f>
        <v>0</v>
      </c>
      <c r="F75" s="12">
        <f t="shared" si="10"/>
        <v>0</v>
      </c>
      <c r="G75" s="20"/>
      <c r="H75" s="30"/>
      <c r="I75" s="10"/>
      <c r="J75" s="31"/>
      <c r="K75" s="31">
        <f>SUMIFS('Ago - registro gastos'!$D$3:$D$300,'Ago - registro gastos'!$E$3:$E$300,Ago!$H$67,'Ago - registro gastos'!$F$3:$F$300,Ago!H75)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SUMIFS('Ago - registro gastos'!$D$3:$D$300,'Ago - registro gastos'!$E$3:$E$300,Ago!$B$67,'Ago - registro gastos'!$F$3:$F$300,Ago!B76)</f>
        <v>0</v>
      </c>
      <c r="F76" s="12">
        <f t="shared" si="10"/>
        <v>0</v>
      </c>
      <c r="G76" s="20"/>
      <c r="H76" s="30"/>
      <c r="I76" s="10"/>
      <c r="J76" s="31"/>
      <c r="K76" s="31">
        <f>SUMIFS('Ago - registro gastos'!$D$3:$D$300,'Ago - registro gastos'!$E$3:$E$300,Ago!$H$67,'Ago - registro gastos'!$F$3:$F$300,Ago!H76)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SUMIFS('Ago - registro gastos'!$D$3:$D$300,'Ago - registro gastos'!$E$3:$E$300,Ago!$B$67,'Ago - registro gastos'!$F$3:$F$300,Ago!B77)</f>
        <v>0</v>
      </c>
      <c r="F77" s="12">
        <f t="shared" si="10"/>
        <v>0</v>
      </c>
      <c r="G77" s="20"/>
      <c r="H77" s="30"/>
      <c r="I77" s="10"/>
      <c r="J77" s="31"/>
      <c r="K77" s="31">
        <f>SUMIFS('Ago - registro gastos'!$D$3:$D$300,'Ago - registro gastos'!$E$3:$E$300,Ago!$H$67,'Ago - registro gastos'!$F$3:$F$300,Ago!H77)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SUMIFS('Ago - registro gastos'!$D$3:$D$300,'Ago - registro gastos'!$E$3:$E$300,Ago!$B$67,'Ago - registro gastos'!$F$3:$F$300,Ago!B78)</f>
        <v>0</v>
      </c>
      <c r="F78" s="15">
        <f t="shared" si="10"/>
        <v>0</v>
      </c>
      <c r="G78" s="20"/>
      <c r="H78" s="13"/>
      <c r="I78" s="40"/>
      <c r="J78" s="14"/>
      <c r="K78" s="14">
        <f>SUMIFS('Ago - registro gastos'!$D$3:$D$300,'Ago - registro gastos'!$E$3:$E$300,Ago!$H$67,'Ago - registro gastos'!$F$3:$F$300,Ago!H78)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SUMIFS('Ago - registro gastos'!$D$3:$D$300,'Ago - registro gastos'!$E$3:$E$300,Ago!$B$81,'Ago - registro gastos'!$F$3:$F$300,Ago!B82)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SUMIFS('Ago - registro gastos'!$D$3:$D$300,'Ago - registro gastos'!$E$3:$E$300,Ago!$H$81,'Ago - registro gastos'!$F$3:$F$300,Ago!H82)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SUMIFS('Ago - registro gastos'!$D$3:$D$300,'Ago - registro gastos'!$E$3:$E$300,Ago!$B$81,'Ago - registro gastos'!$F$3:$F$300,Ago!B83)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SUMIFS('Ago - registro gastos'!$D$3:$D$300,'Ago - registro gastos'!$E$3:$E$300,Ago!$H$81,'Ago - registro gastos'!$F$3:$F$300,Ago!H83)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SUMIFS('Ago - registro gastos'!$D$3:$D$300,'Ago - registro gastos'!$E$3:$E$300,Ago!$B$81,'Ago - registro gastos'!$F$3:$F$300,Ago!B84)</f>
        <v>0</v>
      </c>
      <c r="F84" s="12">
        <f t="shared" si="12"/>
        <v>0</v>
      </c>
      <c r="G84" s="20"/>
      <c r="H84" s="9"/>
      <c r="I84" s="10"/>
      <c r="J84" s="11"/>
      <c r="K84" s="11">
        <f>SUMIFS('Ago - registro gastos'!$D$3:$D$300,'Ago - registro gastos'!$E$3:$E$300,Ago!$H$81,'Ago - registro gastos'!$F$3:$F$300,Ago!H84)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SUMIFS('Ago - registro gastos'!$D$3:$D$300,'Ago - registro gastos'!$E$3:$E$300,Ago!$B$81,'Ago - registro gastos'!$F$3:$F$300,Ago!B85)</f>
        <v>0</v>
      </c>
      <c r="F85" s="12">
        <f>D85-E85</f>
        <v>0</v>
      </c>
      <c r="G85" s="20"/>
      <c r="H85" s="9"/>
      <c r="I85" s="10"/>
      <c r="J85" s="11"/>
      <c r="K85" s="11">
        <f>SUMIFS('Ago - registro gastos'!$D$3:$D$300,'Ago - registro gastos'!$E$3:$E$300,Ago!$H$81,'Ago - registro gastos'!$F$3:$F$300,Ago!H85)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SUMIFS('Ago - registro gastos'!$D$3:$D$300,'Ago - registro gastos'!$E$3:$E$300,Ago!$B$81,'Ago - registro gastos'!$F$3:$F$300,Ago!B86)</f>
        <v>0</v>
      </c>
      <c r="F86" s="12">
        <f t="shared" si="12"/>
        <v>0</v>
      </c>
      <c r="G86" s="20"/>
      <c r="H86" s="9"/>
      <c r="I86" s="10"/>
      <c r="J86" s="11"/>
      <c r="K86" s="11">
        <f>SUMIFS('Ago - registro gastos'!$D$3:$D$300,'Ago - registro gastos'!$E$3:$E$300,Ago!$H$81,'Ago - registro gastos'!$F$3:$F$300,Ago!H86)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SUMIFS('Ago - registro gastos'!$D$3:$D$300,'Ago - registro gastos'!$E$3:$E$300,Ago!$B$81,'Ago - registro gastos'!$F$3:$F$300,Ago!B87)</f>
        <v>0</v>
      </c>
      <c r="F87" s="15">
        <f t="shared" si="12"/>
        <v>0</v>
      </c>
      <c r="G87" s="20"/>
      <c r="H87" s="13"/>
      <c r="I87" s="40"/>
      <c r="J87" s="14"/>
      <c r="K87" s="14">
        <f>SUMIFS('Ago - registro gastos'!$D$3:$D$300,'Ago - registro gastos'!$E$3:$E$300,Ago!$H$81,'Ago - registro gastos'!$F$3:$F$300,Ago!H87)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/>
      <c r="C91" s="10"/>
      <c r="D91" s="11"/>
      <c r="E91" s="11">
        <f>SUMIFS('Ago - registro gastos'!$D$3:$D$300,'Ago - registro gastos'!$E$3:$E$300,Ago!$B$90,'Ago - registro gastos'!$F$3:$F$300,Ago!B91)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SUMIFS('Ago - registro gastos'!$D$3:$D$300,'Ago - registro gastos'!$E$3:$E$300,Ago!$H$90,'Ago - registro gastos'!$F$3:$F$300,Ago!H91)</f>
        <v>0</v>
      </c>
      <c r="L91" s="12">
        <f t="shared" ref="L91:L97" si="14">J91-K91</f>
        <v>0</v>
      </c>
    </row>
    <row r="92" spans="2:12" x14ac:dyDescent="0.2">
      <c r="B92" s="9">
        <v>2</v>
      </c>
      <c r="C92" s="10"/>
      <c r="D92" s="11"/>
      <c r="E92" s="11">
        <f>SUMIFS('Ago - registro gastos'!$D$3:$D$300,'Ago - registro gastos'!$E$3:$E$300,Ago!$B$90,'Ago - registro gastos'!$F$3:$F$300,Ago!B92)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SUMIFS('Ago - registro gastos'!$D$3:$D$300,'Ago - registro gastos'!$E$3:$E$300,Ago!$H$90,'Ago - registro gastos'!$F$3:$F$300,Ago!H92)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SUMIFS('Ago - registro gastos'!$D$3:$D$300,'Ago - registro gastos'!$E$3:$E$300,Ago!$B$90,'Ago - registro gastos'!$F$3:$F$300,Ago!B93)</f>
        <v>0</v>
      </c>
      <c r="F93" s="12">
        <f t="shared" si="15"/>
        <v>0</v>
      </c>
      <c r="G93" s="20"/>
      <c r="H93" s="9"/>
      <c r="I93" s="10"/>
      <c r="J93" s="11"/>
      <c r="K93" s="11">
        <f>SUMIFS('Ago - registro gastos'!$D$3:$D$300,'Ago - registro gastos'!$E$3:$E$300,Ago!$H$90,'Ago - registro gastos'!$F$3:$F$300,Ago!H93)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SUMIFS('Ago - registro gastos'!$D$3:$D$300,'Ago - registro gastos'!$E$3:$E$300,Ago!$B$90,'Ago - registro gastos'!$F$3:$F$300,Ago!B94)</f>
        <v>0</v>
      </c>
      <c r="F94" s="12">
        <f t="shared" si="15"/>
        <v>0</v>
      </c>
      <c r="G94" s="20"/>
      <c r="H94" s="9"/>
      <c r="I94" s="10"/>
      <c r="J94" s="11"/>
      <c r="K94" s="11">
        <f>SUMIFS('Ago - registro gastos'!$D$3:$D$300,'Ago - registro gastos'!$E$3:$E$300,Ago!$H$90,'Ago - registro gastos'!$F$3:$F$300,Ago!H94)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SUMIFS('Ago - registro gastos'!$D$3:$D$300,'Ago - registro gastos'!$E$3:$E$300,Ago!$B$90,'Ago - registro gastos'!$F$3:$F$300,Ago!B95)</f>
        <v>0</v>
      </c>
      <c r="F95" s="12">
        <f>D95-E95</f>
        <v>0</v>
      </c>
      <c r="G95" s="20"/>
      <c r="H95" s="9"/>
      <c r="I95" s="10"/>
      <c r="J95" s="11"/>
      <c r="K95" s="11">
        <f>SUMIFS('Ago - registro gastos'!$D$3:$D$300,'Ago - registro gastos'!$E$3:$E$300,Ago!$H$90,'Ago - registro gastos'!$F$3:$F$300,Ago!H95)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SUMIFS('Ago - registro gastos'!$D$3:$D$300,'Ago - registro gastos'!$E$3:$E$300,Ago!$B$90,'Ago - registro gastos'!$F$3:$F$300,Ago!B96)</f>
        <v>0</v>
      </c>
      <c r="F96" s="12">
        <f t="shared" si="15"/>
        <v>0</v>
      </c>
      <c r="G96" s="20"/>
      <c r="H96" s="9"/>
      <c r="I96" s="10"/>
      <c r="J96" s="11"/>
      <c r="K96" s="11">
        <f>SUMIFS('Ago - registro gastos'!$D$3:$D$300,'Ago - registro gastos'!$E$3:$E$300,Ago!$H$90,'Ago - registro gastos'!$F$3:$F$300,Ago!H96)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SUMIFS('Ago - registro gastos'!$D$3:$D$300,'Ago - registro gastos'!$E$3:$E$300,Ago!$B$90,'Ago - registro gastos'!$F$3:$F$300,Ago!B97)</f>
        <v>0</v>
      </c>
      <c r="F97" s="15">
        <f t="shared" si="15"/>
        <v>0</v>
      </c>
      <c r="G97" s="20"/>
      <c r="H97" s="13"/>
      <c r="I97" s="40"/>
      <c r="J97" s="14"/>
      <c r="K97" s="14">
        <f>SUMIFS('Ago - registro gastos'!$D$3:$D$300,'Ago - registro gastos'!$E$3:$E$300,Ago!$H$90,'Ago - registro gastos'!$F$3:$F$300,Ago!H97)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SUMIFS('Ago - registro gastos'!$D$3:$D$300,'Ago - registro gastos'!$E$3:$E$300,Ago!$B$100,'Ago - registro gastos'!$F$3:$F$300,Ago!B101)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SUMIFS('Ago - registro gastos'!$D$3:$D$300,'Ago - registro gastos'!$E$3:$E$300,Ago!$H$100,'Ago - registro gastos'!$F$3:$F$300,Ago!H101)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SUMIFS('Ago - registro gastos'!$D$3:$D$300,'Ago - registro gastos'!$E$3:$E$300,Ago!$B$100,'Ago - registro gastos'!$F$3:$F$300,Ago!B102)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SUMIFS('Ago - registro gastos'!$D$3:$D$300,'Ago - registro gastos'!$E$3:$E$300,Ago!$H$100,'Ago - registro gastos'!$F$3:$F$300,Ago!H102)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SUMIFS('Ago - registro gastos'!$D$3:$D$300,'Ago - registro gastos'!$E$3:$E$300,Ago!$B$100,'Ago - registro gastos'!$F$3:$F$300,Ago!B103)</f>
        <v>0</v>
      </c>
      <c r="F103" s="12">
        <f t="shared" si="16"/>
        <v>0</v>
      </c>
      <c r="G103" s="20"/>
      <c r="H103" s="9"/>
      <c r="I103" s="10"/>
      <c r="J103" s="11"/>
      <c r="K103" s="11">
        <f>SUMIFS('Ago - registro gastos'!$D$3:$D$300,'Ago - registro gastos'!$E$3:$E$300,Ago!$H$100,'Ago - registro gastos'!$F$3:$F$300,Ago!H103)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SUMIFS('Ago - registro gastos'!$D$3:$D$300,'Ago - registro gastos'!$E$3:$E$300,Ago!$B$100,'Ago - registro gastos'!$F$3:$F$300,Ago!B104)</f>
        <v>0</v>
      </c>
      <c r="F104" s="12">
        <f t="shared" si="16"/>
        <v>0</v>
      </c>
      <c r="G104" s="20"/>
      <c r="H104" s="9"/>
      <c r="I104" s="10"/>
      <c r="J104" s="11"/>
      <c r="K104" s="11">
        <f>SUMIFS('Ago - registro gastos'!$D$3:$D$300,'Ago - registro gastos'!$E$3:$E$300,Ago!$H$100,'Ago - registro gastos'!$F$3:$F$300,Ago!H104)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SUMIFS('Ago - registro gastos'!$D$3:$D$300,'Ago - registro gastos'!$E$3:$E$300,Ago!$B$100,'Ago - registro gastos'!$F$3:$F$300,Ago!B105)</f>
        <v>0</v>
      </c>
      <c r="F105" s="12">
        <f t="shared" si="16"/>
        <v>0</v>
      </c>
      <c r="G105" s="20"/>
      <c r="H105" s="9"/>
      <c r="I105" s="10"/>
      <c r="J105" s="11"/>
      <c r="K105" s="11">
        <f>SUMIFS('Ago - registro gastos'!$D$3:$D$300,'Ago - registro gastos'!$E$3:$E$300,Ago!$H$100,'Ago - registro gastos'!$F$3:$F$300,Ago!H105)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SUMIFS('Ago - registro gastos'!$D$3:$D$300,'Ago - registro gastos'!$E$3:$E$300,Ago!$B$100,'Ago - registro gastos'!$F$3:$F$300,Ago!B106)</f>
        <v>0</v>
      </c>
      <c r="F106" s="12">
        <f t="shared" si="16"/>
        <v>0</v>
      </c>
      <c r="G106" s="20"/>
      <c r="H106" s="9"/>
      <c r="I106" s="10"/>
      <c r="J106" s="11"/>
      <c r="K106" s="11">
        <f>SUMIFS('Ago - registro gastos'!$D$3:$D$300,'Ago - registro gastos'!$E$3:$E$300,Ago!$H$100,'Ago - registro gastos'!$F$3:$F$300,Ago!H106)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SUMIFS('Ago - registro gastos'!$D$3:$D$300,'Ago - registro gastos'!$E$3:$E$300,Ago!$B$100,'Ago - registro gastos'!$F$3:$F$300,Ago!B107)</f>
        <v>0</v>
      </c>
      <c r="F107" s="15">
        <f>D107-E107</f>
        <v>0</v>
      </c>
      <c r="G107" s="20"/>
      <c r="H107" s="13"/>
      <c r="I107" s="40"/>
      <c r="J107" s="14"/>
      <c r="K107" s="14">
        <f>SUMIFS('Ago - registro gastos'!$D$3:$D$300,'Ago - registro gastos'!$E$3:$E$300,Ago!$H$100,'Ago - registro gastos'!$F$3:$F$300,Ago!H107)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8 K13:K107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C813988-3D93-4D4E-B558-2D5191B411BB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CA3F60A5-8958-8545-AFF6-BC37FC34FD79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B5F7-6BE2-2645-8DD4-ADC9B5F9D915}">
  <sheetPr codeName="Hoja10">
    <tabColor rgb="FFFD9F00"/>
  </sheetPr>
  <dimension ref="B2:AR312"/>
  <sheetViews>
    <sheetView showGridLines="0" topLeftCell="B1" zoomScale="130" zoomScaleNormal="13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3" width="11" customWidth="1"/>
    <col min="14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hidden="1" customWidth="1"/>
    <col min="45" max="45" width="0" hidden="1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Ago!$B$12</f>
        <v>NECESIDADES BÁSICAS</v>
      </c>
      <c r="AO4" s="84" t="str">
        <f>Ago!B13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Ago!$B$12</f>
        <v>NECESIDADES BÁSICAS</v>
      </c>
      <c r="AO5" s="86" t="str">
        <f>Ago!B14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Ago!$B$12</f>
        <v>NECESIDADES BÁSICAS</v>
      </c>
      <c r="AO6" s="86" t="str">
        <f>Ago!B15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Ago!$B$12</f>
        <v>NECESIDADES BÁSICAS</v>
      </c>
      <c r="AO7" s="86" t="str">
        <f>Ago!B16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Ago!$B$12</f>
        <v>NECESIDADES BÁSICAS</v>
      </c>
      <c r="AO8" s="86" t="str">
        <f>Ago!B17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Ago!$B$12</f>
        <v>NECESIDADES BÁSICAS</v>
      </c>
      <c r="AO9" s="86" t="str">
        <f>Ago!B18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Ago!$B$12</f>
        <v>NECESIDADES BÁSICAS</v>
      </c>
      <c r="AO10" s="86" t="str">
        <f>Ago!B19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Ago!$B$12</f>
        <v>NECESIDADES BÁSICAS</v>
      </c>
      <c r="AO11" s="86" t="str">
        <f>Ago!B20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Ago!$B$12</f>
        <v>NECESIDADES BÁSICAS</v>
      </c>
      <c r="AO12" s="86" t="str">
        <f>Ago!B21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Ago!$B$12</f>
        <v>NECESIDADES BÁSICAS</v>
      </c>
      <c r="AO13" s="86">
        <f>Ago!B22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Ago!$B$12</f>
        <v>NECESIDADES BÁSICAS</v>
      </c>
      <c r="AO14" s="86">
        <f>Ago!B23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Ago!$B$12</f>
        <v>NECESIDADES BÁSICAS</v>
      </c>
      <c r="AO15" s="88">
        <f>Ago!B24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Ago!$H$12</f>
        <v>AHORROS</v>
      </c>
      <c r="AO16" s="84" t="str">
        <f>Ago!H13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Ago!$H$12</f>
        <v>AHORROS</v>
      </c>
      <c r="AO17" s="86" t="str">
        <f>Ago!H14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Ago!$H$12</f>
        <v>AHORROS</v>
      </c>
      <c r="AO18" s="86" t="str">
        <f>Ago!H15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Ago!$H$12</f>
        <v>AHORROS</v>
      </c>
      <c r="AO19" s="86" t="str">
        <f>Ago!H16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Ago!$H$12</f>
        <v>AHORROS</v>
      </c>
      <c r="AO20" s="86" t="str">
        <f>Ago!H17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Ago!$H$12</f>
        <v>AHORROS</v>
      </c>
      <c r="AO21" s="86">
        <f>Ago!H18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Ago!$H$12</f>
        <v>AHORROS</v>
      </c>
      <c r="AO22" s="86">
        <f>Ago!H19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Ago!$H$12</f>
        <v>AHORROS</v>
      </c>
      <c r="AO23" s="86">
        <f>Ago!H20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Ago!$H$12</f>
        <v>AHORROS</v>
      </c>
      <c r="AO24" s="86">
        <f>Ago!H21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Ago!$H$12</f>
        <v>AHORROS</v>
      </c>
      <c r="AO25" s="86">
        <f>Ago!H22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Ago!$H$12</f>
        <v>AHORROS</v>
      </c>
      <c r="AO26" s="86">
        <f>Ago!H23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Ago!$H$12</f>
        <v>AHORROS</v>
      </c>
      <c r="AO27" s="88">
        <f>Ago!H24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Ago!$B$27</f>
        <v>DEUDAS</v>
      </c>
      <c r="AO28" s="84" t="str">
        <f>Ago!B28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Ago!$B$27</f>
        <v>DEUDAS</v>
      </c>
      <c r="AO29" s="86" t="str">
        <f>Ago!B29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Ago!$B$27</f>
        <v>DEUDAS</v>
      </c>
      <c r="AO30" s="86" t="str">
        <f>Ago!B30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Ago!$B$27</f>
        <v>DEUDAS</v>
      </c>
      <c r="AO31" s="86" t="str">
        <f>Ago!B31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Ago!$B$27</f>
        <v>DEUDAS</v>
      </c>
      <c r="AO32" s="86" t="str">
        <f>Ago!B32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Ago!$B$27</f>
        <v>DEUDAS</v>
      </c>
      <c r="AO33" s="86">
        <f>Ago!B33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Ago!$B$27</f>
        <v>DEUDAS</v>
      </c>
      <c r="AO34" s="86">
        <f>Ago!B34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Ago!$B$27</f>
        <v>DEUDAS</v>
      </c>
      <c r="AO35" s="88">
        <f>Ago!B35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Ago!$H$27</f>
        <v>REGALOS/ CARIDAD</v>
      </c>
      <c r="AO36" s="84" t="str">
        <f>Ago!H28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Ago!$H$27</f>
        <v>REGALOS/ CARIDAD</v>
      </c>
      <c r="AO37" s="86" t="str">
        <f>Ago!H29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Ago!$H$27</f>
        <v>REGALOS/ CARIDAD</v>
      </c>
      <c r="AO38" s="86" t="str">
        <f>Ago!H30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Ago!$H$27</f>
        <v>REGALOS/ CARIDAD</v>
      </c>
      <c r="AO39" s="86">
        <f>Ago!H31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Ago!$H$27</f>
        <v>REGALOS/ CARIDAD</v>
      </c>
      <c r="AO40" s="86">
        <f>Ago!H32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Ago!$H$27</f>
        <v>REGALOS/ CARIDAD</v>
      </c>
      <c r="AO41" s="86">
        <f>Ago!H33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Ago!$H$27</f>
        <v>REGALOS/ CARIDAD</v>
      </c>
      <c r="AO42" s="86">
        <f>Ago!H34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Ago!$H$27</f>
        <v>REGALOS/ CARIDAD</v>
      </c>
      <c r="AO43" s="88">
        <f>Ago!H35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Ago!$B$38</f>
        <v>CASA</v>
      </c>
      <c r="AO44" s="84" t="str">
        <f>Ago!B39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Ago!$B$38</f>
        <v>CASA</v>
      </c>
      <c r="AO45" s="86" t="str">
        <f>Ago!B40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Ago!$B$38</f>
        <v>CASA</v>
      </c>
      <c r="AO46" s="86" t="str">
        <f>Ago!B41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Ago!$B$38</f>
        <v>CASA</v>
      </c>
      <c r="AO47" s="86" t="str">
        <f>Ago!B42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Ago!$B$38</f>
        <v>CASA</v>
      </c>
      <c r="AO48" s="86">
        <f>Ago!B43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Ago!$B$38</f>
        <v>CASA</v>
      </c>
      <c r="AO49" s="86">
        <f>Ago!B44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Ago!$B$38</f>
        <v>CASA</v>
      </c>
      <c r="AO50" s="88">
        <f>Ago!B45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Ago!$H$38</f>
        <v>TRANSPORTE</v>
      </c>
      <c r="AO51" s="84" t="str">
        <f>Ago!H39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Ago!$H$38</f>
        <v>TRANSPORTE</v>
      </c>
      <c r="AO52" s="86" t="str">
        <f>Ago!H40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Ago!$H$38</f>
        <v>TRANSPORTE</v>
      </c>
      <c r="AO53" s="86" t="str">
        <f>Ago!H41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Ago!$H$38</f>
        <v>TRANSPORTE</v>
      </c>
      <c r="AO54" s="86" t="str">
        <f>Ago!H42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Ago!$H$38</f>
        <v>TRANSPORTE</v>
      </c>
      <c r="AO55" s="86" t="str">
        <f>Ago!H43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Ago!$H$38</f>
        <v>TRANSPORTE</v>
      </c>
      <c r="AO56" s="86">
        <f>Ago!H44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Ago!$H$38</f>
        <v>TRANSPORTE</v>
      </c>
      <c r="AO57" s="88">
        <f>Ago!H45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Ago!$B$48</f>
        <v>ALIMENTACIÓN</v>
      </c>
      <c r="AO58" s="84" t="str">
        <f>Ago!B49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Ago!$B$48</f>
        <v>ALIMENTACIÓN</v>
      </c>
      <c r="AO59" s="86" t="str">
        <f>Ago!B50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Ago!$B$48</f>
        <v>ALIMENTACIÓN</v>
      </c>
      <c r="AO60" s="86">
        <f>Ago!B51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Ago!$B$48</f>
        <v>ALIMENTACIÓN</v>
      </c>
      <c r="AO61" s="86">
        <f>Ago!B52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Ago!$B$48</f>
        <v>ALIMENTACIÓN</v>
      </c>
      <c r="AO62" s="86">
        <f>Ago!B53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Ago!$B$48</f>
        <v>ALIMENTACIÓN</v>
      </c>
      <c r="AO63" s="88">
        <f>Ago!B54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Ago!$H$48</f>
        <v>SEGUROS</v>
      </c>
      <c r="AO64" s="84" t="str">
        <f>Ago!H49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Ago!$H$48</f>
        <v>SEGUROS</v>
      </c>
      <c r="AO65" s="86" t="str">
        <f>Ago!H50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Ago!$H$48</f>
        <v>SEGUROS</v>
      </c>
      <c r="AO66" s="86" t="str">
        <f>Ago!H51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Ago!$H$48</f>
        <v>SEGUROS</v>
      </c>
      <c r="AO67" s="86" t="str">
        <f>Ago!H52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Ago!$H$48</f>
        <v>SEGUROS</v>
      </c>
      <c r="AO68" s="86">
        <f>Ago!H53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Ago!$H$48</f>
        <v>SEGUROS</v>
      </c>
      <c r="AO69" s="88">
        <f>Ago!H54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Ago!$B$57</f>
        <v>SALUD</v>
      </c>
      <c r="AO70" s="84" t="str">
        <f>Ago!B58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Ago!$B$57</f>
        <v>SALUD</v>
      </c>
      <c r="AO71" s="86" t="str">
        <f>Ago!B59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Ago!$B$57</f>
        <v>SALUD</v>
      </c>
      <c r="AO72" s="86" t="str">
        <f>Ago!B60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Ago!$B$57</f>
        <v>SALUD</v>
      </c>
      <c r="AO73" s="86">
        <f>Ago!B61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Ago!$B$57</f>
        <v>SALUD</v>
      </c>
      <c r="AO74" s="86">
        <f>Ago!B62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Ago!$B$57</f>
        <v>SALUD</v>
      </c>
      <c r="AO75" s="86">
        <f>Ago!B63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Ago!$B$57</f>
        <v>SALUD</v>
      </c>
      <c r="AO76" s="88">
        <f>Ago!B64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Ago!$H$57</f>
        <v>CUIDADO PERSONAL</v>
      </c>
      <c r="AO77" s="84" t="str">
        <f>Ago!H58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Ago!$H$57</f>
        <v>CUIDADO PERSONAL</v>
      </c>
      <c r="AO78" s="86" t="str">
        <f>Ago!H59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Ago!$H$57</f>
        <v>CUIDADO PERSONAL</v>
      </c>
      <c r="AO79" s="86" t="str">
        <f>Ago!H60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Ago!$H$57</f>
        <v>CUIDADO PERSONAL</v>
      </c>
      <c r="AO80" s="86" t="str">
        <f>Ago!H61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Ago!$H$57</f>
        <v>CUIDADO PERSONAL</v>
      </c>
      <c r="AO81" s="86" t="str">
        <f>Ago!H62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Ago!$H$57</f>
        <v>CUIDADO PERSONAL</v>
      </c>
      <c r="AO82" s="86">
        <f>Ago!H63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Ago!$H$57</f>
        <v>CUIDADO PERSONAL</v>
      </c>
      <c r="AO83" s="88">
        <f>Ago!H64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Ago!$B$67</f>
        <v>ENTRETENIMIENTO</v>
      </c>
      <c r="AO84" s="84" t="str">
        <f>Ago!B68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Ago!$B$67</f>
        <v>ENTRETENIMIENTO</v>
      </c>
      <c r="AO85" s="86" t="str">
        <f>Ago!B69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Ago!$B$67</f>
        <v>ENTRETENIMIENTO</v>
      </c>
      <c r="AO86" s="86" t="str">
        <f>Ago!B70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Ago!$B$67</f>
        <v>ENTRETENIMIENTO</v>
      </c>
      <c r="AO87" s="86" t="str">
        <f>Ago!B71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Ago!$B$67</f>
        <v>ENTRETENIMIENTO</v>
      </c>
      <c r="AO88" s="86" t="str">
        <f>Ago!B72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Ago!$B$67</f>
        <v>ENTRETENIMIENTO</v>
      </c>
      <c r="AO89" s="86" t="str">
        <f>Ago!B73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Ago!$B$67</f>
        <v>ENTRETENIMIENTO</v>
      </c>
      <c r="AO90" s="86" t="str">
        <f>Ago!B74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Ago!$B$67</f>
        <v>ENTRETENIMIENTO</v>
      </c>
      <c r="AO91" s="86">
        <f>Ago!B75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Ago!$B$67</f>
        <v>ENTRETENIMIENTO</v>
      </c>
      <c r="AO92" s="86">
        <f>Ago!B76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Ago!$B$67</f>
        <v>ENTRETENIMIENTO</v>
      </c>
      <c r="AO93" s="86">
        <f>Ago!B77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Ago!$B$67</f>
        <v>ENTRETENIMIENTO</v>
      </c>
      <c r="AO94" s="88">
        <f>Ago!B78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Ago!$H$67</f>
        <v>HIJOS</v>
      </c>
      <c r="AO95" s="84" t="str">
        <f>Ago!H68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Ago!$H$67</f>
        <v>HIJOS</v>
      </c>
      <c r="AO96" s="86" t="str">
        <f>Ago!H69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Ago!$H$67</f>
        <v>HIJOS</v>
      </c>
      <c r="AO97" s="86" t="str">
        <f>Ago!H70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Ago!$H$67</f>
        <v>HIJOS</v>
      </c>
      <c r="AO98" s="86" t="str">
        <f>Ago!H71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Ago!$H$67</f>
        <v>HIJOS</v>
      </c>
      <c r="AO99" s="86">
        <f>Ago!H72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Ago!$H$67</f>
        <v>HIJOS</v>
      </c>
      <c r="AO100" s="86">
        <f>Ago!H73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Ago!$H$67</f>
        <v>HIJOS</v>
      </c>
      <c r="AO101" s="86">
        <f>Ago!H74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Ago!$H$67</f>
        <v>HIJOS</v>
      </c>
      <c r="AO102" s="86">
        <f>Ago!H75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Ago!$H$67</f>
        <v>HIJOS</v>
      </c>
      <c r="AO103" s="86">
        <f>Ago!H76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Ago!$H$67</f>
        <v>HIJOS</v>
      </c>
      <c r="AO104" s="86">
        <f>Ago!H77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Ago!$H$67</f>
        <v>HIJOS</v>
      </c>
      <c r="AO105" s="88">
        <f>Ago!H78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Ago!$B$81</f>
        <v>MASCOTA</v>
      </c>
      <c r="AO106" s="84" t="str">
        <f>Ago!B82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Ago!$B$81</f>
        <v>MASCOTA</v>
      </c>
      <c r="AO107" s="86" t="str">
        <f>Ago!B83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Ago!$B$81</f>
        <v>MASCOTA</v>
      </c>
      <c r="AO108" s="86" t="str">
        <f>Ago!B84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Ago!$B$81</f>
        <v>MASCOTA</v>
      </c>
      <c r="AO109" s="86" t="str">
        <f>Ago!B85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Ago!$B$81</f>
        <v>MASCOTA</v>
      </c>
      <c r="AO110" s="86">
        <f>Ago!B86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Ago!$B$81</f>
        <v>MASCOTA</v>
      </c>
      <c r="AO111" s="88">
        <f>Ago!B87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Ago!$H$81</f>
        <v>OTROS 1</v>
      </c>
      <c r="AO112" s="84">
        <f>Ago!H82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Ago!$H$81</f>
        <v>OTROS 1</v>
      </c>
      <c r="AO113" s="86">
        <f>Ago!H83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Ago!$H$81</f>
        <v>OTROS 1</v>
      </c>
      <c r="AO114" s="86">
        <f>Ago!H84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Ago!$H$81</f>
        <v>OTROS 1</v>
      </c>
      <c r="AO115" s="86">
        <f>Ago!H85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Ago!$H$81</f>
        <v>OTROS 1</v>
      </c>
      <c r="AO116" s="86">
        <f>Ago!H86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Ago!$H$81</f>
        <v>OTROS 1</v>
      </c>
      <c r="AO117" s="88">
        <f>Ago!H87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Ago!$B$90</f>
        <v>OTROS 2</v>
      </c>
      <c r="AO118" s="84">
        <f>Ago!B91</f>
        <v>0</v>
      </c>
      <c r="AP118" s="80" t="str">
        <f t="shared" si="9"/>
        <v>OTROS 20</v>
      </c>
      <c r="AQ118" s="80" t="str">
        <f t="shared" si="8"/>
        <v>OTROS 20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Ago!$B$90</f>
        <v>OTROS 2</v>
      </c>
      <c r="AO119" s="86">
        <f>Ago!B92</f>
        <v>2</v>
      </c>
      <c r="AP119" s="80" t="str">
        <f t="shared" si="9"/>
        <v>OTROS 22</v>
      </c>
      <c r="AQ119" s="80" t="str">
        <f t="shared" si="8"/>
        <v>OTROS 22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Ago!$B$90</f>
        <v>OTROS 2</v>
      </c>
      <c r="AO120" s="86">
        <f>Ago!B93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Ago!$B$90</f>
        <v>OTROS 2</v>
      </c>
      <c r="AO121" s="86">
        <f>Ago!B94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Ago!$B$90</f>
        <v>OTROS 2</v>
      </c>
      <c r="AO122" s="86">
        <f>Ago!B95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Ago!$B$90</f>
        <v>OTROS 2</v>
      </c>
      <c r="AO123" s="88">
        <f>Ago!B96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Ago!$H$90</f>
        <v>OTROS 3</v>
      </c>
      <c r="AO124" s="84">
        <f>Ago!H91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Ago!$H$90</f>
        <v>OTROS 3</v>
      </c>
      <c r="AO125" s="86">
        <f>Ago!H92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Ago!$H$90</f>
        <v>OTROS 3</v>
      </c>
      <c r="AO126" s="86">
        <f>Ago!H93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Ago!$H$90</f>
        <v>OTROS 3</v>
      </c>
      <c r="AO127" s="86">
        <f>Ago!H94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Ago!$H$90</f>
        <v>OTROS 3</v>
      </c>
      <c r="AO128" s="86">
        <f>Ago!H95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Ago!$H$90</f>
        <v>OTROS 3</v>
      </c>
      <c r="AO129" s="88">
        <f>Ago!H96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Ago!$B$100</f>
        <v>OTROS 4</v>
      </c>
      <c r="AO130" s="84">
        <f>Ago!B101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Ago!$B$100</f>
        <v>OTROS 4</v>
      </c>
      <c r="AO131" s="86">
        <f>Ago!B102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Ago!$B$100</f>
        <v>OTROS 4</v>
      </c>
      <c r="AO132" s="86">
        <f>Ago!B103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Ago!$B$100</f>
        <v>OTROS 4</v>
      </c>
      <c r="AO133" s="86">
        <f>Ago!B104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Ago!$B$100</f>
        <v>OTROS 4</v>
      </c>
      <c r="AO134" s="86">
        <f>Ago!B105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Ago!$B$100</f>
        <v>OTROS 4</v>
      </c>
      <c r="AO135" s="88">
        <f>Ago!B106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Ago!$H$100</f>
        <v>OTROS 5</v>
      </c>
      <c r="AO136" s="84">
        <f>Ago!H101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Ago!$H$100</f>
        <v>OTROS 5</v>
      </c>
      <c r="AO137" s="86">
        <f>Ago!H102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Ago!$H$100</f>
        <v>OTROS 5</v>
      </c>
      <c r="AO138" s="86">
        <f>Ago!H103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Ago!$H$100</f>
        <v>OTROS 5</v>
      </c>
      <c r="AO139" s="86">
        <f>Ago!H104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Ago!$H$100</f>
        <v>OTROS 5</v>
      </c>
      <c r="AO140" s="86">
        <f>Ago!H105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Ago!$H$100</f>
        <v>OTROS 5</v>
      </c>
      <c r="AO141" s="88">
        <f>Ago!H106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E93aXdhaBxehSZ5LTJRiQDUTJ8vVRmS0bym2JyksuMvNIN4XyIEi6ScbJaMvEbVKG0C0/+sC0BiT/q2uripjjw==" saltValue="hmD1etEpph+5hsGlUf/qbg==" spinCount="100000" sheet="1" selectLockedCells="1"/>
  <conditionalFormatting sqref="J1:J300 J313:J1048576">
    <cfRule type="containsText" dxfId="9" priority="1" operator="containsText" text="Revisa">
      <formula>NOT(ISERROR(SEARCH("Revisa",J1)))</formula>
    </cfRule>
    <cfRule type="beginsWith" dxfId="8" priority="2" operator="beginsWith" text="Es">
      <formula>LEFT(J1,LEN("Es"))="Es"</formula>
    </cfRule>
  </conditionalFormatting>
  <dataValidations count="2">
    <dataValidation type="list" allowBlank="1" showInputMessage="1" showErrorMessage="1" sqref="F3:F300" xr:uid="{4183DBB9-14BF-4245-96AF-5489B313FA31}">
      <formula1>$AO$4:$AO$141</formula1>
    </dataValidation>
    <dataValidation type="list" allowBlank="1" showInputMessage="1" showErrorMessage="1" sqref="E3:E300" xr:uid="{22C3E67A-2D2C-A648-A0DC-E5B5CBE1FFA4}">
      <formula1>$AN$4:$AN$141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EF7522"/>
    <pageSetUpPr autoPageBreaks="0" fitToPage="1"/>
  </sheetPr>
  <dimension ref="B1:U110"/>
  <sheetViews>
    <sheetView showGridLines="0" topLeftCell="A12" zoomScaleNormal="100" zoomScalePageLayoutView="80" workbookViewId="0">
      <selection activeCell="K107" sqref="K12:K107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SUMIFS('Sep - registro gastos'!$D$3:$D$300,'Sep - registro gastos'!$E$3:$E$300,Sep!$B$12,'Sep - registro gastos'!$F$3:$F$300,Sep!B13)</f>
        <v>0</v>
      </c>
      <c r="F13" s="12">
        <f>D13-E13</f>
        <v>0</v>
      </c>
      <c r="H13" s="9" t="s">
        <v>13</v>
      </c>
      <c r="I13" s="10" t="s">
        <v>45</v>
      </c>
      <c r="J13" s="11"/>
      <c r="K13" s="11">
        <f>SUMIFS('Sep - registro gastos'!$D$3:$D$300,'Sep - registro gastos'!$E$3:$E$300,Sep!$H$12,'Sep - registro gastos'!$F$3:$F$300,Sep!H13)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SUMIFS('Sep - registro gastos'!$D$3:$D$300,'Sep - registro gastos'!$E$3:$E$300,Sep!$B$12,'Sep - registro gastos'!$F$3:$F$300,Sep!B14)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SUMIFS('Sep - registro gastos'!$D$3:$D$300,'Sep - registro gastos'!$E$3:$E$300,Sep!$H$12,'Sep - registro gastos'!$F$3:$F$300,Sep!H14)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SUMIFS('Sep - registro gastos'!$D$3:$D$300,'Sep - registro gastos'!$E$3:$E$300,Sep!$B$12,'Sep - registro gastos'!$F$3:$F$300,Sep!B15)</f>
        <v>0</v>
      </c>
      <c r="F15" s="12">
        <f t="shared" si="1"/>
        <v>0</v>
      </c>
      <c r="H15" s="9" t="s">
        <v>11</v>
      </c>
      <c r="I15" s="10"/>
      <c r="J15" s="39"/>
      <c r="K15" s="11">
        <f>SUMIFS('Sep - registro gastos'!$D$3:$D$300,'Sep - registro gastos'!$E$3:$E$300,Sep!$H$12,'Sep - registro gastos'!$F$3:$F$300,Sep!H15)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SUMIFS('Sep - registro gastos'!$D$3:$D$300,'Sep - registro gastos'!$E$3:$E$300,Sep!$B$12,'Sep - registro gastos'!$F$3:$F$300,Sep!B16)</f>
        <v>0</v>
      </c>
      <c r="F16" s="12">
        <f t="shared" si="1"/>
        <v>0</v>
      </c>
      <c r="H16" s="9" t="s">
        <v>10</v>
      </c>
      <c r="I16" s="10"/>
      <c r="J16" s="11"/>
      <c r="K16" s="11">
        <f>SUMIFS('Sep - registro gastos'!$D$3:$D$300,'Sep - registro gastos'!$E$3:$E$300,Sep!$H$12,'Sep - registro gastos'!$F$3:$F$300,Sep!H16)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SUMIFS('Sep - registro gastos'!$D$3:$D$300,'Sep - registro gastos'!$E$3:$E$300,Sep!$B$12,'Sep - registro gastos'!$F$3:$F$300,Sep!B17)</f>
        <v>0</v>
      </c>
      <c r="F17" s="12">
        <f t="shared" si="1"/>
        <v>0</v>
      </c>
      <c r="H17" s="9" t="s">
        <v>9</v>
      </c>
      <c r="I17" s="10"/>
      <c r="J17" s="11"/>
      <c r="K17" s="11">
        <f>SUMIFS('Sep - registro gastos'!$D$3:$D$300,'Sep - registro gastos'!$E$3:$E$300,Sep!$H$12,'Sep - registro gastos'!$F$3:$F$300,Sep!H17)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SUMIFS('Sep - registro gastos'!$D$3:$D$300,'Sep - registro gastos'!$E$3:$E$300,Sep!$B$12,'Sep - registro gastos'!$F$3:$F$300,Sep!B18)</f>
        <v>0</v>
      </c>
      <c r="F18" s="12">
        <f t="shared" si="1"/>
        <v>0</v>
      </c>
      <c r="H18" s="9"/>
      <c r="I18" s="10"/>
      <c r="J18" s="11"/>
      <c r="K18" s="11">
        <f>SUMIFS('Sep - registro gastos'!$D$3:$D$300,'Sep - registro gastos'!$E$3:$E$300,Sep!$H$12,'Sep - registro gastos'!$F$3:$F$300,Sep!H18)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SUMIFS('Sep - registro gastos'!$D$3:$D$300,'Sep - registro gastos'!$E$3:$E$300,Sep!$B$12,'Sep - registro gastos'!$F$3:$F$300,Sep!B19)</f>
        <v>0</v>
      </c>
      <c r="F19" s="12">
        <f t="shared" si="1"/>
        <v>0</v>
      </c>
      <c r="H19" s="9"/>
      <c r="I19" s="10"/>
      <c r="J19" s="11"/>
      <c r="K19" s="11">
        <f>SUMIFS('Sep - registro gastos'!$D$3:$D$300,'Sep - registro gastos'!$E$3:$E$300,Sep!$H$12,'Sep - registro gastos'!$F$3:$F$300,Sep!H19)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SUMIFS('Sep - registro gastos'!$D$3:$D$300,'Sep - registro gastos'!$E$3:$E$300,Sep!$B$12,'Sep - registro gastos'!$F$3:$F$300,Sep!B20)</f>
        <v>0</v>
      </c>
      <c r="F20" s="12">
        <f t="shared" si="1"/>
        <v>0</v>
      </c>
      <c r="H20" s="9"/>
      <c r="I20" s="10"/>
      <c r="J20" s="11"/>
      <c r="K20" s="11">
        <f>SUMIFS('Sep - registro gastos'!$D$3:$D$300,'Sep - registro gastos'!$E$3:$E$300,Sep!$H$12,'Sep - registro gastos'!$F$3:$F$300,Sep!H20)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SUMIFS('Sep - registro gastos'!$D$3:$D$300,'Sep - registro gastos'!$E$3:$E$300,Sep!$B$12,'Sep - registro gastos'!$F$3:$F$300,Sep!B21)</f>
        <v>0</v>
      </c>
      <c r="F21" s="12">
        <f t="shared" si="1"/>
        <v>0</v>
      </c>
      <c r="H21" s="9"/>
      <c r="I21" s="10"/>
      <c r="J21" s="11"/>
      <c r="K21" s="11">
        <f>SUMIFS('Sep - registro gastos'!$D$3:$D$300,'Sep - registro gastos'!$E$3:$E$300,Sep!$H$12,'Sep - registro gastos'!$F$3:$F$300,Sep!H21)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SUMIFS('Sep - registro gastos'!$D$3:$D$300,'Sep - registro gastos'!$E$3:$E$300,Sep!$B$12,'Sep - registro gastos'!$F$3:$F$300,Sep!B22)</f>
        <v>0</v>
      </c>
      <c r="F22" s="12">
        <f t="shared" si="1"/>
        <v>0</v>
      </c>
      <c r="H22" s="9"/>
      <c r="I22" s="10"/>
      <c r="J22" s="11"/>
      <c r="K22" s="11">
        <f>SUMIFS('Sep - registro gastos'!$D$3:$D$300,'Sep - registro gastos'!$E$3:$E$300,Sep!$H$12,'Sep - registro gastos'!$F$3:$F$300,Sep!H22)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SUMIFS('Sep - registro gastos'!$D$3:$D$300,'Sep - registro gastos'!$E$3:$E$300,Sep!$B$12,'Sep - registro gastos'!$F$3:$F$300,Sep!B23)</f>
        <v>0</v>
      </c>
      <c r="F23" s="12">
        <f t="shared" si="1"/>
        <v>0</v>
      </c>
      <c r="H23" s="9"/>
      <c r="I23" s="10"/>
      <c r="J23" s="11"/>
      <c r="K23" s="11">
        <f>SUMIFS('Sep - registro gastos'!$D$3:$D$300,'Sep - registro gastos'!$E$3:$E$300,Sep!$H$12,'Sep - registro gastos'!$F$3:$F$300,Sep!H23)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SUMIFS('Sep - registro gastos'!$D$3:$D$300,'Sep - registro gastos'!$E$3:$E$300,Sep!$B$12,'Sep - registro gastos'!$F$3:$F$300,Sep!B24)</f>
        <v>0</v>
      </c>
      <c r="F24" s="15">
        <f t="shared" si="1"/>
        <v>0</v>
      </c>
      <c r="H24" s="13"/>
      <c r="I24" s="40"/>
      <c r="J24" s="14"/>
      <c r="K24" s="14">
        <f>SUMIFS('Sep - registro gastos'!$D$3:$D$300,'Sep - registro gastos'!$E$3:$E$300,Sep!$H$12,'Sep - registro gastos'!$F$3:$F$300,Sep!H24)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SUMIFS('Sep - registro gastos'!$D$3:$D$300,'Sep - registro gastos'!$E$3:$E$300,Sep!$B$27,'Sep - registro gastos'!$F$3:$F$300,Sep!B28)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SUMIFS('Sep - registro gastos'!$D$3:$D$300,'Sep - registro gastos'!$E$3:$E$300,Sep!$H$27,'Sep - registro gastos'!$F$3:$F$300,Sep!H28)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SUMIFS('Sep - registro gastos'!$D$3:$D$300,'Sep - registro gastos'!$E$3:$E$300,Sep!$B$27,'Sep - registro gastos'!$F$3:$F$300,Sep!B29)</f>
        <v>0</v>
      </c>
      <c r="F29" s="12">
        <f t="shared" si="2"/>
        <v>0</v>
      </c>
      <c r="H29" s="9" t="s">
        <v>17</v>
      </c>
      <c r="I29" s="10"/>
      <c r="J29" s="11"/>
      <c r="K29" s="11">
        <f>SUMIFS('Sep - registro gastos'!$D$3:$D$300,'Sep - registro gastos'!$E$3:$E$300,Sep!$H$27,'Sep - registro gastos'!$F$3:$F$300,Sep!H29)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SUMIFS('Sep - registro gastos'!$D$3:$D$300,'Sep - registro gastos'!$E$3:$E$300,Sep!$B$27,'Sep - registro gastos'!$F$3:$F$300,Sep!B30)</f>
        <v>0</v>
      </c>
      <c r="F30" s="12">
        <f t="shared" si="2"/>
        <v>0</v>
      </c>
      <c r="H30" s="9" t="s">
        <v>16</v>
      </c>
      <c r="I30" s="10"/>
      <c r="J30" s="11"/>
      <c r="K30" s="11">
        <f>SUMIFS('Sep - registro gastos'!$D$3:$D$300,'Sep - registro gastos'!$E$3:$E$300,Sep!$H$27,'Sep - registro gastos'!$F$3:$F$300,Sep!H30)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SUMIFS('Sep - registro gastos'!$D$3:$D$300,'Sep - registro gastos'!$E$3:$E$300,Sep!$B$27,'Sep - registro gastos'!$F$3:$F$300,Sep!B31)</f>
        <v>0</v>
      </c>
      <c r="F31" s="12">
        <f t="shared" si="2"/>
        <v>0</v>
      </c>
      <c r="H31" s="9"/>
      <c r="I31" s="10"/>
      <c r="J31" s="11"/>
      <c r="K31" s="11">
        <f>SUMIFS('Sep - registro gastos'!$D$3:$D$300,'Sep - registro gastos'!$E$3:$E$300,Sep!$H$27,'Sep - registro gastos'!$F$3:$F$300,Sep!H31)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SUMIFS('Sep - registro gastos'!$D$3:$D$300,'Sep - registro gastos'!$E$3:$E$300,Sep!$B$27,'Sep - registro gastos'!$F$3:$F$300,Sep!B32)</f>
        <v>0</v>
      </c>
      <c r="F32" s="12">
        <f t="shared" si="2"/>
        <v>0</v>
      </c>
      <c r="H32" s="9"/>
      <c r="I32" s="10"/>
      <c r="J32" s="11"/>
      <c r="K32" s="11">
        <f>SUMIFS('Sep - registro gastos'!$D$3:$D$300,'Sep - registro gastos'!$E$3:$E$300,Sep!$H$27,'Sep - registro gastos'!$F$3:$F$300,Sep!H32)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SUMIFS('Sep - registro gastos'!$D$3:$D$300,'Sep - registro gastos'!$E$3:$E$300,Sep!$B$27,'Sep - registro gastos'!$F$3:$F$300,Sep!B33)</f>
        <v>0</v>
      </c>
      <c r="F33" s="12">
        <f t="shared" si="2"/>
        <v>0</v>
      </c>
      <c r="H33" s="9"/>
      <c r="I33" s="10"/>
      <c r="J33" s="11"/>
      <c r="K33" s="11">
        <f>SUMIFS('Sep - registro gastos'!$D$3:$D$300,'Sep - registro gastos'!$E$3:$E$300,Sep!$H$27,'Sep - registro gastos'!$F$3:$F$300,Sep!H33)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SUMIFS('Sep - registro gastos'!$D$3:$D$300,'Sep - registro gastos'!$E$3:$E$300,Sep!$B$27,'Sep - registro gastos'!$F$3:$F$300,Sep!B34)</f>
        <v>0</v>
      </c>
      <c r="F34" s="12">
        <f t="shared" si="2"/>
        <v>0</v>
      </c>
      <c r="H34" s="9"/>
      <c r="I34" s="10"/>
      <c r="J34" s="11"/>
      <c r="K34" s="11">
        <f>SUMIFS('Sep - registro gastos'!$D$3:$D$300,'Sep - registro gastos'!$E$3:$E$300,Sep!$H$27,'Sep - registro gastos'!$F$3:$F$300,Sep!H34)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SUMIFS('Sep - registro gastos'!$D$3:$D$300,'Sep - registro gastos'!$E$3:$E$300,Sep!$B$27,'Sep - registro gastos'!$F$3:$F$300,Sep!B35)</f>
        <v>0</v>
      </c>
      <c r="F35" s="15">
        <f t="shared" si="2"/>
        <v>0</v>
      </c>
      <c r="H35" s="13"/>
      <c r="I35" s="40"/>
      <c r="J35" s="14"/>
      <c r="K35" s="14">
        <f>SUMIFS('Sep - registro gastos'!$D$3:$D$300,'Sep - registro gastos'!$E$3:$E$300,Sep!$H$27,'Sep - registro gastos'!$F$3:$F$300,Sep!H35)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SUMIFS('Sep - registro gastos'!$D$3:$D$300,'Sep - registro gastos'!$E$3:$E$300,Sep!$B$38,'Sep - registro gastos'!$F$3:$F$300,Sep!B39)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SUMIFS('Sep - registro gastos'!$D$3:$D$300,'Sep - registro gastos'!$E$3:$E$300,Sep!$H$38,'Sep - registro gastos'!$F$3:$F$300,Sep!H39)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SUMIFS('Sep - registro gastos'!$D$3:$D$300,'Sep - registro gastos'!$E$3:$E$300,Sep!$B$38,'Sep - registro gastos'!$F$3:$F$300,Sep!B40)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SUMIFS('Sep - registro gastos'!$D$3:$D$300,'Sep - registro gastos'!$E$3:$E$300,Sep!$H$38,'Sep - registro gastos'!$F$3:$F$300,Sep!H40)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SUMIFS('Sep - registro gastos'!$D$3:$D$300,'Sep - registro gastos'!$E$3:$E$300,Sep!$B$38,'Sep - registro gastos'!$F$3:$F$300,Sep!B41)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SUMIFS('Sep - registro gastos'!$D$3:$D$300,'Sep - registro gastos'!$E$3:$E$300,Sep!$H$38,'Sep - registro gastos'!$F$3:$F$300,Sep!H41)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SUMIFS('Sep - registro gastos'!$D$3:$D$300,'Sep - registro gastos'!$E$3:$E$300,Sep!$B$38,'Sep - registro gastos'!$F$3:$F$300,Sep!B42)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SUMIFS('Sep - registro gastos'!$D$3:$D$300,'Sep - registro gastos'!$E$3:$E$300,Sep!$H$38,'Sep - registro gastos'!$F$3:$F$300,Sep!H42)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SUMIFS('Sep - registro gastos'!$D$3:$D$300,'Sep - registro gastos'!$E$3:$E$300,Sep!$B$38,'Sep - registro gastos'!$F$3:$F$300,Sep!B43)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SUMIFS('Sep - registro gastos'!$D$3:$D$300,'Sep - registro gastos'!$E$3:$E$300,Sep!$H$38,'Sep - registro gastos'!$F$3:$F$300,Sep!H43)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SUMIFS('Sep - registro gastos'!$D$3:$D$300,'Sep - registro gastos'!$E$3:$E$300,Sep!$B$38,'Sep - registro gastos'!$F$3:$F$300,Sep!B44)</f>
        <v>0</v>
      </c>
      <c r="F44" s="12">
        <f t="shared" si="4"/>
        <v>0</v>
      </c>
      <c r="G44" s="20"/>
      <c r="H44" s="30"/>
      <c r="I44" s="10"/>
      <c r="J44" s="31"/>
      <c r="K44" s="31">
        <f>SUMIFS('Sep - registro gastos'!$D$3:$D$300,'Sep - registro gastos'!$E$3:$E$300,Sep!$H$38,'Sep - registro gastos'!$F$3:$F$300,Sep!H44)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SUMIFS('Sep - registro gastos'!$D$3:$D$300,'Sep - registro gastos'!$E$3:$E$300,Sep!$B$38,'Sep - registro gastos'!$F$3:$F$300,Sep!B45)</f>
        <v>0</v>
      </c>
      <c r="F45" s="15">
        <f t="shared" si="4"/>
        <v>0</v>
      </c>
      <c r="G45" s="20"/>
      <c r="H45" s="13"/>
      <c r="I45" s="40"/>
      <c r="J45" s="14"/>
      <c r="K45" s="14">
        <f>SUMIFS('Sep - registro gastos'!$D$3:$D$300,'Sep - registro gastos'!$E$3:$E$300,Sep!$H$38,'Sep - registro gastos'!$F$3:$F$300,Sep!H45)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SUMIFS('Sep - registro gastos'!$D$3:$D$300,'Sep - registro gastos'!$E$3:$E$300,Sep!$B$48,'Sep - registro gastos'!$F$3:$F$300,Sep!B49)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SUMIFS('Sep - registro gastos'!$D$3:$D$300,'Sep - registro gastos'!$E$3:$E$300,Sep!$H$48,'Sep - registro gastos'!$F$3:$F$300,Sep!H49)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SUMIFS('Sep - registro gastos'!$D$3:$D$300,'Sep - registro gastos'!$E$3:$E$300,Sep!$B$48,'Sep - registro gastos'!$F$3:$F$300,Sep!B50)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SUMIFS('Sep - registro gastos'!$D$3:$D$300,'Sep - registro gastos'!$E$3:$E$300,Sep!$H$48,'Sep - registro gastos'!$F$3:$F$300,Sep!H50)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SUMIFS('Sep - registro gastos'!$D$3:$D$300,'Sep - registro gastos'!$E$3:$E$300,Sep!$B$48,'Sep - registro gastos'!$F$3:$F$300,Sep!B51)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SUMIFS('Sep - registro gastos'!$D$3:$D$300,'Sep - registro gastos'!$E$3:$E$300,Sep!$H$48,'Sep - registro gastos'!$F$3:$F$300,Sep!H51)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SUMIFS('Sep - registro gastos'!$D$3:$D$300,'Sep - registro gastos'!$E$3:$E$300,Sep!$B$48,'Sep - registro gastos'!$F$3:$F$300,Sep!B52)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SUMIFS('Sep - registro gastos'!$D$3:$D$300,'Sep - registro gastos'!$E$3:$E$300,Sep!$H$48,'Sep - registro gastos'!$F$3:$F$300,Sep!H52)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SUMIFS('Sep - registro gastos'!$D$3:$D$300,'Sep - registro gastos'!$E$3:$E$300,Sep!$B$48,'Sep - registro gastos'!$F$3:$F$300,Sep!B53)</f>
        <v>0</v>
      </c>
      <c r="F53" s="12">
        <f t="shared" si="6"/>
        <v>0</v>
      </c>
      <c r="G53" s="20"/>
      <c r="H53" s="9"/>
      <c r="I53" s="10"/>
      <c r="J53" s="11"/>
      <c r="K53" s="11">
        <f>SUMIFS('Sep - registro gastos'!$D$3:$D$300,'Sep - registro gastos'!$E$3:$E$300,Sep!$H$48,'Sep - registro gastos'!$F$3:$F$300,Sep!H53)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SUMIFS('Sep - registro gastos'!$D$3:$D$300,'Sep - registro gastos'!$E$3:$E$300,Sep!$B$48,'Sep - registro gastos'!$F$3:$F$300,Sep!B54)</f>
        <v>0</v>
      </c>
      <c r="F54" s="15">
        <f t="shared" si="6"/>
        <v>0</v>
      </c>
      <c r="G54" s="20"/>
      <c r="H54" s="13"/>
      <c r="I54" s="40"/>
      <c r="J54" s="14"/>
      <c r="K54" s="14">
        <f>SUMIFS('Sep - registro gastos'!$D$3:$D$300,'Sep - registro gastos'!$E$3:$E$300,Sep!$H$48,'Sep - registro gastos'!$F$3:$F$300,Sep!H54)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SUMIFS('Sep - registro gastos'!$D$3:$D$300,'Sep - registro gastos'!$E$3:$E$300,Sep!$B$57,'Sep - registro gastos'!$F$3:$F$300,Sep!B58)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SUMIFS('Sep - registro gastos'!$D$3:$D$300,'Sep - registro gastos'!$E$3:$E$300,Sep!$H$57,'Sep - registro gastos'!$F$3:$F$300,Sep!H58)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SUMIFS('Sep - registro gastos'!$D$3:$D$300,'Sep - registro gastos'!$E$3:$E$300,Sep!$B$57,'Sep - registro gastos'!$F$3:$F$300,Sep!B59)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SUMIFS('Sep - registro gastos'!$D$3:$D$300,'Sep - registro gastos'!$E$3:$E$300,Sep!$H$57,'Sep - registro gastos'!$F$3:$F$300,Sep!H59)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SUMIFS('Sep - registro gastos'!$D$3:$D$300,'Sep - registro gastos'!$E$3:$E$300,Sep!$B$57,'Sep - registro gastos'!$F$3:$F$300,Sep!B60)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SUMIFS('Sep - registro gastos'!$D$3:$D$300,'Sep - registro gastos'!$E$3:$E$300,Sep!$H$57,'Sep - registro gastos'!$F$3:$F$300,Sep!H60)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SUMIFS('Sep - registro gastos'!$D$3:$D$300,'Sep - registro gastos'!$E$3:$E$300,Sep!$B$57,'Sep - registro gastos'!$F$3:$F$300,Sep!B61)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SUMIFS('Sep - registro gastos'!$D$3:$D$300,'Sep - registro gastos'!$E$3:$E$300,Sep!$H$57,'Sep - registro gastos'!$F$3:$F$300,Sep!H61)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SUMIFS('Sep - registro gastos'!$D$3:$D$300,'Sep - registro gastos'!$E$3:$E$300,Sep!$B$57,'Sep - registro gastos'!$F$3:$F$300,Sep!B62)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SUMIFS('Sep - registro gastos'!$D$3:$D$300,'Sep - registro gastos'!$E$3:$E$300,Sep!$H$57,'Sep - registro gastos'!$F$3:$F$300,Sep!H62)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SUMIFS('Sep - registro gastos'!$D$3:$D$300,'Sep - registro gastos'!$E$3:$E$300,Sep!$B$57,'Sep - registro gastos'!$F$3:$F$300,Sep!B63)</f>
        <v>0</v>
      </c>
      <c r="F63" s="12">
        <f t="shared" si="9"/>
        <v>0</v>
      </c>
      <c r="G63" s="20"/>
      <c r="H63" s="30"/>
      <c r="I63" s="10"/>
      <c r="J63" s="31"/>
      <c r="K63" s="31">
        <f>SUMIFS('Sep - registro gastos'!$D$3:$D$300,'Sep - registro gastos'!$E$3:$E$300,Sep!$H$57,'Sep - registro gastos'!$F$3:$F$300,Sep!H63)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SUMIFS('Sep - registro gastos'!$D$3:$D$300,'Sep - registro gastos'!$E$3:$E$300,Sep!$B$57,'Sep - registro gastos'!$F$3:$F$300,Sep!B64)</f>
        <v>0</v>
      </c>
      <c r="F64" s="15">
        <f t="shared" si="9"/>
        <v>0</v>
      </c>
      <c r="G64" s="20"/>
      <c r="H64" s="13"/>
      <c r="I64" s="40"/>
      <c r="J64" s="14"/>
      <c r="K64" s="14">
        <f>SUMIFS('Sep - registro gastos'!$D$3:$D$300,'Sep - registro gastos'!$E$3:$E$300,Sep!$H$57,'Sep - registro gastos'!$F$3:$F$300,Sep!H64)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SUMIFS('Sep - registro gastos'!$D$3:$D$300,'Sep - registro gastos'!$E$3:$E$300,Sep!$B$67,'Sep - registro gastos'!$F$3:$F$300,Sep!B68)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SUMIFS('Sep - registro gastos'!$D$3:$D$300,'Sep - registro gastos'!$E$3:$E$300,Sep!$H$67,'Sep - registro gastos'!$F$3:$F$300,Sep!H68)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SUMIFS('Sep - registro gastos'!$D$3:$D$300,'Sep - registro gastos'!$E$3:$E$300,Sep!$B$67,'Sep - registro gastos'!$F$3:$F$300,Sep!B69)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SUMIFS('Sep - registro gastos'!$D$3:$D$300,'Sep - registro gastos'!$E$3:$E$300,Sep!$H$67,'Sep - registro gastos'!$F$3:$F$300,Sep!H69)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SUMIFS('Sep - registro gastos'!$D$3:$D$300,'Sep - registro gastos'!$E$3:$E$300,Sep!$B$67,'Sep - registro gastos'!$F$3:$F$300,Sep!B70)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SUMIFS('Sep - registro gastos'!$D$3:$D$300,'Sep - registro gastos'!$E$3:$E$300,Sep!$H$67,'Sep - registro gastos'!$F$3:$F$300,Sep!H70)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SUMIFS('Sep - registro gastos'!$D$3:$D$300,'Sep - registro gastos'!$E$3:$E$300,Sep!$B$67,'Sep - registro gastos'!$F$3:$F$300,Sep!B71)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SUMIFS('Sep - registro gastos'!$D$3:$D$300,'Sep - registro gastos'!$E$3:$E$300,Sep!$H$67,'Sep - registro gastos'!$F$3:$F$300,Sep!H71)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SUMIFS('Sep - registro gastos'!$D$3:$D$300,'Sep - registro gastos'!$E$3:$E$300,Sep!$B$67,'Sep - registro gastos'!$F$3:$F$300,Sep!B72)</f>
        <v>0</v>
      </c>
      <c r="F72" s="12">
        <f t="shared" si="10"/>
        <v>0</v>
      </c>
      <c r="G72" s="20"/>
      <c r="H72" s="9"/>
      <c r="I72" s="10"/>
      <c r="J72" s="11"/>
      <c r="K72" s="11">
        <f>SUMIFS('Sep - registro gastos'!$D$3:$D$300,'Sep - registro gastos'!$E$3:$E$300,Sep!$H$67,'Sep - registro gastos'!$F$3:$F$300,Sep!H72)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SUMIFS('Sep - registro gastos'!$D$3:$D$300,'Sep - registro gastos'!$E$3:$E$300,Sep!$B$67,'Sep - registro gastos'!$F$3:$F$300,Sep!B73)</f>
        <v>0</v>
      </c>
      <c r="F73" s="12">
        <f t="shared" si="10"/>
        <v>0</v>
      </c>
      <c r="G73" s="20"/>
      <c r="H73" s="9"/>
      <c r="I73" s="10"/>
      <c r="J73" s="11"/>
      <c r="K73" s="11">
        <f>SUMIFS('Sep - registro gastos'!$D$3:$D$300,'Sep - registro gastos'!$E$3:$E$300,Sep!$H$67,'Sep - registro gastos'!$F$3:$F$300,Sep!H73)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SUMIFS('Sep - registro gastos'!$D$3:$D$300,'Sep - registro gastos'!$E$3:$E$300,Sep!$B$67,'Sep - registro gastos'!$F$3:$F$300,Sep!B74)</f>
        <v>0</v>
      </c>
      <c r="F74" s="12">
        <f t="shared" si="10"/>
        <v>0</v>
      </c>
      <c r="G74" s="20"/>
      <c r="H74" s="9"/>
      <c r="I74" s="10"/>
      <c r="J74" s="11"/>
      <c r="K74" s="11">
        <f>SUMIFS('Sep - registro gastos'!$D$3:$D$300,'Sep - registro gastos'!$E$3:$E$300,Sep!$H$67,'Sep - registro gastos'!$F$3:$F$300,Sep!H74)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SUMIFS('Sep - registro gastos'!$D$3:$D$300,'Sep - registro gastos'!$E$3:$E$300,Sep!$B$67,'Sep - registro gastos'!$F$3:$F$300,Sep!B75)</f>
        <v>0</v>
      </c>
      <c r="F75" s="12">
        <f t="shared" si="10"/>
        <v>0</v>
      </c>
      <c r="G75" s="20"/>
      <c r="H75" s="30"/>
      <c r="I75" s="10"/>
      <c r="J75" s="31"/>
      <c r="K75" s="31">
        <f>SUMIFS('Sep - registro gastos'!$D$3:$D$300,'Sep - registro gastos'!$E$3:$E$300,Sep!$H$67,'Sep - registro gastos'!$F$3:$F$300,Sep!H75)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SUMIFS('Sep - registro gastos'!$D$3:$D$300,'Sep - registro gastos'!$E$3:$E$300,Sep!$B$67,'Sep - registro gastos'!$F$3:$F$300,Sep!B76)</f>
        <v>0</v>
      </c>
      <c r="F76" s="12">
        <f t="shared" si="10"/>
        <v>0</v>
      </c>
      <c r="G76" s="20"/>
      <c r="H76" s="30"/>
      <c r="I76" s="10"/>
      <c r="J76" s="31"/>
      <c r="K76" s="31">
        <f>SUMIFS('Sep - registro gastos'!$D$3:$D$300,'Sep - registro gastos'!$E$3:$E$300,Sep!$H$67,'Sep - registro gastos'!$F$3:$F$300,Sep!H76)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SUMIFS('Sep - registro gastos'!$D$3:$D$300,'Sep - registro gastos'!$E$3:$E$300,Sep!$B$67,'Sep - registro gastos'!$F$3:$F$300,Sep!B77)</f>
        <v>0</v>
      </c>
      <c r="F77" s="12">
        <f t="shared" si="10"/>
        <v>0</v>
      </c>
      <c r="G77" s="20"/>
      <c r="H77" s="30"/>
      <c r="I77" s="10"/>
      <c r="J77" s="31"/>
      <c r="K77" s="31">
        <f>SUMIFS('Sep - registro gastos'!$D$3:$D$300,'Sep - registro gastos'!$E$3:$E$300,Sep!$H$67,'Sep - registro gastos'!$F$3:$F$300,Sep!H77)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SUMIFS('Sep - registro gastos'!$D$3:$D$300,'Sep - registro gastos'!$E$3:$E$300,Sep!$B$67,'Sep - registro gastos'!$F$3:$F$300,Sep!B78)</f>
        <v>0</v>
      </c>
      <c r="F78" s="15">
        <f t="shared" si="10"/>
        <v>0</v>
      </c>
      <c r="G78" s="20"/>
      <c r="H78" s="13"/>
      <c r="I78" s="40"/>
      <c r="J78" s="14"/>
      <c r="K78" s="14">
        <f>SUMIFS('Sep - registro gastos'!$D$3:$D$300,'Sep - registro gastos'!$E$3:$E$300,Sep!$H$67,'Sep - registro gastos'!$F$3:$F$300,Sep!H78)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SUMIFS('Sep - registro gastos'!$D$3:$D$300,'Sep - registro gastos'!$E$3:$E$300,Sep!$B$81,'Sep - registro gastos'!$F$3:$F$300,Sep!B82)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SUMIFS('Sep - registro gastos'!$D$3:$D$300,'Sep - registro gastos'!$E$3:$E$300,Sep!$H$81,'Sep - registro gastos'!$F$3:$F$300,Sep!H82)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SUMIFS('Sep - registro gastos'!$D$3:$D$300,'Sep - registro gastos'!$E$3:$E$300,Sep!$B$81,'Sep - registro gastos'!$F$3:$F$300,Sep!B83)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SUMIFS('Sep - registro gastos'!$D$3:$D$300,'Sep - registro gastos'!$E$3:$E$300,Sep!$H$81,'Sep - registro gastos'!$F$3:$F$300,Sep!H83)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SUMIFS('Sep - registro gastos'!$D$3:$D$300,'Sep - registro gastos'!$E$3:$E$300,Sep!$B$81,'Sep - registro gastos'!$F$3:$F$300,Sep!B84)</f>
        <v>0</v>
      </c>
      <c r="F84" s="12">
        <f t="shared" si="12"/>
        <v>0</v>
      </c>
      <c r="G84" s="20"/>
      <c r="H84" s="9"/>
      <c r="I84" s="10"/>
      <c r="J84" s="11"/>
      <c r="K84" s="11">
        <f>SUMIFS('Sep - registro gastos'!$D$3:$D$300,'Sep - registro gastos'!$E$3:$E$300,Sep!$H$81,'Sep - registro gastos'!$F$3:$F$300,Sep!H84)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SUMIFS('Sep - registro gastos'!$D$3:$D$300,'Sep - registro gastos'!$E$3:$E$300,Sep!$B$81,'Sep - registro gastos'!$F$3:$F$300,Sep!B85)</f>
        <v>0</v>
      </c>
      <c r="F85" s="12">
        <f>D85-E85</f>
        <v>0</v>
      </c>
      <c r="G85" s="20"/>
      <c r="H85" s="9"/>
      <c r="I85" s="10"/>
      <c r="J85" s="11"/>
      <c r="K85" s="11">
        <f>SUMIFS('Sep - registro gastos'!$D$3:$D$300,'Sep - registro gastos'!$E$3:$E$300,Sep!$H$81,'Sep - registro gastos'!$F$3:$F$300,Sep!H85)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SUMIFS('Sep - registro gastos'!$D$3:$D$300,'Sep - registro gastos'!$E$3:$E$300,Sep!$B$81,'Sep - registro gastos'!$F$3:$F$300,Sep!B86)</f>
        <v>0</v>
      </c>
      <c r="F86" s="12">
        <f t="shared" si="12"/>
        <v>0</v>
      </c>
      <c r="G86" s="20"/>
      <c r="H86" s="9"/>
      <c r="I86" s="10"/>
      <c r="J86" s="11"/>
      <c r="K86" s="11">
        <f>SUMIFS('Sep - registro gastos'!$D$3:$D$300,'Sep - registro gastos'!$E$3:$E$300,Sep!$H$81,'Sep - registro gastos'!$F$3:$F$300,Sep!H86)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SUMIFS('Sep - registro gastos'!$D$3:$D$300,'Sep - registro gastos'!$E$3:$E$300,Sep!$B$81,'Sep - registro gastos'!$F$3:$F$300,Sep!B87)</f>
        <v>0</v>
      </c>
      <c r="F87" s="15">
        <f t="shared" si="12"/>
        <v>0</v>
      </c>
      <c r="G87" s="20"/>
      <c r="H87" s="13"/>
      <c r="I87" s="40"/>
      <c r="J87" s="14"/>
      <c r="K87" s="14">
        <f>SUMIFS('Sep - registro gastos'!$D$3:$D$300,'Sep - registro gastos'!$E$3:$E$300,Sep!$H$81,'Sep - registro gastos'!$F$3:$F$300,Sep!H87)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SUMIFS('Sep - registro gastos'!$D$3:$D$300,'Sep - registro gastos'!$E$3:$E$300,Sep!$B$90,'Sep - registro gastos'!$F$3:$F$300,Sep!B91)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SUMIFS('Sep - registro gastos'!$D$3:$D$300,'Sep - registro gastos'!$E$3:$E$300,Sep!$H$90,'Sep - registro gastos'!$F$3:$F$300,Sep!H91)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SUMIFS('Sep - registro gastos'!$D$3:$D$300,'Sep - registro gastos'!$E$3:$E$300,Sep!$B$90,'Sep - registro gastos'!$F$3:$F$300,Sep!B92)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SUMIFS('Sep - registro gastos'!$D$3:$D$300,'Sep - registro gastos'!$E$3:$E$300,Sep!$H$90,'Sep - registro gastos'!$F$3:$F$300,Sep!H92)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SUMIFS('Sep - registro gastos'!$D$3:$D$300,'Sep - registro gastos'!$E$3:$E$300,Sep!$B$90,'Sep - registro gastos'!$F$3:$F$300,Sep!B93)</f>
        <v>0</v>
      </c>
      <c r="F93" s="12">
        <f t="shared" si="15"/>
        <v>0</v>
      </c>
      <c r="G93" s="20"/>
      <c r="H93" s="9"/>
      <c r="I93" s="10"/>
      <c r="J93" s="11"/>
      <c r="K93" s="11">
        <f>SUMIFS('Sep - registro gastos'!$D$3:$D$300,'Sep - registro gastos'!$E$3:$E$300,Sep!$H$90,'Sep - registro gastos'!$F$3:$F$300,Sep!H93)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SUMIFS('Sep - registro gastos'!$D$3:$D$300,'Sep - registro gastos'!$E$3:$E$300,Sep!$B$90,'Sep - registro gastos'!$F$3:$F$300,Sep!B94)</f>
        <v>0</v>
      </c>
      <c r="F94" s="12">
        <f t="shared" si="15"/>
        <v>0</v>
      </c>
      <c r="G94" s="20"/>
      <c r="H94" s="9"/>
      <c r="I94" s="10"/>
      <c r="J94" s="11"/>
      <c r="K94" s="11">
        <f>SUMIFS('Sep - registro gastos'!$D$3:$D$300,'Sep - registro gastos'!$E$3:$E$300,Sep!$H$90,'Sep - registro gastos'!$F$3:$F$300,Sep!H94)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SUMIFS('Sep - registro gastos'!$D$3:$D$300,'Sep - registro gastos'!$E$3:$E$300,Sep!$B$90,'Sep - registro gastos'!$F$3:$F$300,Sep!B95)</f>
        <v>0</v>
      </c>
      <c r="F95" s="12">
        <f>D95-E95</f>
        <v>0</v>
      </c>
      <c r="G95" s="20"/>
      <c r="H95" s="9"/>
      <c r="I95" s="10"/>
      <c r="J95" s="11"/>
      <c r="K95" s="11">
        <f>SUMIFS('Sep - registro gastos'!$D$3:$D$300,'Sep - registro gastos'!$E$3:$E$300,Sep!$H$90,'Sep - registro gastos'!$F$3:$F$300,Sep!H95)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SUMIFS('Sep - registro gastos'!$D$3:$D$300,'Sep - registro gastos'!$E$3:$E$300,Sep!$B$90,'Sep - registro gastos'!$F$3:$F$300,Sep!B96)</f>
        <v>0</v>
      </c>
      <c r="F96" s="12">
        <f t="shared" si="15"/>
        <v>0</v>
      </c>
      <c r="G96" s="20"/>
      <c r="H96" s="9"/>
      <c r="I96" s="10"/>
      <c r="J96" s="11"/>
      <c r="K96" s="11">
        <f>SUMIFS('Sep - registro gastos'!$D$3:$D$300,'Sep - registro gastos'!$E$3:$E$300,Sep!$H$90,'Sep - registro gastos'!$F$3:$F$300,Sep!H96)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SUMIFS('Sep - registro gastos'!$D$3:$D$300,'Sep - registro gastos'!$E$3:$E$300,Sep!$B$90,'Sep - registro gastos'!$F$3:$F$300,Sep!B97)</f>
        <v>0</v>
      </c>
      <c r="F97" s="15">
        <f t="shared" si="15"/>
        <v>0</v>
      </c>
      <c r="G97" s="20"/>
      <c r="H97" s="13"/>
      <c r="I97" s="40"/>
      <c r="J97" s="14"/>
      <c r="K97" s="14">
        <f>SUMIFS('Sep - registro gastos'!$D$3:$D$300,'Sep - registro gastos'!$E$3:$E$300,Sep!$H$90,'Sep - registro gastos'!$F$3:$F$300,Sep!H97)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SUMIFS('Sep - registro gastos'!$D$3:$D$300,'Sep - registro gastos'!$E$3:$E$300,Sep!$B$100,'Sep - registro gastos'!$F$3:$F$300,Sep!B101)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SUMIFS('Sep - registro gastos'!$D$3:$D$300,'Sep - registro gastos'!$E$3:$E$300,Sep!$H$100,'Sep - registro gastos'!$F$3:$F$300,Sep!H101)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SUMIFS('Sep - registro gastos'!$D$3:$D$300,'Sep - registro gastos'!$E$3:$E$300,Sep!$B$100,'Sep - registro gastos'!$F$3:$F$300,Sep!B102)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SUMIFS('Sep - registro gastos'!$D$3:$D$300,'Sep - registro gastos'!$E$3:$E$300,Sep!$H$100,'Sep - registro gastos'!$F$3:$F$300,Sep!H102)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SUMIFS('Sep - registro gastos'!$D$3:$D$300,'Sep - registro gastos'!$E$3:$E$300,Sep!$B$100,'Sep - registro gastos'!$F$3:$F$300,Sep!B103)</f>
        <v>0</v>
      </c>
      <c r="F103" s="12">
        <f t="shared" si="16"/>
        <v>0</v>
      </c>
      <c r="G103" s="20"/>
      <c r="H103" s="9"/>
      <c r="I103" s="10"/>
      <c r="J103" s="11"/>
      <c r="K103" s="11">
        <f>SUMIFS('Sep - registro gastos'!$D$3:$D$300,'Sep - registro gastos'!$E$3:$E$300,Sep!$H$100,'Sep - registro gastos'!$F$3:$F$300,Sep!H103)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SUMIFS('Sep - registro gastos'!$D$3:$D$300,'Sep - registro gastos'!$E$3:$E$300,Sep!$B$100,'Sep - registro gastos'!$F$3:$F$300,Sep!B104)</f>
        <v>0</v>
      </c>
      <c r="F104" s="12">
        <f t="shared" si="16"/>
        <v>0</v>
      </c>
      <c r="G104" s="20"/>
      <c r="H104" s="9"/>
      <c r="I104" s="10"/>
      <c r="J104" s="11"/>
      <c r="K104" s="11">
        <f>SUMIFS('Sep - registro gastos'!$D$3:$D$300,'Sep - registro gastos'!$E$3:$E$300,Sep!$H$100,'Sep - registro gastos'!$F$3:$F$300,Sep!H104)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SUMIFS('Sep - registro gastos'!$D$3:$D$300,'Sep - registro gastos'!$E$3:$E$300,Sep!$B$100,'Sep - registro gastos'!$F$3:$F$300,Sep!B105)</f>
        <v>0</v>
      </c>
      <c r="F105" s="12">
        <f t="shared" si="16"/>
        <v>0</v>
      </c>
      <c r="G105" s="20"/>
      <c r="H105" s="9"/>
      <c r="I105" s="10"/>
      <c r="J105" s="11"/>
      <c r="K105" s="11">
        <f>SUMIFS('Sep - registro gastos'!$D$3:$D$300,'Sep - registro gastos'!$E$3:$E$300,Sep!$H$100,'Sep - registro gastos'!$F$3:$F$300,Sep!H105)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SUMIFS('Sep - registro gastos'!$D$3:$D$300,'Sep - registro gastos'!$E$3:$E$300,Sep!$B$100,'Sep - registro gastos'!$F$3:$F$300,Sep!B106)</f>
        <v>0</v>
      </c>
      <c r="F106" s="12">
        <f t="shared" si="16"/>
        <v>0</v>
      </c>
      <c r="G106" s="20"/>
      <c r="H106" s="9"/>
      <c r="I106" s="10"/>
      <c r="J106" s="11"/>
      <c r="K106" s="11">
        <f>SUMIFS('Sep - registro gastos'!$D$3:$D$300,'Sep - registro gastos'!$E$3:$E$300,Sep!$H$100,'Sep - registro gastos'!$F$3:$F$300,Sep!H106)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SUMIFS('Sep - registro gastos'!$D$3:$D$300,'Sep - registro gastos'!$E$3:$E$300,Sep!$B$100,'Sep - registro gastos'!$F$3:$F$300,Sep!B107)</f>
        <v>0</v>
      </c>
      <c r="F107" s="15">
        <f>D107-E107</f>
        <v>0</v>
      </c>
      <c r="G107" s="20"/>
      <c r="H107" s="13"/>
      <c r="I107" s="40"/>
      <c r="J107" s="14"/>
      <c r="K107" s="14">
        <f>SUMIFS('Sep - registro gastos'!$D$3:$D$300,'Sep - registro gastos'!$E$3:$E$300,Sep!$H$100,'Sep - registro gastos'!$F$3:$F$300,Sep!H107)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8 K12:K107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8E3A7F3-8519-BB46-812E-F4000DA3A393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s" error="Selecciona SI o NO para crear un fondo_x000a_" xr:uid="{92951616-39E0-0C4A-9B68-59B07D0286C7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5E61-5709-E946-9361-451B04494AF9}">
  <sheetPr codeName="Hoja11">
    <tabColor rgb="FFFD9F00"/>
  </sheetPr>
  <dimension ref="B2:AR312"/>
  <sheetViews>
    <sheetView showGridLines="0" zoomScale="110" zoomScaleNormal="11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2" width="11" customWidth="1"/>
    <col min="13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Sep!$B$12</f>
        <v>NECESIDADES BÁSICAS</v>
      </c>
      <c r="AO4" s="84" t="str">
        <f>Sep!B13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Sep!$B$12</f>
        <v>NECESIDADES BÁSICAS</v>
      </c>
      <c r="AO5" s="86" t="str">
        <f>Sep!B14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Sep!$B$12</f>
        <v>NECESIDADES BÁSICAS</v>
      </c>
      <c r="AO6" s="86" t="str">
        <f>Sep!B15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Sep!$B$12</f>
        <v>NECESIDADES BÁSICAS</v>
      </c>
      <c r="AO7" s="86" t="str">
        <f>Sep!B16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Sep!$B$12</f>
        <v>NECESIDADES BÁSICAS</v>
      </c>
      <c r="AO8" s="86" t="str">
        <f>Sep!B17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Sep!$B$12</f>
        <v>NECESIDADES BÁSICAS</v>
      </c>
      <c r="AO9" s="86" t="str">
        <f>Sep!B18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Sep!$B$12</f>
        <v>NECESIDADES BÁSICAS</v>
      </c>
      <c r="AO10" s="86" t="str">
        <f>Sep!B19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Sep!$B$12</f>
        <v>NECESIDADES BÁSICAS</v>
      </c>
      <c r="AO11" s="86" t="str">
        <f>Sep!B20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Sep!$B$12</f>
        <v>NECESIDADES BÁSICAS</v>
      </c>
      <c r="AO12" s="86" t="str">
        <f>Sep!B21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Sep!$B$12</f>
        <v>NECESIDADES BÁSICAS</v>
      </c>
      <c r="AO13" s="86">
        <f>Sep!B22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Sep!$B$12</f>
        <v>NECESIDADES BÁSICAS</v>
      </c>
      <c r="AO14" s="86">
        <f>Sep!B23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Sep!$B$12</f>
        <v>NECESIDADES BÁSICAS</v>
      </c>
      <c r="AO15" s="88">
        <f>Sep!B24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Sep!$H$12</f>
        <v>AHORROS</v>
      </c>
      <c r="AO16" s="84" t="str">
        <f>Sep!H13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Sep!$H$12</f>
        <v>AHORROS</v>
      </c>
      <c r="AO17" s="86" t="str">
        <f>Sep!H14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Sep!$H$12</f>
        <v>AHORROS</v>
      </c>
      <c r="AO18" s="86" t="str">
        <f>Sep!H15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Sep!$H$12</f>
        <v>AHORROS</v>
      </c>
      <c r="AO19" s="86" t="str">
        <f>Sep!H16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Sep!$H$12</f>
        <v>AHORROS</v>
      </c>
      <c r="AO20" s="86" t="str">
        <f>Sep!H17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Sep!$H$12</f>
        <v>AHORROS</v>
      </c>
      <c r="AO21" s="86">
        <f>Sep!H18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Sep!$H$12</f>
        <v>AHORROS</v>
      </c>
      <c r="AO22" s="86">
        <f>Sep!H19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Sep!$H$12</f>
        <v>AHORROS</v>
      </c>
      <c r="AO23" s="86">
        <f>Sep!H20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Sep!$H$12</f>
        <v>AHORROS</v>
      </c>
      <c r="AO24" s="86">
        <f>Sep!H21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Sep!$H$12</f>
        <v>AHORROS</v>
      </c>
      <c r="AO25" s="86">
        <f>Sep!H22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Sep!$H$12</f>
        <v>AHORROS</v>
      </c>
      <c r="AO26" s="86">
        <f>Sep!H23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Sep!$H$12</f>
        <v>AHORROS</v>
      </c>
      <c r="AO27" s="88">
        <f>Sep!H24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Sep!$B$27</f>
        <v>DEUDAS</v>
      </c>
      <c r="AO28" s="84" t="str">
        <f>Sep!B28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Sep!$B$27</f>
        <v>DEUDAS</v>
      </c>
      <c r="AO29" s="86" t="str">
        <f>Sep!B29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Sep!$B$27</f>
        <v>DEUDAS</v>
      </c>
      <c r="AO30" s="86" t="str">
        <f>Sep!B30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Sep!$B$27</f>
        <v>DEUDAS</v>
      </c>
      <c r="AO31" s="86" t="str">
        <f>Sep!B31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Sep!$B$27</f>
        <v>DEUDAS</v>
      </c>
      <c r="AO32" s="86" t="str">
        <f>Sep!B32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Sep!$B$27</f>
        <v>DEUDAS</v>
      </c>
      <c r="AO33" s="86">
        <f>Sep!B33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Sep!$B$27</f>
        <v>DEUDAS</v>
      </c>
      <c r="AO34" s="86">
        <f>Sep!B34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Sep!$B$27</f>
        <v>DEUDAS</v>
      </c>
      <c r="AO35" s="88">
        <f>Sep!B35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Sep!$H$27</f>
        <v>REGALOS/ CARIDAD</v>
      </c>
      <c r="AO36" s="84" t="str">
        <f>Sep!H28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Sep!$H$27</f>
        <v>REGALOS/ CARIDAD</v>
      </c>
      <c r="AO37" s="86" t="str">
        <f>Sep!H29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Sep!$H$27</f>
        <v>REGALOS/ CARIDAD</v>
      </c>
      <c r="AO38" s="86" t="str">
        <f>Sep!H30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Sep!$H$27</f>
        <v>REGALOS/ CARIDAD</v>
      </c>
      <c r="AO39" s="86">
        <f>Sep!H31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Sep!$H$27</f>
        <v>REGALOS/ CARIDAD</v>
      </c>
      <c r="AO40" s="86">
        <f>Sep!H32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Sep!$H$27</f>
        <v>REGALOS/ CARIDAD</v>
      </c>
      <c r="AO41" s="86">
        <f>Sep!H33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Sep!$H$27</f>
        <v>REGALOS/ CARIDAD</v>
      </c>
      <c r="AO42" s="86">
        <f>Sep!H34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Sep!$H$27</f>
        <v>REGALOS/ CARIDAD</v>
      </c>
      <c r="AO43" s="88">
        <f>Sep!H35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Sep!$B$38</f>
        <v>CASA</v>
      </c>
      <c r="AO44" s="84" t="str">
        <f>Sep!B39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Sep!$B$38</f>
        <v>CASA</v>
      </c>
      <c r="AO45" s="86" t="str">
        <f>Sep!B40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Sep!$B$38</f>
        <v>CASA</v>
      </c>
      <c r="AO46" s="86" t="str">
        <f>Sep!B41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Sep!$B$38</f>
        <v>CASA</v>
      </c>
      <c r="AO47" s="86" t="str">
        <f>Sep!B42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Sep!$B$38</f>
        <v>CASA</v>
      </c>
      <c r="AO48" s="86">
        <f>Sep!B43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Sep!$B$38</f>
        <v>CASA</v>
      </c>
      <c r="AO49" s="86">
        <f>Sep!B44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Sep!$B$38</f>
        <v>CASA</v>
      </c>
      <c r="AO50" s="88">
        <f>Sep!B45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Sep!$H$38</f>
        <v>TRANSPORTE</v>
      </c>
      <c r="AO51" s="84" t="str">
        <f>Sep!H39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Sep!$H$38</f>
        <v>TRANSPORTE</v>
      </c>
      <c r="AO52" s="86" t="str">
        <f>Sep!H40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Sep!$H$38</f>
        <v>TRANSPORTE</v>
      </c>
      <c r="AO53" s="86" t="str">
        <f>Sep!H41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Sep!$H$38</f>
        <v>TRANSPORTE</v>
      </c>
      <c r="AO54" s="86" t="str">
        <f>Sep!H42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Sep!$H$38</f>
        <v>TRANSPORTE</v>
      </c>
      <c r="AO55" s="86" t="str">
        <f>Sep!H43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Sep!$H$38</f>
        <v>TRANSPORTE</v>
      </c>
      <c r="AO56" s="86">
        <f>Sep!H44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Sep!$H$38</f>
        <v>TRANSPORTE</v>
      </c>
      <c r="AO57" s="88">
        <f>Sep!H45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Sep!$B$48</f>
        <v>ALIMENTACIÓN</v>
      </c>
      <c r="AO58" s="84" t="str">
        <f>Sep!B49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Sep!$B$48</f>
        <v>ALIMENTACIÓN</v>
      </c>
      <c r="AO59" s="86" t="str">
        <f>Sep!B50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Sep!$B$48</f>
        <v>ALIMENTACIÓN</v>
      </c>
      <c r="AO60" s="86">
        <f>Sep!B51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Sep!$B$48</f>
        <v>ALIMENTACIÓN</v>
      </c>
      <c r="AO61" s="86">
        <f>Sep!B52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Sep!$B$48</f>
        <v>ALIMENTACIÓN</v>
      </c>
      <c r="AO62" s="86">
        <f>Sep!B53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Sep!$B$48</f>
        <v>ALIMENTACIÓN</v>
      </c>
      <c r="AO63" s="88">
        <f>Sep!B54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Sep!$H$48</f>
        <v>SEGUROS</v>
      </c>
      <c r="AO64" s="84" t="str">
        <f>Sep!H49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Sep!$H$48</f>
        <v>SEGUROS</v>
      </c>
      <c r="AO65" s="86" t="str">
        <f>Sep!H50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Sep!$H$48</f>
        <v>SEGUROS</v>
      </c>
      <c r="AO66" s="86" t="str">
        <f>Sep!H51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Sep!$H$48</f>
        <v>SEGUROS</v>
      </c>
      <c r="AO67" s="86" t="str">
        <f>Sep!H52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Sep!$H$48</f>
        <v>SEGUROS</v>
      </c>
      <c r="AO68" s="86">
        <f>Sep!H53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Sep!$H$48</f>
        <v>SEGUROS</v>
      </c>
      <c r="AO69" s="88">
        <f>Sep!H54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Sep!$B$57</f>
        <v>SALUD</v>
      </c>
      <c r="AO70" s="84" t="str">
        <f>Sep!B58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Sep!$B$57</f>
        <v>SALUD</v>
      </c>
      <c r="AO71" s="86" t="str">
        <f>Sep!B59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Sep!$B$57</f>
        <v>SALUD</v>
      </c>
      <c r="AO72" s="86" t="str">
        <f>Sep!B60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Sep!$B$57</f>
        <v>SALUD</v>
      </c>
      <c r="AO73" s="86">
        <f>Sep!B61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Sep!$B$57</f>
        <v>SALUD</v>
      </c>
      <c r="AO74" s="86">
        <f>Sep!B62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Sep!$B$57</f>
        <v>SALUD</v>
      </c>
      <c r="AO75" s="86">
        <f>Sep!B63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Sep!$B$57</f>
        <v>SALUD</v>
      </c>
      <c r="AO76" s="88">
        <f>Sep!B64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Sep!$H$57</f>
        <v>CUIDADO PERSONAL</v>
      </c>
      <c r="AO77" s="84" t="str">
        <f>Sep!H58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Sep!$H$57</f>
        <v>CUIDADO PERSONAL</v>
      </c>
      <c r="AO78" s="86" t="str">
        <f>Sep!H59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Sep!$H$57</f>
        <v>CUIDADO PERSONAL</v>
      </c>
      <c r="AO79" s="86" t="str">
        <f>Sep!H60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Sep!$H$57</f>
        <v>CUIDADO PERSONAL</v>
      </c>
      <c r="AO80" s="86" t="str">
        <f>Sep!H61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Sep!$H$57</f>
        <v>CUIDADO PERSONAL</v>
      </c>
      <c r="AO81" s="86" t="str">
        <f>Sep!H62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Sep!$H$57</f>
        <v>CUIDADO PERSONAL</v>
      </c>
      <c r="AO82" s="86">
        <f>Sep!H63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Sep!$H$57</f>
        <v>CUIDADO PERSONAL</v>
      </c>
      <c r="AO83" s="88">
        <f>Sep!H64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Sep!$B$67</f>
        <v>ENTRETENIMIENTO</v>
      </c>
      <c r="AO84" s="84" t="str">
        <f>Sep!B68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Sep!$B$67</f>
        <v>ENTRETENIMIENTO</v>
      </c>
      <c r="AO85" s="86" t="str">
        <f>Sep!B69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Sep!$B$67</f>
        <v>ENTRETENIMIENTO</v>
      </c>
      <c r="AO86" s="86" t="str">
        <f>Sep!B70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Sep!$B$67</f>
        <v>ENTRETENIMIENTO</v>
      </c>
      <c r="AO87" s="86" t="str">
        <f>Sep!B71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Sep!$B$67</f>
        <v>ENTRETENIMIENTO</v>
      </c>
      <c r="AO88" s="86" t="str">
        <f>Sep!B72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Sep!$B$67</f>
        <v>ENTRETENIMIENTO</v>
      </c>
      <c r="AO89" s="86" t="str">
        <f>Sep!B73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Sep!$B$67</f>
        <v>ENTRETENIMIENTO</v>
      </c>
      <c r="AO90" s="86" t="str">
        <f>Sep!B74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Sep!$B$67</f>
        <v>ENTRETENIMIENTO</v>
      </c>
      <c r="AO91" s="86">
        <f>Sep!B75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Sep!$B$67</f>
        <v>ENTRETENIMIENTO</v>
      </c>
      <c r="AO92" s="86">
        <f>Sep!B76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Sep!$B$67</f>
        <v>ENTRETENIMIENTO</v>
      </c>
      <c r="AO93" s="86">
        <f>Sep!B77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Sep!$B$67</f>
        <v>ENTRETENIMIENTO</v>
      </c>
      <c r="AO94" s="88">
        <f>Sep!B78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Sep!$H$67</f>
        <v>HIJOS</v>
      </c>
      <c r="AO95" s="84" t="str">
        <f>Sep!H68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Sep!$H$67</f>
        <v>HIJOS</v>
      </c>
      <c r="AO96" s="86" t="str">
        <f>Sep!H69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Sep!$H$67</f>
        <v>HIJOS</v>
      </c>
      <c r="AO97" s="86" t="str">
        <f>Sep!H70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Sep!$H$67</f>
        <v>HIJOS</v>
      </c>
      <c r="AO98" s="86" t="str">
        <f>Sep!H71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Sep!$H$67</f>
        <v>HIJOS</v>
      </c>
      <c r="AO99" s="86">
        <f>Sep!H72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Sep!$H$67</f>
        <v>HIJOS</v>
      </c>
      <c r="AO100" s="86">
        <f>Sep!H73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Sep!$H$67</f>
        <v>HIJOS</v>
      </c>
      <c r="AO101" s="86">
        <f>Sep!H74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Sep!$H$67</f>
        <v>HIJOS</v>
      </c>
      <c r="AO102" s="86">
        <f>Sep!H75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Sep!$H$67</f>
        <v>HIJOS</v>
      </c>
      <c r="AO103" s="86">
        <f>Sep!H76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Sep!$H$67</f>
        <v>HIJOS</v>
      </c>
      <c r="AO104" s="86">
        <f>Sep!H77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Sep!$H$67</f>
        <v>HIJOS</v>
      </c>
      <c r="AO105" s="88">
        <f>Sep!H78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Sep!$B$81</f>
        <v>MASCOTA</v>
      </c>
      <c r="AO106" s="84" t="str">
        <f>Sep!B82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Sep!$B$81</f>
        <v>MASCOTA</v>
      </c>
      <c r="AO107" s="86" t="str">
        <f>Sep!B83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Sep!$B$81</f>
        <v>MASCOTA</v>
      </c>
      <c r="AO108" s="86" t="str">
        <f>Sep!B84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Sep!$B$81</f>
        <v>MASCOTA</v>
      </c>
      <c r="AO109" s="86" t="str">
        <f>Sep!B85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Sep!$B$81</f>
        <v>MASCOTA</v>
      </c>
      <c r="AO110" s="86">
        <f>Sep!B86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Sep!$B$81</f>
        <v>MASCOTA</v>
      </c>
      <c r="AO111" s="88">
        <f>Sep!B87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Sep!$H$81</f>
        <v>OTROS 1</v>
      </c>
      <c r="AO112" s="84">
        <f>Sep!H82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Sep!$H$81</f>
        <v>OTROS 1</v>
      </c>
      <c r="AO113" s="86">
        <f>Sep!H83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Sep!$H$81</f>
        <v>OTROS 1</v>
      </c>
      <c r="AO114" s="86">
        <f>Sep!H84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Sep!$H$81</f>
        <v>OTROS 1</v>
      </c>
      <c r="AO115" s="86">
        <f>Sep!H85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Sep!$H$81</f>
        <v>OTROS 1</v>
      </c>
      <c r="AO116" s="86">
        <f>Sep!H86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Sep!$H$81</f>
        <v>OTROS 1</v>
      </c>
      <c r="AO117" s="88">
        <f>Sep!H87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Sep!$B$90</f>
        <v>OTROS 2</v>
      </c>
      <c r="AO118" s="84">
        <f>Sep!B91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Sep!$B$90</f>
        <v>OTROS 2</v>
      </c>
      <c r="AO119" s="86">
        <f>Sep!B92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Sep!$B$90</f>
        <v>OTROS 2</v>
      </c>
      <c r="AO120" s="86">
        <f>Sep!B93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Sep!$B$90</f>
        <v>OTROS 2</v>
      </c>
      <c r="AO121" s="86">
        <f>Sep!B94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Sep!$B$90</f>
        <v>OTROS 2</v>
      </c>
      <c r="AO122" s="86">
        <f>Sep!B95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Sep!$B$90</f>
        <v>OTROS 2</v>
      </c>
      <c r="AO123" s="88">
        <f>Sep!B96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Sep!$H$90</f>
        <v>OTROS 3</v>
      </c>
      <c r="AO124" s="84">
        <f>Sep!H91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Sep!$H$90</f>
        <v>OTROS 3</v>
      </c>
      <c r="AO125" s="86">
        <f>Sep!H92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Sep!$H$90</f>
        <v>OTROS 3</v>
      </c>
      <c r="AO126" s="86">
        <f>Sep!H93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Sep!$H$90</f>
        <v>OTROS 3</v>
      </c>
      <c r="AO127" s="86">
        <f>Sep!H94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Sep!$H$90</f>
        <v>OTROS 3</v>
      </c>
      <c r="AO128" s="86">
        <f>Sep!H95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Sep!$H$90</f>
        <v>OTROS 3</v>
      </c>
      <c r="AO129" s="88">
        <f>Sep!H96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Sep!$B$100</f>
        <v>OTROS 4</v>
      </c>
      <c r="AO130" s="84">
        <f>Sep!B101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Sep!$B$100</f>
        <v>OTROS 4</v>
      </c>
      <c r="AO131" s="86">
        <f>Sep!B102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Sep!$B$100</f>
        <v>OTROS 4</v>
      </c>
      <c r="AO132" s="86">
        <f>Sep!B103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Sep!$B$100</f>
        <v>OTROS 4</v>
      </c>
      <c r="AO133" s="86">
        <f>Sep!B104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Sep!$B$100</f>
        <v>OTROS 4</v>
      </c>
      <c r="AO134" s="86">
        <f>Sep!B105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Sep!$B$100</f>
        <v>OTROS 4</v>
      </c>
      <c r="AO135" s="88">
        <f>Sep!B106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Sep!$H$100</f>
        <v>OTROS 5</v>
      </c>
      <c r="AO136" s="84">
        <f>Sep!H101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Sep!$H$100</f>
        <v>OTROS 5</v>
      </c>
      <c r="AO137" s="86">
        <f>Sep!H102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Sep!$H$100</f>
        <v>OTROS 5</v>
      </c>
      <c r="AO138" s="86">
        <f>Sep!H103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Sep!$H$100</f>
        <v>OTROS 5</v>
      </c>
      <c r="AO139" s="86">
        <f>Sep!H104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Sep!$H$100</f>
        <v>OTROS 5</v>
      </c>
      <c r="AO140" s="86">
        <f>Sep!H105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Sep!$H$100</f>
        <v>OTROS 5</v>
      </c>
      <c r="AO141" s="88">
        <f>Sep!H106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Zhvf2v0neSXj6YUd3pp4Mz/MTTPWq1QjvaglF/5MZ1SRqvabuWrZBgrqU6UPLwBJWFmzVxiYN9Iwta+TH4j7YA==" saltValue="f00c2bWtcCcofumS+prhvA==" spinCount="100000" sheet="1" selectLockedCells="1"/>
  <conditionalFormatting sqref="J1:J300 J313:J1048576">
    <cfRule type="containsText" dxfId="7" priority="1" operator="containsText" text="Revisa">
      <formula>NOT(ISERROR(SEARCH("Revisa",J1)))</formula>
    </cfRule>
    <cfRule type="beginsWith" dxfId="6" priority="2" operator="beginsWith" text="Es">
      <formula>LEFT(J1,LEN("Es"))="Es"</formula>
    </cfRule>
  </conditionalFormatting>
  <dataValidations count="2">
    <dataValidation type="list" allowBlank="1" showInputMessage="1" showErrorMessage="1" sqref="E3:E300" xr:uid="{DC656D40-0DB9-884F-A816-025740A489F4}">
      <formula1>$AN$4:$AN$141</formula1>
    </dataValidation>
    <dataValidation type="list" allowBlank="1" showInputMessage="1" showErrorMessage="1" sqref="F3:F300" xr:uid="{ED428BBD-1968-F54F-8DA4-9096BF85DA64}">
      <formula1>$AO$4:$AO$141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EF7522"/>
    <pageSetUpPr autoPageBreaks="0" fitToPage="1"/>
  </sheetPr>
  <dimension ref="B1:U110"/>
  <sheetViews>
    <sheetView showGridLines="0" topLeftCell="A12" zoomScale="90" zoomScaleNormal="90" zoomScalePageLayoutView="80" workbookViewId="0">
      <selection activeCell="K107" sqref="K12:K107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SUMIFS('Oct - registro gastos'!$D$3:$D$300,'Oct - registro gastos'!$E$3:$E$300,Oct!$B$12,'Oct - registro gastos'!$F$3:$F$300,Oct!B13)</f>
        <v>0</v>
      </c>
      <c r="F13" s="12">
        <f>D13-E13</f>
        <v>0</v>
      </c>
      <c r="H13" s="9" t="s">
        <v>13</v>
      </c>
      <c r="I13" s="10" t="s">
        <v>45</v>
      </c>
      <c r="J13" s="11"/>
      <c r="K13" s="11">
        <f>SUMIFS('Oct - registro gastos'!$D$3:$D$300,'Oct - registro gastos'!$E$3:$E$300,Oct!$H$12,'Oct - registro gastos'!$F$3:$F$300,Oct!H13)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SUMIFS('Oct - registro gastos'!$D$3:$D$300,'Oct - registro gastos'!$E$3:$E$300,Oct!$B$12,'Oct - registro gastos'!$F$3:$F$300,Oct!B14)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SUMIFS('Oct - registro gastos'!$D$3:$D$300,'Oct - registro gastos'!$E$3:$E$300,Oct!$H$12,'Oct - registro gastos'!$F$3:$F$300,Oct!H14)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SUMIFS('Oct - registro gastos'!$D$3:$D$300,'Oct - registro gastos'!$E$3:$E$300,Oct!$B$12,'Oct - registro gastos'!$F$3:$F$300,Oct!B15)</f>
        <v>0</v>
      </c>
      <c r="F15" s="12">
        <f t="shared" si="1"/>
        <v>0</v>
      </c>
      <c r="H15" s="9" t="s">
        <v>11</v>
      </c>
      <c r="I15" s="10"/>
      <c r="J15" s="39"/>
      <c r="K15" s="11">
        <f>SUMIFS('Oct - registro gastos'!$D$3:$D$300,'Oct - registro gastos'!$E$3:$E$300,Oct!$H$12,'Oct - registro gastos'!$F$3:$F$300,Oct!H15)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SUMIFS('Oct - registro gastos'!$D$3:$D$300,'Oct - registro gastos'!$E$3:$E$300,Oct!$B$12,'Oct - registro gastos'!$F$3:$F$300,Oct!B16)</f>
        <v>0</v>
      </c>
      <c r="F16" s="12">
        <f t="shared" si="1"/>
        <v>0</v>
      </c>
      <c r="H16" s="9" t="s">
        <v>10</v>
      </c>
      <c r="I16" s="10"/>
      <c r="J16" s="11"/>
      <c r="K16" s="11">
        <f>SUMIFS('Oct - registro gastos'!$D$3:$D$300,'Oct - registro gastos'!$E$3:$E$300,Oct!$H$12,'Oct - registro gastos'!$F$3:$F$300,Oct!H16)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SUMIFS('Oct - registro gastos'!$D$3:$D$300,'Oct - registro gastos'!$E$3:$E$300,Oct!$B$12,'Oct - registro gastos'!$F$3:$F$300,Oct!B17)</f>
        <v>0</v>
      </c>
      <c r="F17" s="12">
        <f t="shared" si="1"/>
        <v>0</v>
      </c>
      <c r="H17" s="9" t="s">
        <v>9</v>
      </c>
      <c r="I17" s="10"/>
      <c r="J17" s="11"/>
      <c r="K17" s="11">
        <f>SUMIFS('Oct - registro gastos'!$D$3:$D$300,'Oct - registro gastos'!$E$3:$E$300,Oct!$H$12,'Oct - registro gastos'!$F$3:$F$300,Oct!H17)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SUMIFS('Oct - registro gastos'!$D$3:$D$300,'Oct - registro gastos'!$E$3:$E$300,Oct!$B$12,'Oct - registro gastos'!$F$3:$F$300,Oct!B18)</f>
        <v>0</v>
      </c>
      <c r="F18" s="12">
        <f t="shared" si="1"/>
        <v>0</v>
      </c>
      <c r="H18" s="9"/>
      <c r="I18" s="10"/>
      <c r="J18" s="11"/>
      <c r="K18" s="11">
        <f>SUMIFS('Oct - registro gastos'!$D$3:$D$300,'Oct - registro gastos'!$E$3:$E$300,Oct!$H$12,'Oct - registro gastos'!$F$3:$F$300,Oct!H18)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SUMIFS('Oct - registro gastos'!$D$3:$D$300,'Oct - registro gastos'!$E$3:$E$300,Oct!$B$12,'Oct - registro gastos'!$F$3:$F$300,Oct!B19)</f>
        <v>0</v>
      </c>
      <c r="F19" s="12">
        <f t="shared" si="1"/>
        <v>0</v>
      </c>
      <c r="H19" s="9"/>
      <c r="I19" s="10"/>
      <c r="J19" s="11"/>
      <c r="K19" s="11">
        <f>SUMIFS('Oct - registro gastos'!$D$3:$D$300,'Oct - registro gastos'!$E$3:$E$300,Oct!$H$12,'Oct - registro gastos'!$F$3:$F$300,Oct!H19)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SUMIFS('Oct - registro gastos'!$D$3:$D$300,'Oct - registro gastos'!$E$3:$E$300,Oct!$B$12,'Oct - registro gastos'!$F$3:$F$300,Oct!B20)</f>
        <v>0</v>
      </c>
      <c r="F20" s="12">
        <f t="shared" si="1"/>
        <v>0</v>
      </c>
      <c r="H20" s="9"/>
      <c r="I20" s="10"/>
      <c r="J20" s="11"/>
      <c r="K20" s="11">
        <f>SUMIFS('Oct - registro gastos'!$D$3:$D$300,'Oct - registro gastos'!$E$3:$E$300,Oct!$H$12,'Oct - registro gastos'!$F$3:$F$300,Oct!H20)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SUMIFS('Oct - registro gastos'!$D$3:$D$300,'Oct - registro gastos'!$E$3:$E$300,Oct!$B$12,'Oct - registro gastos'!$F$3:$F$300,Oct!B21)</f>
        <v>0</v>
      </c>
      <c r="F21" s="12">
        <f t="shared" si="1"/>
        <v>0</v>
      </c>
      <c r="H21" s="9"/>
      <c r="I21" s="10"/>
      <c r="J21" s="11"/>
      <c r="K21" s="11">
        <f>SUMIFS('Oct - registro gastos'!$D$3:$D$300,'Oct - registro gastos'!$E$3:$E$300,Oct!$H$12,'Oct - registro gastos'!$F$3:$F$300,Oct!H21)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SUMIFS('Oct - registro gastos'!$D$3:$D$300,'Oct - registro gastos'!$E$3:$E$300,Oct!$B$12,'Oct - registro gastos'!$F$3:$F$300,Oct!B22)</f>
        <v>0</v>
      </c>
      <c r="F22" s="12">
        <f t="shared" si="1"/>
        <v>0</v>
      </c>
      <c r="H22" s="9"/>
      <c r="I22" s="10"/>
      <c r="J22" s="11"/>
      <c r="K22" s="11">
        <f>SUMIFS('Oct - registro gastos'!$D$3:$D$300,'Oct - registro gastos'!$E$3:$E$300,Oct!$H$12,'Oct - registro gastos'!$F$3:$F$300,Oct!H22)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SUMIFS('Oct - registro gastos'!$D$3:$D$300,'Oct - registro gastos'!$E$3:$E$300,Oct!$B$12,'Oct - registro gastos'!$F$3:$F$300,Oct!B23)</f>
        <v>0</v>
      </c>
      <c r="F23" s="12">
        <f t="shared" si="1"/>
        <v>0</v>
      </c>
      <c r="H23" s="9"/>
      <c r="I23" s="10"/>
      <c r="J23" s="11"/>
      <c r="K23" s="11">
        <f>SUMIFS('Oct - registro gastos'!$D$3:$D$300,'Oct - registro gastos'!$E$3:$E$300,Oct!$H$12,'Oct - registro gastos'!$F$3:$F$300,Oct!H23)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SUMIFS('Oct - registro gastos'!$D$3:$D$300,'Oct - registro gastos'!$E$3:$E$300,Oct!$B$12,'Oct - registro gastos'!$F$3:$F$300,Oct!B24)</f>
        <v>0</v>
      </c>
      <c r="F24" s="15">
        <f t="shared" si="1"/>
        <v>0</v>
      </c>
      <c r="H24" s="13"/>
      <c r="I24" s="40"/>
      <c r="J24" s="14"/>
      <c r="K24" s="14">
        <f>SUMIFS('Oct - registro gastos'!$D$3:$D$300,'Oct - registro gastos'!$E$3:$E$300,Oct!$H$12,'Oct - registro gastos'!$F$3:$F$300,Oct!H24)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SUMIFS('Oct - registro gastos'!$D$3:$D$300,'Oct - registro gastos'!$E$3:$E$300,Oct!$B$27,'Oct - registro gastos'!$F$3:$F$300,Oct!B28)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SUMIFS('Oct - registro gastos'!$D$3:$D$300,'Oct - registro gastos'!$E$3:$E$300,Oct!$H$27,'Oct - registro gastos'!$F$3:$F$300,Oct!H28)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SUMIFS('Oct - registro gastos'!$D$3:$D$300,'Oct - registro gastos'!$E$3:$E$300,Oct!$B$27,'Oct - registro gastos'!$F$3:$F$300,Oct!B29)</f>
        <v>0</v>
      </c>
      <c r="F29" s="12">
        <f t="shared" si="2"/>
        <v>0</v>
      </c>
      <c r="H29" s="9" t="s">
        <v>17</v>
      </c>
      <c r="I29" s="10"/>
      <c r="J29" s="11"/>
      <c r="K29" s="11">
        <f>SUMIFS('Oct - registro gastos'!$D$3:$D$300,'Oct - registro gastos'!$E$3:$E$300,Oct!$H$27,'Oct - registro gastos'!$F$3:$F$300,Oct!H29)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SUMIFS('Oct - registro gastos'!$D$3:$D$300,'Oct - registro gastos'!$E$3:$E$300,Oct!$B$27,'Oct - registro gastos'!$F$3:$F$300,Oct!B30)</f>
        <v>0</v>
      </c>
      <c r="F30" s="12">
        <f t="shared" si="2"/>
        <v>0</v>
      </c>
      <c r="H30" s="9" t="s">
        <v>16</v>
      </c>
      <c r="I30" s="10"/>
      <c r="J30" s="11"/>
      <c r="K30" s="11">
        <f>SUMIFS('Oct - registro gastos'!$D$3:$D$300,'Oct - registro gastos'!$E$3:$E$300,Oct!$H$27,'Oct - registro gastos'!$F$3:$F$300,Oct!H30)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SUMIFS('Oct - registro gastos'!$D$3:$D$300,'Oct - registro gastos'!$E$3:$E$300,Oct!$B$27,'Oct - registro gastos'!$F$3:$F$300,Oct!B31)</f>
        <v>0</v>
      </c>
      <c r="F31" s="12">
        <f t="shared" si="2"/>
        <v>0</v>
      </c>
      <c r="H31" s="9"/>
      <c r="I31" s="10"/>
      <c r="J31" s="11"/>
      <c r="K31" s="11">
        <f>SUMIFS('Oct - registro gastos'!$D$3:$D$300,'Oct - registro gastos'!$E$3:$E$300,Oct!$H$27,'Oct - registro gastos'!$F$3:$F$300,Oct!H31)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SUMIFS('Oct - registro gastos'!$D$3:$D$300,'Oct - registro gastos'!$E$3:$E$300,Oct!$B$27,'Oct - registro gastos'!$F$3:$F$300,Oct!B32)</f>
        <v>0</v>
      </c>
      <c r="F32" s="12">
        <f t="shared" si="2"/>
        <v>0</v>
      </c>
      <c r="H32" s="9"/>
      <c r="I32" s="10"/>
      <c r="J32" s="11"/>
      <c r="K32" s="11">
        <f>SUMIFS('Oct - registro gastos'!$D$3:$D$300,'Oct - registro gastos'!$E$3:$E$300,Oct!$H$27,'Oct - registro gastos'!$F$3:$F$300,Oct!H32)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SUMIFS('Oct - registro gastos'!$D$3:$D$300,'Oct - registro gastos'!$E$3:$E$300,Oct!$B$27,'Oct - registro gastos'!$F$3:$F$300,Oct!B33)</f>
        <v>0</v>
      </c>
      <c r="F33" s="12">
        <f t="shared" si="2"/>
        <v>0</v>
      </c>
      <c r="H33" s="9"/>
      <c r="I33" s="10"/>
      <c r="J33" s="11"/>
      <c r="K33" s="11">
        <f>SUMIFS('Oct - registro gastos'!$D$3:$D$300,'Oct - registro gastos'!$E$3:$E$300,Oct!$H$27,'Oct - registro gastos'!$F$3:$F$300,Oct!H33)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SUMIFS('Oct - registro gastos'!$D$3:$D$300,'Oct - registro gastos'!$E$3:$E$300,Oct!$B$27,'Oct - registro gastos'!$F$3:$F$300,Oct!B34)</f>
        <v>0</v>
      </c>
      <c r="F34" s="12">
        <f t="shared" si="2"/>
        <v>0</v>
      </c>
      <c r="H34" s="9"/>
      <c r="I34" s="10"/>
      <c r="J34" s="11"/>
      <c r="K34" s="11">
        <f>SUMIFS('Oct - registro gastos'!$D$3:$D$300,'Oct - registro gastos'!$E$3:$E$300,Oct!$H$27,'Oct - registro gastos'!$F$3:$F$300,Oct!H34)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SUMIFS('Oct - registro gastos'!$D$3:$D$300,'Oct - registro gastos'!$E$3:$E$300,Oct!$B$27,'Oct - registro gastos'!$F$3:$F$300,Oct!B35)</f>
        <v>0</v>
      </c>
      <c r="F35" s="15">
        <f t="shared" si="2"/>
        <v>0</v>
      </c>
      <c r="H35" s="13"/>
      <c r="I35" s="40"/>
      <c r="J35" s="14"/>
      <c r="K35" s="14">
        <f>SUMIFS('Oct - registro gastos'!$D$3:$D$300,'Oct - registro gastos'!$E$3:$E$300,Oct!$H$27,'Oct - registro gastos'!$F$3:$F$300,Oct!H35)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SUMIFS('Oct - registro gastos'!$D$3:$D$300,'Oct - registro gastos'!$E$3:$E$300,Oct!$B$38,'Oct - registro gastos'!$F$3:$F$300,Oct!B39)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SUMIFS('Oct - registro gastos'!$D$3:$D$300,'Oct - registro gastos'!$E$3:$E$300,Oct!$H$38,'Oct - registro gastos'!$F$3:$F$300,Oct!H39)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SUMIFS('Oct - registro gastos'!$D$3:$D$300,'Oct - registro gastos'!$E$3:$E$300,Oct!$B$38,'Oct - registro gastos'!$F$3:$F$300,Oct!B40)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SUMIFS('Oct - registro gastos'!$D$3:$D$300,'Oct - registro gastos'!$E$3:$E$300,Oct!$H$38,'Oct - registro gastos'!$F$3:$F$300,Oct!H40)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SUMIFS('Oct - registro gastos'!$D$3:$D$300,'Oct - registro gastos'!$E$3:$E$300,Oct!$B$38,'Oct - registro gastos'!$F$3:$F$300,Oct!B41)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SUMIFS('Oct - registro gastos'!$D$3:$D$300,'Oct - registro gastos'!$E$3:$E$300,Oct!$H$38,'Oct - registro gastos'!$F$3:$F$300,Oct!H41)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SUMIFS('Oct - registro gastos'!$D$3:$D$300,'Oct - registro gastos'!$E$3:$E$300,Oct!$B$38,'Oct - registro gastos'!$F$3:$F$300,Oct!B42)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SUMIFS('Oct - registro gastos'!$D$3:$D$300,'Oct - registro gastos'!$E$3:$E$300,Oct!$H$38,'Oct - registro gastos'!$F$3:$F$300,Oct!H42)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SUMIFS('Oct - registro gastos'!$D$3:$D$300,'Oct - registro gastos'!$E$3:$E$300,Oct!$B$38,'Oct - registro gastos'!$F$3:$F$300,Oct!B43)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SUMIFS('Oct - registro gastos'!$D$3:$D$300,'Oct - registro gastos'!$E$3:$E$300,Oct!$H$38,'Oct - registro gastos'!$F$3:$F$300,Oct!H43)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SUMIFS('Oct - registro gastos'!$D$3:$D$300,'Oct - registro gastos'!$E$3:$E$300,Oct!$B$38,'Oct - registro gastos'!$F$3:$F$300,Oct!B44)</f>
        <v>0</v>
      </c>
      <c r="F44" s="12">
        <f t="shared" si="4"/>
        <v>0</v>
      </c>
      <c r="G44" s="20"/>
      <c r="H44" s="30"/>
      <c r="I44" s="10"/>
      <c r="J44" s="31"/>
      <c r="K44" s="31">
        <f>SUMIFS('Oct - registro gastos'!$D$3:$D$300,'Oct - registro gastos'!$E$3:$E$300,Oct!$H$38,'Oct - registro gastos'!$F$3:$F$300,Oct!H44)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SUMIFS('Oct - registro gastos'!$D$3:$D$300,'Oct - registro gastos'!$E$3:$E$300,Oct!$B$38,'Oct - registro gastos'!$F$3:$F$300,Oct!B45)</f>
        <v>0</v>
      </c>
      <c r="F45" s="15">
        <f t="shared" si="4"/>
        <v>0</v>
      </c>
      <c r="G45" s="20"/>
      <c r="H45" s="13"/>
      <c r="I45" s="40"/>
      <c r="J45" s="14"/>
      <c r="K45" s="14">
        <f>SUMIFS('Oct - registro gastos'!$D$3:$D$300,'Oct - registro gastos'!$E$3:$E$300,Oct!$H$38,'Oct - registro gastos'!$F$3:$F$300,Oct!H45)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SUMIFS('Oct - registro gastos'!$D$3:$D$300,'Oct - registro gastos'!$E$3:$E$300,Oct!$B$48,'Oct - registro gastos'!$F$3:$F$300,Oct!B49)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SUMIFS('Oct - registro gastos'!$D$3:$D$300,'Oct - registro gastos'!$E$3:$E$300,Oct!$H$48,'Oct - registro gastos'!$F$3:$F$300,Oct!H49)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SUMIFS('Oct - registro gastos'!$D$3:$D$300,'Oct - registro gastos'!$E$3:$E$300,Oct!$B$48,'Oct - registro gastos'!$F$3:$F$300,Oct!B50)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SUMIFS('Oct - registro gastos'!$D$3:$D$300,'Oct - registro gastos'!$E$3:$E$300,Oct!$H$48,'Oct - registro gastos'!$F$3:$F$300,Oct!H50)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SUMIFS('Oct - registro gastos'!$D$3:$D$300,'Oct - registro gastos'!$E$3:$E$300,Oct!$B$48,'Oct - registro gastos'!$F$3:$F$300,Oct!B51)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SUMIFS('Oct - registro gastos'!$D$3:$D$300,'Oct - registro gastos'!$E$3:$E$300,Oct!$H$48,'Oct - registro gastos'!$F$3:$F$300,Oct!H51)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SUMIFS('Oct - registro gastos'!$D$3:$D$300,'Oct - registro gastos'!$E$3:$E$300,Oct!$B$48,'Oct - registro gastos'!$F$3:$F$300,Oct!B52)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SUMIFS('Oct - registro gastos'!$D$3:$D$300,'Oct - registro gastos'!$E$3:$E$300,Oct!$H$48,'Oct - registro gastos'!$F$3:$F$300,Oct!H52)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SUMIFS('Oct - registro gastos'!$D$3:$D$300,'Oct - registro gastos'!$E$3:$E$300,Oct!$B$48,'Oct - registro gastos'!$F$3:$F$300,Oct!B53)</f>
        <v>0</v>
      </c>
      <c r="F53" s="12">
        <f t="shared" si="6"/>
        <v>0</v>
      </c>
      <c r="G53" s="20"/>
      <c r="H53" s="9"/>
      <c r="I53" s="10"/>
      <c r="J53" s="11"/>
      <c r="K53" s="11">
        <f>SUMIFS('Oct - registro gastos'!$D$3:$D$300,'Oct - registro gastos'!$E$3:$E$300,Oct!$H$48,'Oct - registro gastos'!$F$3:$F$300,Oct!H53)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SUMIFS('Oct - registro gastos'!$D$3:$D$300,'Oct - registro gastos'!$E$3:$E$300,Oct!$B$48,'Oct - registro gastos'!$F$3:$F$300,Oct!B54)</f>
        <v>0</v>
      </c>
      <c r="F54" s="15">
        <f t="shared" si="6"/>
        <v>0</v>
      </c>
      <c r="G54" s="20"/>
      <c r="H54" s="13"/>
      <c r="I54" s="40"/>
      <c r="J54" s="14"/>
      <c r="K54" s="14">
        <f>SUMIFS('Oct - registro gastos'!$D$3:$D$300,'Oct - registro gastos'!$E$3:$E$300,Oct!$H$48,'Oct - registro gastos'!$F$3:$F$300,Oct!H54)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SUMIFS('Oct - registro gastos'!$D$3:$D$300,'Oct - registro gastos'!$E$3:$E$300,Oct!$B$57,'Oct - registro gastos'!$F$3:$F$300,Oct!B58)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SUMIFS('Oct - registro gastos'!$D$3:$D$300,'Oct - registro gastos'!$E$3:$E$300,Oct!$H$57,'Oct - registro gastos'!$F$3:$F$300,Oct!H58)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SUMIFS('Oct - registro gastos'!$D$3:$D$300,'Oct - registro gastos'!$E$3:$E$300,Oct!$B$57,'Oct - registro gastos'!$F$3:$F$300,Oct!B59)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SUMIFS('Oct - registro gastos'!$D$3:$D$300,'Oct - registro gastos'!$E$3:$E$300,Oct!$H$57,'Oct - registro gastos'!$F$3:$F$300,Oct!H59)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SUMIFS('Oct - registro gastos'!$D$3:$D$300,'Oct - registro gastos'!$E$3:$E$300,Oct!$B$57,'Oct - registro gastos'!$F$3:$F$300,Oct!B60)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SUMIFS('Oct - registro gastos'!$D$3:$D$300,'Oct - registro gastos'!$E$3:$E$300,Oct!$H$57,'Oct - registro gastos'!$F$3:$F$300,Oct!H60)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SUMIFS('Oct - registro gastos'!$D$3:$D$300,'Oct - registro gastos'!$E$3:$E$300,Oct!$B$57,'Oct - registro gastos'!$F$3:$F$300,Oct!B61)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SUMIFS('Oct - registro gastos'!$D$3:$D$300,'Oct - registro gastos'!$E$3:$E$300,Oct!$H$57,'Oct - registro gastos'!$F$3:$F$300,Oct!H61)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SUMIFS('Oct - registro gastos'!$D$3:$D$300,'Oct - registro gastos'!$E$3:$E$300,Oct!$B$57,'Oct - registro gastos'!$F$3:$F$300,Oct!B62)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SUMIFS('Oct - registro gastos'!$D$3:$D$300,'Oct - registro gastos'!$E$3:$E$300,Oct!$H$57,'Oct - registro gastos'!$F$3:$F$300,Oct!H62)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SUMIFS('Oct - registro gastos'!$D$3:$D$300,'Oct - registro gastos'!$E$3:$E$300,Oct!$B$57,'Oct - registro gastos'!$F$3:$F$300,Oct!B63)</f>
        <v>0</v>
      </c>
      <c r="F63" s="12">
        <f t="shared" si="9"/>
        <v>0</v>
      </c>
      <c r="G63" s="20"/>
      <c r="H63" s="30"/>
      <c r="I63" s="10"/>
      <c r="J63" s="31"/>
      <c r="K63" s="31">
        <f>SUMIFS('Oct - registro gastos'!$D$3:$D$300,'Oct - registro gastos'!$E$3:$E$300,Oct!$H$57,'Oct - registro gastos'!$F$3:$F$300,Oct!H63)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SUMIFS('Oct - registro gastos'!$D$3:$D$300,'Oct - registro gastos'!$E$3:$E$300,Oct!$B$57,'Oct - registro gastos'!$F$3:$F$300,Oct!B64)</f>
        <v>0</v>
      </c>
      <c r="F64" s="15">
        <f t="shared" si="9"/>
        <v>0</v>
      </c>
      <c r="G64" s="20"/>
      <c r="H64" s="13"/>
      <c r="I64" s="40"/>
      <c r="J64" s="14"/>
      <c r="K64" s="14">
        <f>SUMIFS('Oct - registro gastos'!$D$3:$D$300,'Oct - registro gastos'!$E$3:$E$300,Oct!$H$57,'Oct - registro gastos'!$F$3:$F$300,Oct!H64)</f>
        <v>0</v>
      </c>
      <c r="L64" s="15">
        <f t="shared" si="8"/>
        <v>0</v>
      </c>
    </row>
    <row r="65" spans="2:12" ht="18" customHeight="1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SUMIFS('Oct - registro gastos'!$D$3:$D$300,'Oct - registro gastos'!$E$3:$E$300,Oct!$B$67,'Oct - registro gastos'!$F$3:$F$300,Oct!B68)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SUMIFS('Oct - registro gastos'!$D$3:$D$300,'Oct - registro gastos'!$E$3:$E$300,Oct!$H$67,'Oct - registro gastos'!$F$3:$F$300,Oct!H68)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SUMIFS('Oct - registro gastos'!$D$3:$D$300,'Oct - registro gastos'!$E$3:$E$300,Oct!$B$67,'Oct - registro gastos'!$F$3:$F$300,Oct!B69)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SUMIFS('Oct - registro gastos'!$D$3:$D$300,'Oct - registro gastos'!$E$3:$E$300,Oct!$H$67,'Oct - registro gastos'!$F$3:$F$300,Oct!H69)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SUMIFS('Oct - registro gastos'!$D$3:$D$300,'Oct - registro gastos'!$E$3:$E$300,Oct!$B$67,'Oct - registro gastos'!$F$3:$F$300,Oct!B70)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SUMIFS('Oct - registro gastos'!$D$3:$D$300,'Oct - registro gastos'!$E$3:$E$300,Oct!$H$67,'Oct - registro gastos'!$F$3:$F$300,Oct!H70)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SUMIFS('Oct - registro gastos'!$D$3:$D$300,'Oct - registro gastos'!$E$3:$E$300,Oct!$B$67,'Oct - registro gastos'!$F$3:$F$300,Oct!B71)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SUMIFS('Oct - registro gastos'!$D$3:$D$300,'Oct - registro gastos'!$E$3:$E$300,Oct!$H$67,'Oct - registro gastos'!$F$3:$F$300,Oct!H71)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SUMIFS('Oct - registro gastos'!$D$3:$D$300,'Oct - registro gastos'!$E$3:$E$300,Oct!$B$67,'Oct - registro gastos'!$F$3:$F$300,Oct!B72)</f>
        <v>0</v>
      </c>
      <c r="F72" s="12">
        <f t="shared" si="10"/>
        <v>0</v>
      </c>
      <c r="G72" s="20"/>
      <c r="H72" s="9"/>
      <c r="I72" s="10"/>
      <c r="J72" s="11"/>
      <c r="K72" s="11">
        <f>SUMIFS('Oct - registro gastos'!$D$3:$D$300,'Oct - registro gastos'!$E$3:$E$300,Oct!$H$67,'Oct - registro gastos'!$F$3:$F$300,Oct!H72)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SUMIFS('Oct - registro gastos'!$D$3:$D$300,'Oct - registro gastos'!$E$3:$E$300,Oct!$B$67,'Oct - registro gastos'!$F$3:$F$300,Oct!B73)</f>
        <v>0</v>
      </c>
      <c r="F73" s="12">
        <f t="shared" si="10"/>
        <v>0</v>
      </c>
      <c r="G73" s="20"/>
      <c r="H73" s="9"/>
      <c r="I73" s="10"/>
      <c r="J73" s="11"/>
      <c r="K73" s="11">
        <f>SUMIFS('Oct - registro gastos'!$D$3:$D$300,'Oct - registro gastos'!$E$3:$E$300,Oct!$H$67,'Oct - registro gastos'!$F$3:$F$300,Oct!H73)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SUMIFS('Oct - registro gastos'!$D$3:$D$300,'Oct - registro gastos'!$E$3:$E$300,Oct!$B$67,'Oct - registro gastos'!$F$3:$F$300,Oct!B74)</f>
        <v>0</v>
      </c>
      <c r="F74" s="12">
        <f t="shared" si="10"/>
        <v>0</v>
      </c>
      <c r="G74" s="20"/>
      <c r="H74" s="9"/>
      <c r="I74" s="10"/>
      <c r="J74" s="11"/>
      <c r="K74" s="11">
        <f>SUMIFS('Oct - registro gastos'!$D$3:$D$300,'Oct - registro gastos'!$E$3:$E$300,Oct!$H$67,'Oct - registro gastos'!$F$3:$F$300,Oct!H74)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SUMIFS('Oct - registro gastos'!$D$3:$D$300,'Oct - registro gastos'!$E$3:$E$300,Oct!$B$67,'Oct - registro gastos'!$F$3:$F$300,Oct!B75)</f>
        <v>0</v>
      </c>
      <c r="F75" s="12">
        <f t="shared" si="10"/>
        <v>0</v>
      </c>
      <c r="G75" s="20"/>
      <c r="H75" s="30"/>
      <c r="I75" s="10"/>
      <c r="J75" s="31"/>
      <c r="K75" s="31">
        <f>SUMIFS('Oct - registro gastos'!$D$3:$D$300,'Oct - registro gastos'!$E$3:$E$300,Oct!$H$67,'Oct - registro gastos'!$F$3:$F$300,Oct!H75)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SUMIFS('Oct - registro gastos'!$D$3:$D$300,'Oct - registro gastos'!$E$3:$E$300,Oct!$B$67,'Oct - registro gastos'!$F$3:$F$300,Oct!B76)</f>
        <v>0</v>
      </c>
      <c r="F76" s="12">
        <f t="shared" si="10"/>
        <v>0</v>
      </c>
      <c r="G76" s="20"/>
      <c r="H76" s="30"/>
      <c r="I76" s="10"/>
      <c r="J76" s="31"/>
      <c r="K76" s="31">
        <f>SUMIFS('Oct - registro gastos'!$D$3:$D$300,'Oct - registro gastos'!$E$3:$E$300,Oct!$H$67,'Oct - registro gastos'!$F$3:$F$300,Oct!H76)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SUMIFS('Oct - registro gastos'!$D$3:$D$300,'Oct - registro gastos'!$E$3:$E$300,Oct!$B$67,'Oct - registro gastos'!$F$3:$F$300,Oct!B77)</f>
        <v>0</v>
      </c>
      <c r="F77" s="12">
        <f t="shared" si="10"/>
        <v>0</v>
      </c>
      <c r="G77" s="20"/>
      <c r="H77" s="30"/>
      <c r="I77" s="10"/>
      <c r="J77" s="31"/>
      <c r="K77" s="31">
        <f>SUMIFS('Oct - registro gastos'!$D$3:$D$300,'Oct - registro gastos'!$E$3:$E$300,Oct!$H$67,'Oct - registro gastos'!$F$3:$F$300,Oct!H77)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SUMIFS('Oct - registro gastos'!$D$3:$D$300,'Oct - registro gastos'!$E$3:$E$300,Oct!$B$67,'Oct - registro gastos'!$F$3:$F$300,Oct!B78)</f>
        <v>0</v>
      </c>
      <c r="F78" s="15">
        <f t="shared" si="10"/>
        <v>0</v>
      </c>
      <c r="G78" s="20"/>
      <c r="H78" s="13"/>
      <c r="I78" s="40"/>
      <c r="J78" s="14"/>
      <c r="K78" s="14">
        <f>SUMIFS('Oct - registro gastos'!$D$3:$D$300,'Oct - registro gastos'!$E$3:$E$300,Oct!$H$67,'Oct - registro gastos'!$F$3:$F$300,Oct!H78)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SUMIFS('Oct - registro gastos'!$D$3:$D$300,'Oct - registro gastos'!$E$3:$E$300,Oct!$B$81,'Oct - registro gastos'!$F$3:$F$300,Oct!B82)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SUMIFS('Oct - registro gastos'!$D$3:$D$300,'Oct - registro gastos'!$E$3:$E$300,Oct!$H$81,'Oct - registro gastos'!$F$3:$F$300,Oct!H82)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SUMIFS('Oct - registro gastos'!$D$3:$D$300,'Oct - registro gastos'!$E$3:$E$300,Oct!$B$81,'Oct - registro gastos'!$F$3:$F$300,Oct!B83)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SUMIFS('Oct - registro gastos'!$D$3:$D$300,'Oct - registro gastos'!$E$3:$E$300,Oct!$H$81,'Oct - registro gastos'!$F$3:$F$300,Oct!H83)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SUMIFS('Oct - registro gastos'!$D$3:$D$300,'Oct - registro gastos'!$E$3:$E$300,Oct!$B$81,'Oct - registro gastos'!$F$3:$F$300,Oct!B84)</f>
        <v>0</v>
      </c>
      <c r="F84" s="12">
        <f t="shared" si="12"/>
        <v>0</v>
      </c>
      <c r="G84" s="20"/>
      <c r="H84" s="9"/>
      <c r="I84" s="10"/>
      <c r="J84" s="11"/>
      <c r="K84" s="11">
        <f>SUMIFS('Oct - registro gastos'!$D$3:$D$300,'Oct - registro gastos'!$E$3:$E$300,Oct!$H$81,'Oct - registro gastos'!$F$3:$F$300,Oct!H84)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SUMIFS('Oct - registro gastos'!$D$3:$D$300,'Oct - registro gastos'!$E$3:$E$300,Oct!$B$81,'Oct - registro gastos'!$F$3:$F$300,Oct!B85)</f>
        <v>0</v>
      </c>
      <c r="F85" s="12">
        <f>D85-E85</f>
        <v>0</v>
      </c>
      <c r="G85" s="20"/>
      <c r="H85" s="9"/>
      <c r="I85" s="10"/>
      <c r="J85" s="11"/>
      <c r="K85" s="11">
        <f>SUMIFS('Oct - registro gastos'!$D$3:$D$300,'Oct - registro gastos'!$E$3:$E$300,Oct!$H$81,'Oct - registro gastos'!$F$3:$F$300,Oct!H85)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SUMIFS('Oct - registro gastos'!$D$3:$D$300,'Oct - registro gastos'!$E$3:$E$300,Oct!$B$81,'Oct - registro gastos'!$F$3:$F$300,Oct!B86)</f>
        <v>0</v>
      </c>
      <c r="F86" s="12">
        <f t="shared" si="12"/>
        <v>0</v>
      </c>
      <c r="G86" s="20"/>
      <c r="H86" s="9"/>
      <c r="I86" s="10"/>
      <c r="J86" s="11"/>
      <c r="K86" s="11">
        <f>SUMIFS('Oct - registro gastos'!$D$3:$D$300,'Oct - registro gastos'!$E$3:$E$300,Oct!$H$81,'Oct - registro gastos'!$F$3:$F$300,Oct!H86)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SUMIFS('Oct - registro gastos'!$D$3:$D$300,'Oct - registro gastos'!$E$3:$E$300,Oct!$B$81,'Oct - registro gastos'!$F$3:$F$300,Oct!B87)</f>
        <v>0</v>
      </c>
      <c r="F87" s="15">
        <f t="shared" si="12"/>
        <v>0</v>
      </c>
      <c r="G87" s="20"/>
      <c r="H87" s="13"/>
      <c r="I87" s="40"/>
      <c r="J87" s="14"/>
      <c r="K87" s="14">
        <f>SUMIFS('Oct - registro gastos'!$D$3:$D$300,'Oct - registro gastos'!$E$3:$E$300,Oct!$H$81,'Oct - registro gastos'!$F$3:$F$300,Oct!H87)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SUMIFS('Oct - registro gastos'!$D$3:$D$300,'Oct - registro gastos'!$E$3:$E$300,Oct!$B$90,'Oct - registro gastos'!$F$3:$F$300,Oct!B91)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SUMIFS('Oct - registro gastos'!$D$3:$D$300,'Oct - registro gastos'!$E$3:$E$300,Oct!$H$90,'Oct - registro gastos'!$F$3:$F$300,Oct!H91)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SUMIFS('Oct - registro gastos'!$D$3:$D$300,'Oct - registro gastos'!$E$3:$E$300,Oct!$B$90,'Oct - registro gastos'!$F$3:$F$300,Oct!B92)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SUMIFS('Oct - registro gastos'!$D$3:$D$300,'Oct - registro gastos'!$E$3:$E$300,Oct!$H$90,'Oct - registro gastos'!$F$3:$F$300,Oct!H92)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SUMIFS('Oct - registro gastos'!$D$3:$D$300,'Oct - registro gastos'!$E$3:$E$300,Oct!$B$90,'Oct - registro gastos'!$F$3:$F$300,Oct!B93)</f>
        <v>0</v>
      </c>
      <c r="F93" s="12">
        <f t="shared" si="15"/>
        <v>0</v>
      </c>
      <c r="G93" s="20"/>
      <c r="H93" s="9"/>
      <c r="I93" s="10"/>
      <c r="J93" s="11"/>
      <c r="K93" s="11">
        <f>SUMIFS('Oct - registro gastos'!$D$3:$D$300,'Oct - registro gastos'!$E$3:$E$300,Oct!$H$90,'Oct - registro gastos'!$F$3:$F$300,Oct!H93)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SUMIFS('Oct - registro gastos'!$D$3:$D$300,'Oct - registro gastos'!$E$3:$E$300,Oct!$B$90,'Oct - registro gastos'!$F$3:$F$300,Oct!B94)</f>
        <v>0</v>
      </c>
      <c r="F94" s="12">
        <f t="shared" si="15"/>
        <v>0</v>
      </c>
      <c r="G94" s="20"/>
      <c r="H94" s="9"/>
      <c r="I94" s="10"/>
      <c r="J94" s="11"/>
      <c r="K94" s="11">
        <f>SUMIFS('Oct - registro gastos'!$D$3:$D$300,'Oct - registro gastos'!$E$3:$E$300,Oct!$H$90,'Oct - registro gastos'!$F$3:$F$300,Oct!H94)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SUMIFS('Oct - registro gastos'!$D$3:$D$300,'Oct - registro gastos'!$E$3:$E$300,Oct!$B$90,'Oct - registro gastos'!$F$3:$F$300,Oct!B95)</f>
        <v>0</v>
      </c>
      <c r="F95" s="12">
        <f>D95-E95</f>
        <v>0</v>
      </c>
      <c r="G95" s="20"/>
      <c r="H95" s="9"/>
      <c r="I95" s="10"/>
      <c r="J95" s="11"/>
      <c r="K95" s="11">
        <f>SUMIFS('Oct - registro gastos'!$D$3:$D$300,'Oct - registro gastos'!$E$3:$E$300,Oct!$H$90,'Oct - registro gastos'!$F$3:$F$300,Oct!H95)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SUMIFS('Oct - registro gastos'!$D$3:$D$300,'Oct - registro gastos'!$E$3:$E$300,Oct!$B$90,'Oct - registro gastos'!$F$3:$F$300,Oct!B96)</f>
        <v>0</v>
      </c>
      <c r="F96" s="12">
        <f t="shared" si="15"/>
        <v>0</v>
      </c>
      <c r="G96" s="20"/>
      <c r="H96" s="9"/>
      <c r="I96" s="10"/>
      <c r="J96" s="11"/>
      <c r="K96" s="11">
        <f>SUMIFS('Oct - registro gastos'!$D$3:$D$300,'Oct - registro gastos'!$E$3:$E$300,Oct!$H$90,'Oct - registro gastos'!$F$3:$F$300,Oct!H96)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SUMIFS('Oct - registro gastos'!$D$3:$D$300,'Oct - registro gastos'!$E$3:$E$300,Oct!$B$90,'Oct - registro gastos'!$F$3:$F$300,Oct!B97)</f>
        <v>0</v>
      </c>
      <c r="F97" s="15">
        <f t="shared" si="15"/>
        <v>0</v>
      </c>
      <c r="G97" s="20"/>
      <c r="H97" s="13"/>
      <c r="I97" s="40"/>
      <c r="J97" s="14"/>
      <c r="K97" s="14">
        <f>SUMIFS('Oct - registro gastos'!$D$3:$D$300,'Oct - registro gastos'!$E$3:$E$300,Oct!$H$90,'Oct - registro gastos'!$F$3:$F$300,Oct!H97)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SUMIFS('Oct - registro gastos'!$D$3:$D$300,'Oct - registro gastos'!$E$3:$E$300,Oct!$B$100,'Oct - registro gastos'!$F$3:$F$300,Oct!B101)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SUMIFS('Oct - registro gastos'!$D$3:$D$300,'Oct - registro gastos'!$E$3:$E$300,Oct!$H$100,'Oct - registro gastos'!$F$3:$F$300,Oct!H101)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SUMIFS('Oct - registro gastos'!$D$3:$D$300,'Oct - registro gastos'!$E$3:$E$300,Oct!$B$100,'Oct - registro gastos'!$F$3:$F$300,Oct!B102)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SUMIFS('Oct - registro gastos'!$D$3:$D$300,'Oct - registro gastos'!$E$3:$E$300,Oct!$H$100,'Oct - registro gastos'!$F$3:$F$300,Oct!H102)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SUMIFS('Oct - registro gastos'!$D$3:$D$300,'Oct - registro gastos'!$E$3:$E$300,Oct!$B$100,'Oct - registro gastos'!$F$3:$F$300,Oct!B103)</f>
        <v>0</v>
      </c>
      <c r="F103" s="12">
        <f t="shared" si="16"/>
        <v>0</v>
      </c>
      <c r="G103" s="20"/>
      <c r="H103" s="9"/>
      <c r="I103" s="10"/>
      <c r="J103" s="11"/>
      <c r="K103" s="11">
        <f>SUMIFS('Oct - registro gastos'!$D$3:$D$300,'Oct - registro gastos'!$E$3:$E$300,Oct!$H$100,'Oct - registro gastos'!$F$3:$F$300,Oct!H103)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SUMIFS('Oct - registro gastos'!$D$3:$D$300,'Oct - registro gastos'!$E$3:$E$300,Oct!$B$100,'Oct - registro gastos'!$F$3:$F$300,Oct!B104)</f>
        <v>0</v>
      </c>
      <c r="F104" s="12">
        <f t="shared" si="16"/>
        <v>0</v>
      </c>
      <c r="G104" s="20"/>
      <c r="H104" s="9"/>
      <c r="I104" s="10"/>
      <c r="J104" s="11"/>
      <c r="K104" s="11">
        <f>SUMIFS('Oct - registro gastos'!$D$3:$D$300,'Oct - registro gastos'!$E$3:$E$300,Oct!$H$100,'Oct - registro gastos'!$F$3:$F$300,Oct!H104)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SUMIFS('Oct - registro gastos'!$D$3:$D$300,'Oct - registro gastos'!$E$3:$E$300,Oct!$B$100,'Oct - registro gastos'!$F$3:$F$300,Oct!B105)</f>
        <v>0</v>
      </c>
      <c r="F105" s="12">
        <f t="shared" si="16"/>
        <v>0</v>
      </c>
      <c r="G105" s="20"/>
      <c r="H105" s="9"/>
      <c r="I105" s="10"/>
      <c r="J105" s="11"/>
      <c r="K105" s="11">
        <f>SUMIFS('Oct - registro gastos'!$D$3:$D$300,'Oct - registro gastos'!$E$3:$E$300,Oct!$H$100,'Oct - registro gastos'!$F$3:$F$300,Oct!H105)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SUMIFS('Oct - registro gastos'!$D$3:$D$300,'Oct - registro gastos'!$E$3:$E$300,Oct!$B$100,'Oct - registro gastos'!$F$3:$F$300,Oct!B106)</f>
        <v>0</v>
      </c>
      <c r="F106" s="12">
        <f t="shared" si="16"/>
        <v>0</v>
      </c>
      <c r="G106" s="20"/>
      <c r="H106" s="9"/>
      <c r="I106" s="10"/>
      <c r="J106" s="11"/>
      <c r="K106" s="11">
        <f>SUMIFS('Oct - registro gastos'!$D$3:$D$300,'Oct - registro gastos'!$E$3:$E$300,Oct!$H$100,'Oct - registro gastos'!$F$3:$F$300,Oct!H106)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SUMIFS('Oct - registro gastos'!$D$3:$D$300,'Oct - registro gastos'!$E$3:$E$300,Oct!$B$100,'Oct - registro gastos'!$F$3:$F$300,Oct!B107)</f>
        <v>0</v>
      </c>
      <c r="F107" s="15">
        <f>D107-E107</f>
        <v>0</v>
      </c>
      <c r="G107" s="20"/>
      <c r="H107" s="13"/>
      <c r="I107" s="40"/>
      <c r="J107" s="14"/>
      <c r="K107" s="14">
        <f>SUMIFS('Oct - registro gastos'!$D$3:$D$300,'Oct - registro gastos'!$E$3:$E$300,Oct!$H$100,'Oct - registro gastos'!$F$3:$F$300,Oct!H107)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8 K12:K107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9AADEBD-E0C3-DC49-B219-0AF403C279D1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BEE68C49-B056-3E44-87B0-7323D91BBDBD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D671-EF54-F442-99FC-5888884FD6F0}">
  <sheetPr codeName="Hoja12">
    <tabColor rgb="FFFD9F00"/>
  </sheetPr>
  <dimension ref="B2:AR312"/>
  <sheetViews>
    <sheetView showGridLines="0" zoomScale="120" zoomScaleNormal="12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3" width="11" customWidth="1"/>
    <col min="14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hidden="1" customWidth="1"/>
    <col min="45" max="45" width="0" hidden="1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Oct!$B$12</f>
        <v>NECESIDADES BÁSICAS</v>
      </c>
      <c r="AO4" s="84" t="str">
        <f>Oct!B13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Oct!$B$12</f>
        <v>NECESIDADES BÁSICAS</v>
      </c>
      <c r="AO5" s="86" t="str">
        <f>Oct!B14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Oct!$B$12</f>
        <v>NECESIDADES BÁSICAS</v>
      </c>
      <c r="AO6" s="86" t="str">
        <f>Oct!B15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Oct!$B$12</f>
        <v>NECESIDADES BÁSICAS</v>
      </c>
      <c r="AO7" s="86" t="str">
        <f>Oct!B16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Oct!$B$12</f>
        <v>NECESIDADES BÁSICAS</v>
      </c>
      <c r="AO8" s="86" t="str">
        <f>Oct!B17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Oct!$B$12</f>
        <v>NECESIDADES BÁSICAS</v>
      </c>
      <c r="AO9" s="86" t="str">
        <f>Oct!B18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Oct!$B$12</f>
        <v>NECESIDADES BÁSICAS</v>
      </c>
      <c r="AO10" s="86" t="str">
        <f>Oct!B19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Oct!$B$12</f>
        <v>NECESIDADES BÁSICAS</v>
      </c>
      <c r="AO11" s="86" t="str">
        <f>Oct!B20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Oct!$B$12</f>
        <v>NECESIDADES BÁSICAS</v>
      </c>
      <c r="AO12" s="86" t="str">
        <f>Oct!B21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Oct!$B$12</f>
        <v>NECESIDADES BÁSICAS</v>
      </c>
      <c r="AO13" s="86">
        <f>Oct!B22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Oct!$B$12</f>
        <v>NECESIDADES BÁSICAS</v>
      </c>
      <c r="AO14" s="86">
        <f>Oct!B23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Oct!$B$12</f>
        <v>NECESIDADES BÁSICAS</v>
      </c>
      <c r="AO15" s="88">
        <f>Oct!B24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Oct!$H$12</f>
        <v>AHORROS</v>
      </c>
      <c r="AO16" s="84" t="str">
        <f>Oct!H13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Oct!$H$12</f>
        <v>AHORROS</v>
      </c>
      <c r="AO17" s="86" t="str">
        <f>Oct!H14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Oct!$H$12</f>
        <v>AHORROS</v>
      </c>
      <c r="AO18" s="86" t="str">
        <f>Oct!H15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Oct!$H$12</f>
        <v>AHORROS</v>
      </c>
      <c r="AO19" s="86" t="str">
        <f>Oct!H16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Oct!$H$12</f>
        <v>AHORROS</v>
      </c>
      <c r="AO20" s="86" t="str">
        <f>Oct!H17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Oct!$H$12</f>
        <v>AHORROS</v>
      </c>
      <c r="AO21" s="86">
        <f>Oct!H18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Oct!$H$12</f>
        <v>AHORROS</v>
      </c>
      <c r="AO22" s="86">
        <f>Oct!H19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Oct!$H$12</f>
        <v>AHORROS</v>
      </c>
      <c r="AO23" s="86">
        <f>Oct!H20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Oct!$H$12</f>
        <v>AHORROS</v>
      </c>
      <c r="AO24" s="86">
        <f>Oct!H21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Oct!$H$12</f>
        <v>AHORROS</v>
      </c>
      <c r="AO25" s="86">
        <f>Oct!H22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Oct!$H$12</f>
        <v>AHORROS</v>
      </c>
      <c r="AO26" s="86">
        <f>Oct!H23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Oct!$H$12</f>
        <v>AHORROS</v>
      </c>
      <c r="AO27" s="88">
        <f>Oct!H24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Oct!$B$27</f>
        <v>DEUDAS</v>
      </c>
      <c r="AO28" s="84" t="str">
        <f>Oct!B28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Oct!$B$27</f>
        <v>DEUDAS</v>
      </c>
      <c r="AO29" s="86" t="str">
        <f>Oct!B29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Oct!$B$27</f>
        <v>DEUDAS</v>
      </c>
      <c r="AO30" s="86" t="str">
        <f>Oct!B30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Oct!$B$27</f>
        <v>DEUDAS</v>
      </c>
      <c r="AO31" s="86" t="str">
        <f>Oct!B31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Oct!$B$27</f>
        <v>DEUDAS</v>
      </c>
      <c r="AO32" s="86" t="str">
        <f>Oct!B32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Oct!$B$27</f>
        <v>DEUDAS</v>
      </c>
      <c r="AO33" s="86">
        <f>Oct!B33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Oct!$B$27</f>
        <v>DEUDAS</v>
      </c>
      <c r="AO34" s="86">
        <f>Oct!B34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Oct!$B$27</f>
        <v>DEUDAS</v>
      </c>
      <c r="AO35" s="88">
        <f>Oct!B35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Oct!$H$27</f>
        <v>REGALOS/ CARIDAD</v>
      </c>
      <c r="AO36" s="84" t="str">
        <f>Oct!H28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Oct!$H$27</f>
        <v>REGALOS/ CARIDAD</v>
      </c>
      <c r="AO37" s="86" t="str">
        <f>Oct!H29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Oct!$H$27</f>
        <v>REGALOS/ CARIDAD</v>
      </c>
      <c r="AO38" s="86" t="str">
        <f>Oct!H30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Oct!$H$27</f>
        <v>REGALOS/ CARIDAD</v>
      </c>
      <c r="AO39" s="86">
        <f>Oct!H31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Oct!$H$27</f>
        <v>REGALOS/ CARIDAD</v>
      </c>
      <c r="AO40" s="86">
        <f>Oct!H32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Oct!$H$27</f>
        <v>REGALOS/ CARIDAD</v>
      </c>
      <c r="AO41" s="86">
        <f>Oct!H33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Oct!$H$27</f>
        <v>REGALOS/ CARIDAD</v>
      </c>
      <c r="AO42" s="86">
        <f>Oct!H34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Oct!$H$27</f>
        <v>REGALOS/ CARIDAD</v>
      </c>
      <c r="AO43" s="88">
        <f>Oct!H35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Oct!$B$38</f>
        <v>CASA</v>
      </c>
      <c r="AO44" s="84" t="str">
        <f>Oct!B39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Oct!$B$38</f>
        <v>CASA</v>
      </c>
      <c r="AO45" s="86" t="str">
        <f>Oct!B40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Oct!$B$38</f>
        <v>CASA</v>
      </c>
      <c r="AO46" s="86" t="str">
        <f>Oct!B41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Oct!$B$38</f>
        <v>CASA</v>
      </c>
      <c r="AO47" s="86" t="str">
        <f>Oct!B42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Oct!$B$38</f>
        <v>CASA</v>
      </c>
      <c r="AO48" s="86">
        <f>Oct!B43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Oct!$B$38</f>
        <v>CASA</v>
      </c>
      <c r="AO49" s="86">
        <f>Oct!B44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Oct!$B$38</f>
        <v>CASA</v>
      </c>
      <c r="AO50" s="88">
        <f>Oct!B45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Oct!$H$38</f>
        <v>TRANSPORTE</v>
      </c>
      <c r="AO51" s="84" t="str">
        <f>Oct!H39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Oct!$H$38</f>
        <v>TRANSPORTE</v>
      </c>
      <c r="AO52" s="86" t="str">
        <f>Oct!H40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Oct!$H$38</f>
        <v>TRANSPORTE</v>
      </c>
      <c r="AO53" s="86" t="str">
        <f>Oct!H41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Oct!$H$38</f>
        <v>TRANSPORTE</v>
      </c>
      <c r="AO54" s="86" t="str">
        <f>Oct!H42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Oct!$H$38</f>
        <v>TRANSPORTE</v>
      </c>
      <c r="AO55" s="86" t="str">
        <f>Oct!H43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Oct!$H$38</f>
        <v>TRANSPORTE</v>
      </c>
      <c r="AO56" s="86">
        <f>Oct!H44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Oct!$H$38</f>
        <v>TRANSPORTE</v>
      </c>
      <c r="AO57" s="88">
        <f>Oct!H45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Oct!$B$48</f>
        <v>ALIMENTACIÓN</v>
      </c>
      <c r="AO58" s="84" t="str">
        <f>Oct!B49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Oct!$B$48</f>
        <v>ALIMENTACIÓN</v>
      </c>
      <c r="AO59" s="86" t="str">
        <f>Oct!B50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Oct!$B$48</f>
        <v>ALIMENTACIÓN</v>
      </c>
      <c r="AO60" s="86">
        <f>Oct!B51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Oct!$B$48</f>
        <v>ALIMENTACIÓN</v>
      </c>
      <c r="AO61" s="86">
        <f>Oct!B52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Oct!$B$48</f>
        <v>ALIMENTACIÓN</v>
      </c>
      <c r="AO62" s="86">
        <f>Oct!B53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Oct!$B$48</f>
        <v>ALIMENTACIÓN</v>
      </c>
      <c r="AO63" s="88">
        <f>Oct!B54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Oct!$H$48</f>
        <v>SEGUROS</v>
      </c>
      <c r="AO64" s="84" t="str">
        <f>Oct!H49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Oct!$H$48</f>
        <v>SEGUROS</v>
      </c>
      <c r="AO65" s="86" t="str">
        <f>Oct!H50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Oct!$H$48</f>
        <v>SEGUROS</v>
      </c>
      <c r="AO66" s="86" t="str">
        <f>Oct!H51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Oct!$H$48</f>
        <v>SEGUROS</v>
      </c>
      <c r="AO67" s="86" t="str">
        <f>Oct!H52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Oct!$H$48</f>
        <v>SEGUROS</v>
      </c>
      <c r="AO68" s="86">
        <f>Oct!H53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Oct!$H$48</f>
        <v>SEGUROS</v>
      </c>
      <c r="AO69" s="88">
        <f>Oct!H54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Oct!$B$57</f>
        <v>SALUD</v>
      </c>
      <c r="AO70" s="84" t="str">
        <f>Oct!B58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Oct!$B$57</f>
        <v>SALUD</v>
      </c>
      <c r="AO71" s="86" t="str">
        <f>Oct!B59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Oct!$B$57</f>
        <v>SALUD</v>
      </c>
      <c r="AO72" s="86" t="str">
        <f>Oct!B60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Oct!$B$57</f>
        <v>SALUD</v>
      </c>
      <c r="AO73" s="86">
        <f>Oct!B61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Oct!$B$57</f>
        <v>SALUD</v>
      </c>
      <c r="AO74" s="86">
        <f>Oct!B62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Oct!$B$57</f>
        <v>SALUD</v>
      </c>
      <c r="AO75" s="86">
        <f>Oct!B63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Oct!$B$57</f>
        <v>SALUD</v>
      </c>
      <c r="AO76" s="88">
        <f>Oct!B64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Oct!$H$57</f>
        <v>CUIDADO PERSONAL</v>
      </c>
      <c r="AO77" s="84" t="str">
        <f>Oct!H58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Oct!$H$57</f>
        <v>CUIDADO PERSONAL</v>
      </c>
      <c r="AO78" s="86" t="str">
        <f>Oct!H59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Oct!$H$57</f>
        <v>CUIDADO PERSONAL</v>
      </c>
      <c r="AO79" s="86" t="str">
        <f>Oct!H60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Oct!$H$57</f>
        <v>CUIDADO PERSONAL</v>
      </c>
      <c r="AO80" s="86" t="str">
        <f>Oct!H61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Oct!$H$57</f>
        <v>CUIDADO PERSONAL</v>
      </c>
      <c r="AO81" s="86" t="str">
        <f>Oct!H62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Oct!$H$57</f>
        <v>CUIDADO PERSONAL</v>
      </c>
      <c r="AO82" s="86">
        <f>Oct!H63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Oct!$H$57</f>
        <v>CUIDADO PERSONAL</v>
      </c>
      <c r="AO83" s="88">
        <f>Oct!H64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Oct!$B$67</f>
        <v>ENTRETENIMIENTO</v>
      </c>
      <c r="AO84" s="84" t="str">
        <f>Oct!B68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Oct!$B$67</f>
        <v>ENTRETENIMIENTO</v>
      </c>
      <c r="AO85" s="86" t="str">
        <f>Oct!B69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Oct!$B$67</f>
        <v>ENTRETENIMIENTO</v>
      </c>
      <c r="AO86" s="86" t="str">
        <f>Oct!B70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Oct!$B$67</f>
        <v>ENTRETENIMIENTO</v>
      </c>
      <c r="AO87" s="86" t="str">
        <f>Oct!B71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Oct!$B$67</f>
        <v>ENTRETENIMIENTO</v>
      </c>
      <c r="AO88" s="86" t="str">
        <f>Oct!B72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Oct!$B$67</f>
        <v>ENTRETENIMIENTO</v>
      </c>
      <c r="AO89" s="86" t="str">
        <f>Oct!B73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Oct!$B$67</f>
        <v>ENTRETENIMIENTO</v>
      </c>
      <c r="AO90" s="86" t="str">
        <f>Oct!B74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Oct!$B$67</f>
        <v>ENTRETENIMIENTO</v>
      </c>
      <c r="AO91" s="86">
        <f>Oct!B75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Oct!$B$67</f>
        <v>ENTRETENIMIENTO</v>
      </c>
      <c r="AO92" s="86">
        <f>Oct!B76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Oct!$B$67</f>
        <v>ENTRETENIMIENTO</v>
      </c>
      <c r="AO93" s="86">
        <f>Oct!B77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Oct!$B$67</f>
        <v>ENTRETENIMIENTO</v>
      </c>
      <c r="AO94" s="88">
        <f>Oct!B78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Oct!$H$67</f>
        <v>HIJOS</v>
      </c>
      <c r="AO95" s="84" t="str">
        <f>Oct!H68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Oct!$H$67</f>
        <v>HIJOS</v>
      </c>
      <c r="AO96" s="86" t="str">
        <f>Oct!H69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Oct!$H$67</f>
        <v>HIJOS</v>
      </c>
      <c r="AO97" s="86" t="str">
        <f>Oct!H70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Oct!$H$67</f>
        <v>HIJOS</v>
      </c>
      <c r="AO98" s="86" t="str">
        <f>Oct!H71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Oct!$H$67</f>
        <v>HIJOS</v>
      </c>
      <c r="AO99" s="86">
        <f>Oct!H72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Oct!$H$67</f>
        <v>HIJOS</v>
      </c>
      <c r="AO100" s="86">
        <f>Oct!H73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Oct!$H$67</f>
        <v>HIJOS</v>
      </c>
      <c r="AO101" s="86">
        <f>Oct!H74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Oct!$H$67</f>
        <v>HIJOS</v>
      </c>
      <c r="AO102" s="86">
        <f>Oct!H75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Oct!$H$67</f>
        <v>HIJOS</v>
      </c>
      <c r="AO103" s="86">
        <f>Oct!H76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Oct!$H$67</f>
        <v>HIJOS</v>
      </c>
      <c r="AO104" s="86">
        <f>Oct!H77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Oct!$H$67</f>
        <v>HIJOS</v>
      </c>
      <c r="AO105" s="88">
        <f>Oct!H78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Oct!$B$81</f>
        <v>MASCOTA</v>
      </c>
      <c r="AO106" s="84" t="str">
        <f>Oct!B82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Oct!$B$81</f>
        <v>MASCOTA</v>
      </c>
      <c r="AO107" s="86" t="str">
        <f>Oct!B83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Oct!$B$81</f>
        <v>MASCOTA</v>
      </c>
      <c r="AO108" s="86" t="str">
        <f>Oct!B84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Oct!$B$81</f>
        <v>MASCOTA</v>
      </c>
      <c r="AO109" s="86" t="str">
        <f>Oct!B85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Oct!$B$81</f>
        <v>MASCOTA</v>
      </c>
      <c r="AO110" s="86">
        <f>Oct!B86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Oct!$B$81</f>
        <v>MASCOTA</v>
      </c>
      <c r="AO111" s="88">
        <f>Oct!B87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Oct!$H$81</f>
        <v>OTROS 1</v>
      </c>
      <c r="AO112" s="84">
        <f>Oct!H82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Oct!$H$81</f>
        <v>OTROS 1</v>
      </c>
      <c r="AO113" s="86">
        <f>Oct!H83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Oct!$H$81</f>
        <v>OTROS 1</v>
      </c>
      <c r="AO114" s="86">
        <f>Oct!H84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Oct!$H$81</f>
        <v>OTROS 1</v>
      </c>
      <c r="AO115" s="86">
        <f>Oct!H85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Oct!$H$81</f>
        <v>OTROS 1</v>
      </c>
      <c r="AO116" s="86">
        <f>Oct!H86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Oct!$H$81</f>
        <v>OTROS 1</v>
      </c>
      <c r="AO117" s="88">
        <f>Oct!H87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Oct!$B$90</f>
        <v>OTROS 2</v>
      </c>
      <c r="AO118" s="84">
        <f>Oct!B91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Oct!$B$90</f>
        <v>OTROS 2</v>
      </c>
      <c r="AO119" s="86">
        <f>Oct!B92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Oct!$B$90</f>
        <v>OTROS 2</v>
      </c>
      <c r="AO120" s="86">
        <f>Oct!B93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Oct!$B$90</f>
        <v>OTROS 2</v>
      </c>
      <c r="AO121" s="86">
        <f>Oct!B94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Oct!$B$90</f>
        <v>OTROS 2</v>
      </c>
      <c r="AO122" s="86">
        <f>Oct!B95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Oct!$B$90</f>
        <v>OTROS 2</v>
      </c>
      <c r="AO123" s="88">
        <f>Oct!B96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Oct!$H$90</f>
        <v>OTROS 3</v>
      </c>
      <c r="AO124" s="84">
        <f>Oct!H91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Oct!$H$90</f>
        <v>OTROS 3</v>
      </c>
      <c r="AO125" s="86">
        <f>Oct!H92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Oct!$H$90</f>
        <v>OTROS 3</v>
      </c>
      <c r="AO126" s="86">
        <f>Oct!H93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Oct!$H$90</f>
        <v>OTROS 3</v>
      </c>
      <c r="AO127" s="86">
        <f>Oct!H94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Oct!$H$90</f>
        <v>OTROS 3</v>
      </c>
      <c r="AO128" s="86">
        <f>Oct!H95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Oct!$H$90</f>
        <v>OTROS 3</v>
      </c>
      <c r="AO129" s="88">
        <f>Oct!H96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Oct!$B$100</f>
        <v>OTROS 4</v>
      </c>
      <c r="AO130" s="84">
        <f>Oct!B101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Oct!$B$100</f>
        <v>OTROS 4</v>
      </c>
      <c r="AO131" s="86">
        <f>Oct!B102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Oct!$B$100</f>
        <v>OTROS 4</v>
      </c>
      <c r="AO132" s="86">
        <f>Oct!B103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Oct!$B$100</f>
        <v>OTROS 4</v>
      </c>
      <c r="AO133" s="86">
        <f>Oct!B104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Oct!$B$100</f>
        <v>OTROS 4</v>
      </c>
      <c r="AO134" s="86">
        <f>Oct!B105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Oct!$B$100</f>
        <v>OTROS 4</v>
      </c>
      <c r="AO135" s="88">
        <f>Oct!B106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Oct!$H$100</f>
        <v>OTROS 5</v>
      </c>
      <c r="AO136" s="84">
        <f>Oct!H101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Oct!$H$100</f>
        <v>OTROS 5</v>
      </c>
      <c r="AO137" s="86">
        <f>Oct!H102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Oct!$H$100</f>
        <v>OTROS 5</v>
      </c>
      <c r="AO138" s="86">
        <f>Oct!H103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Oct!$H$100</f>
        <v>OTROS 5</v>
      </c>
      <c r="AO139" s="86">
        <f>Oct!H104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Oct!$H$100</f>
        <v>OTROS 5</v>
      </c>
      <c r="AO140" s="86">
        <f>Oct!H105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Oct!$H$100</f>
        <v>OTROS 5</v>
      </c>
      <c r="AO141" s="88">
        <f>Oct!H106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Mia582HQnmltPee+58Z8ND0znv2Gmbvn24pyTWMdx2pE+QMDQPCPmprUyvK7ydqopx+/B/chXwqgSd2QMlOC9A==" saltValue="t+0vCyRVheLA1dmNw6JaxA==" spinCount="100000" sheet="1" selectLockedCells="1"/>
  <conditionalFormatting sqref="J1:J300 J313:J1048576">
    <cfRule type="containsText" dxfId="5" priority="1" operator="containsText" text="Revisa">
      <formula>NOT(ISERROR(SEARCH("Revisa",J1)))</formula>
    </cfRule>
    <cfRule type="beginsWith" dxfId="4" priority="2" operator="beginsWith" text="Es">
      <formula>LEFT(J1,LEN("Es"))="Es"</formula>
    </cfRule>
  </conditionalFormatting>
  <dataValidations count="2">
    <dataValidation type="list" allowBlank="1" showInputMessage="1" showErrorMessage="1" sqref="F3:F300" xr:uid="{5AFE7FB5-8A33-1B46-A041-34A39D572A92}">
      <formula1>$AO$4:$AO$141</formula1>
    </dataValidation>
    <dataValidation type="list" allowBlank="1" showInputMessage="1" showErrorMessage="1" sqref="E3:E300" xr:uid="{6A2D7642-AA77-5947-BE1C-6BF7E4BFB19A}">
      <formula1>$AN$4:$AN$141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EF7522"/>
    <pageSetUpPr autoPageBreaks="0" fitToPage="1"/>
  </sheetPr>
  <dimension ref="B1:U110"/>
  <sheetViews>
    <sheetView showGridLines="0" topLeftCell="A12" zoomScale="90" zoomScaleNormal="90" zoomScalePageLayoutView="80" workbookViewId="0">
      <selection activeCell="K107" sqref="K12:K107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SUMIFS('Nov - registro gastos'!$D$3:$D$300,'Nov - registro gastos'!$E$3:$E$300,Nov!$B$12,'Nov - registro gastos'!$F$3:$F$300,Nov!B13)</f>
        <v>0</v>
      </c>
      <c r="F13" s="12">
        <f>D13-E13</f>
        <v>0</v>
      </c>
      <c r="H13" s="9" t="s">
        <v>13</v>
      </c>
      <c r="I13" s="10" t="s">
        <v>45</v>
      </c>
      <c r="J13" s="11"/>
      <c r="K13" s="11">
        <f>SUMIFS('Nov - registro gastos'!$D$3:$D$300,'Nov - registro gastos'!$E$3:$E$300,Nov!$H$12,'Nov - registro gastos'!$F$3:$F$300,Nov!H13)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SUMIFS('Nov - registro gastos'!$D$3:$D$300,'Nov - registro gastos'!$E$3:$E$300,Nov!$B$12,'Nov - registro gastos'!$F$3:$F$300,Nov!B14)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SUMIFS('Nov - registro gastos'!$D$3:$D$300,'Nov - registro gastos'!$E$3:$E$300,Nov!$H$12,'Nov - registro gastos'!$F$3:$F$300,Nov!H14)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SUMIFS('Nov - registro gastos'!$D$3:$D$300,'Nov - registro gastos'!$E$3:$E$300,Nov!$B$12,'Nov - registro gastos'!$F$3:$F$300,Nov!B15)</f>
        <v>0</v>
      </c>
      <c r="F15" s="12">
        <f t="shared" si="1"/>
        <v>0</v>
      </c>
      <c r="H15" s="9" t="s">
        <v>11</v>
      </c>
      <c r="I15" s="10"/>
      <c r="J15" s="39"/>
      <c r="K15" s="11">
        <f>SUMIFS('Nov - registro gastos'!$D$3:$D$300,'Nov - registro gastos'!$E$3:$E$300,Nov!$H$12,'Nov - registro gastos'!$F$3:$F$300,Nov!H15)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SUMIFS('Nov - registro gastos'!$D$3:$D$300,'Nov - registro gastos'!$E$3:$E$300,Nov!$B$12,'Nov - registro gastos'!$F$3:$F$300,Nov!B16)</f>
        <v>0</v>
      </c>
      <c r="F16" s="12">
        <f t="shared" si="1"/>
        <v>0</v>
      </c>
      <c r="H16" s="9" t="s">
        <v>10</v>
      </c>
      <c r="I16" s="10"/>
      <c r="J16" s="11"/>
      <c r="K16" s="11">
        <f>SUMIFS('Nov - registro gastos'!$D$3:$D$300,'Nov - registro gastos'!$E$3:$E$300,Nov!$H$12,'Nov - registro gastos'!$F$3:$F$300,Nov!H16)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SUMIFS('Nov - registro gastos'!$D$3:$D$300,'Nov - registro gastos'!$E$3:$E$300,Nov!$B$12,'Nov - registro gastos'!$F$3:$F$300,Nov!B17)</f>
        <v>0</v>
      </c>
      <c r="F17" s="12">
        <f t="shared" si="1"/>
        <v>0</v>
      </c>
      <c r="H17" s="9" t="s">
        <v>9</v>
      </c>
      <c r="I17" s="10"/>
      <c r="J17" s="11"/>
      <c r="K17" s="11">
        <f>SUMIFS('Nov - registro gastos'!$D$3:$D$300,'Nov - registro gastos'!$E$3:$E$300,Nov!$H$12,'Nov - registro gastos'!$F$3:$F$300,Nov!H17)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SUMIFS('Nov - registro gastos'!$D$3:$D$300,'Nov - registro gastos'!$E$3:$E$300,Nov!$B$12,'Nov - registro gastos'!$F$3:$F$300,Nov!B18)</f>
        <v>0</v>
      </c>
      <c r="F18" s="12">
        <f t="shared" si="1"/>
        <v>0</v>
      </c>
      <c r="H18" s="9"/>
      <c r="I18" s="10"/>
      <c r="J18" s="11"/>
      <c r="K18" s="11">
        <f>SUMIFS('Nov - registro gastos'!$D$3:$D$300,'Nov - registro gastos'!$E$3:$E$300,Nov!$H$12,'Nov - registro gastos'!$F$3:$F$300,Nov!H18)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SUMIFS('Nov - registro gastos'!$D$3:$D$300,'Nov - registro gastos'!$E$3:$E$300,Nov!$B$12,'Nov - registro gastos'!$F$3:$F$300,Nov!B19)</f>
        <v>0</v>
      </c>
      <c r="F19" s="12">
        <f t="shared" si="1"/>
        <v>0</v>
      </c>
      <c r="H19" s="9"/>
      <c r="I19" s="10"/>
      <c r="J19" s="11"/>
      <c r="K19" s="11">
        <f>SUMIFS('Nov - registro gastos'!$D$3:$D$300,'Nov - registro gastos'!$E$3:$E$300,Nov!$H$12,'Nov - registro gastos'!$F$3:$F$300,Nov!H19)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SUMIFS('Nov - registro gastos'!$D$3:$D$300,'Nov - registro gastos'!$E$3:$E$300,Nov!$B$12,'Nov - registro gastos'!$F$3:$F$300,Nov!B20)</f>
        <v>0</v>
      </c>
      <c r="F20" s="12">
        <f t="shared" si="1"/>
        <v>0</v>
      </c>
      <c r="H20" s="9"/>
      <c r="I20" s="10"/>
      <c r="J20" s="11"/>
      <c r="K20" s="11">
        <f>SUMIFS('Nov - registro gastos'!$D$3:$D$300,'Nov - registro gastos'!$E$3:$E$300,Nov!$H$12,'Nov - registro gastos'!$F$3:$F$300,Nov!H20)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SUMIFS('Nov - registro gastos'!$D$3:$D$300,'Nov - registro gastos'!$E$3:$E$300,Nov!$B$12,'Nov - registro gastos'!$F$3:$F$300,Nov!B21)</f>
        <v>0</v>
      </c>
      <c r="F21" s="12">
        <f t="shared" si="1"/>
        <v>0</v>
      </c>
      <c r="H21" s="9"/>
      <c r="I21" s="10"/>
      <c r="J21" s="11"/>
      <c r="K21" s="11">
        <f>SUMIFS('Nov - registro gastos'!$D$3:$D$300,'Nov - registro gastos'!$E$3:$E$300,Nov!$H$12,'Nov - registro gastos'!$F$3:$F$300,Nov!H21)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SUMIFS('Nov - registro gastos'!$D$3:$D$300,'Nov - registro gastos'!$E$3:$E$300,Nov!$B$12,'Nov - registro gastos'!$F$3:$F$300,Nov!B22)</f>
        <v>0</v>
      </c>
      <c r="F22" s="12">
        <f t="shared" si="1"/>
        <v>0</v>
      </c>
      <c r="H22" s="9"/>
      <c r="I22" s="10"/>
      <c r="J22" s="11"/>
      <c r="K22" s="11">
        <f>SUMIFS('Nov - registro gastos'!$D$3:$D$300,'Nov - registro gastos'!$E$3:$E$300,Nov!$H$12,'Nov - registro gastos'!$F$3:$F$300,Nov!H22)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SUMIFS('Nov - registro gastos'!$D$3:$D$300,'Nov - registro gastos'!$E$3:$E$300,Nov!$B$12,'Nov - registro gastos'!$F$3:$F$300,Nov!B23)</f>
        <v>0</v>
      </c>
      <c r="F23" s="12">
        <f t="shared" si="1"/>
        <v>0</v>
      </c>
      <c r="H23" s="9"/>
      <c r="I23" s="10"/>
      <c r="J23" s="11"/>
      <c r="K23" s="11">
        <f>SUMIFS('Nov - registro gastos'!$D$3:$D$300,'Nov - registro gastos'!$E$3:$E$300,Nov!$H$12,'Nov - registro gastos'!$F$3:$F$300,Nov!H23)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SUMIFS('Nov - registro gastos'!$D$3:$D$300,'Nov - registro gastos'!$E$3:$E$300,Nov!$B$12,'Nov - registro gastos'!$F$3:$F$300,Nov!B24)</f>
        <v>0</v>
      </c>
      <c r="F24" s="15">
        <f t="shared" si="1"/>
        <v>0</v>
      </c>
      <c r="H24" s="13"/>
      <c r="I24" s="40"/>
      <c r="J24" s="14"/>
      <c r="K24" s="14">
        <f>SUMIFS('Nov - registro gastos'!$D$3:$D$300,'Nov - registro gastos'!$E$3:$E$300,Nov!$H$12,'Nov - registro gastos'!$F$3:$F$300,Nov!H24)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SUMIFS('Nov - registro gastos'!$D$3:$D$300,'Nov - registro gastos'!$E$3:$E$300,Nov!$B$27,'Nov - registro gastos'!$F$3:$F$300,Nov!B28)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SUMIFS('Nov - registro gastos'!$D$3:$D$300,'Nov - registro gastos'!$E$3:$E$300,Nov!$H$27,'Nov - registro gastos'!$F$3:$F$300,Nov!H28)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SUMIFS('Nov - registro gastos'!$D$3:$D$300,'Nov - registro gastos'!$E$3:$E$300,Nov!$B$27,'Nov - registro gastos'!$F$3:$F$300,Nov!B29)</f>
        <v>0</v>
      </c>
      <c r="F29" s="12">
        <f t="shared" si="2"/>
        <v>0</v>
      </c>
      <c r="H29" s="9" t="s">
        <v>17</v>
      </c>
      <c r="I29" s="10"/>
      <c r="J29" s="11"/>
      <c r="K29" s="11">
        <f>SUMIFS('Nov - registro gastos'!$D$3:$D$300,'Nov - registro gastos'!$E$3:$E$300,Nov!$H$27,'Nov - registro gastos'!$F$3:$F$300,Nov!H29)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SUMIFS('Nov - registro gastos'!$D$3:$D$300,'Nov - registro gastos'!$E$3:$E$300,Nov!$B$27,'Nov - registro gastos'!$F$3:$F$300,Nov!B30)</f>
        <v>0</v>
      </c>
      <c r="F30" s="12">
        <f t="shared" si="2"/>
        <v>0</v>
      </c>
      <c r="H30" s="9" t="s">
        <v>16</v>
      </c>
      <c r="I30" s="10"/>
      <c r="J30" s="11"/>
      <c r="K30" s="11">
        <f>SUMIFS('Nov - registro gastos'!$D$3:$D$300,'Nov - registro gastos'!$E$3:$E$300,Nov!$H$27,'Nov - registro gastos'!$F$3:$F$300,Nov!H30)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SUMIFS('Nov - registro gastos'!$D$3:$D$300,'Nov - registro gastos'!$E$3:$E$300,Nov!$B$27,'Nov - registro gastos'!$F$3:$F$300,Nov!B31)</f>
        <v>0</v>
      </c>
      <c r="F31" s="12">
        <f t="shared" si="2"/>
        <v>0</v>
      </c>
      <c r="H31" s="9"/>
      <c r="I31" s="10"/>
      <c r="J31" s="11"/>
      <c r="K31" s="11">
        <f>SUMIFS('Nov - registro gastos'!$D$3:$D$300,'Nov - registro gastos'!$E$3:$E$300,Nov!$H$27,'Nov - registro gastos'!$F$3:$F$300,Nov!H31)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SUMIFS('Nov - registro gastos'!$D$3:$D$300,'Nov - registro gastos'!$E$3:$E$300,Nov!$B$27,'Nov - registro gastos'!$F$3:$F$300,Nov!B32)</f>
        <v>0</v>
      </c>
      <c r="F32" s="12">
        <f t="shared" si="2"/>
        <v>0</v>
      </c>
      <c r="H32" s="9"/>
      <c r="I32" s="10"/>
      <c r="J32" s="11"/>
      <c r="K32" s="11">
        <f>SUMIFS('Nov - registro gastos'!$D$3:$D$300,'Nov - registro gastos'!$E$3:$E$300,Nov!$H$27,'Nov - registro gastos'!$F$3:$F$300,Nov!H32)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SUMIFS('Nov - registro gastos'!$D$3:$D$300,'Nov - registro gastos'!$E$3:$E$300,Nov!$B$27,'Nov - registro gastos'!$F$3:$F$300,Nov!B33)</f>
        <v>0</v>
      </c>
      <c r="F33" s="12">
        <f t="shared" si="2"/>
        <v>0</v>
      </c>
      <c r="H33" s="9"/>
      <c r="I33" s="10"/>
      <c r="J33" s="11"/>
      <c r="K33" s="11">
        <f>SUMIFS('Nov - registro gastos'!$D$3:$D$300,'Nov - registro gastos'!$E$3:$E$300,Nov!$H$27,'Nov - registro gastos'!$F$3:$F$300,Nov!H33)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SUMIFS('Nov - registro gastos'!$D$3:$D$300,'Nov - registro gastos'!$E$3:$E$300,Nov!$B$27,'Nov - registro gastos'!$F$3:$F$300,Nov!B34)</f>
        <v>0</v>
      </c>
      <c r="F34" s="12">
        <f t="shared" si="2"/>
        <v>0</v>
      </c>
      <c r="H34" s="9"/>
      <c r="I34" s="10"/>
      <c r="J34" s="11"/>
      <c r="K34" s="11">
        <f>SUMIFS('Nov - registro gastos'!$D$3:$D$300,'Nov - registro gastos'!$E$3:$E$300,Nov!$H$27,'Nov - registro gastos'!$F$3:$F$300,Nov!H34)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SUMIFS('Nov - registro gastos'!$D$3:$D$300,'Nov - registro gastos'!$E$3:$E$300,Nov!$B$27,'Nov - registro gastos'!$F$3:$F$300,Nov!B35)</f>
        <v>0</v>
      </c>
      <c r="F35" s="15">
        <f t="shared" si="2"/>
        <v>0</v>
      </c>
      <c r="H35" s="13"/>
      <c r="I35" s="40"/>
      <c r="J35" s="14"/>
      <c r="K35" s="14">
        <f>SUMIFS('Nov - registro gastos'!$D$3:$D$300,'Nov - registro gastos'!$E$3:$E$300,Nov!$H$27,'Nov - registro gastos'!$F$3:$F$300,Nov!H35)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SUMIFS('Nov - registro gastos'!$D$3:$D$300,'Nov - registro gastos'!$E$3:$E$300,Nov!$B$38,'Nov - registro gastos'!$F$3:$F$300,Nov!B39)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SUMIFS('Nov - registro gastos'!$D$3:$D$300,'Nov - registro gastos'!$E$3:$E$300,Nov!$H$38,'Nov - registro gastos'!$F$3:$F$300,Nov!H39)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SUMIFS('Nov - registro gastos'!$D$3:$D$300,'Nov - registro gastos'!$E$3:$E$300,Nov!$B$38,'Nov - registro gastos'!$F$3:$F$300,Nov!B40)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SUMIFS('Nov - registro gastos'!$D$3:$D$300,'Nov - registro gastos'!$E$3:$E$300,Nov!$H$38,'Nov - registro gastos'!$F$3:$F$300,Nov!H40)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SUMIFS('Nov - registro gastos'!$D$3:$D$300,'Nov - registro gastos'!$E$3:$E$300,Nov!$B$38,'Nov - registro gastos'!$F$3:$F$300,Nov!B41)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SUMIFS('Nov - registro gastos'!$D$3:$D$300,'Nov - registro gastos'!$E$3:$E$300,Nov!$H$38,'Nov - registro gastos'!$F$3:$F$300,Nov!H41)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SUMIFS('Nov - registro gastos'!$D$3:$D$300,'Nov - registro gastos'!$E$3:$E$300,Nov!$B$38,'Nov - registro gastos'!$F$3:$F$300,Nov!B42)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SUMIFS('Nov - registro gastos'!$D$3:$D$300,'Nov - registro gastos'!$E$3:$E$300,Nov!$H$38,'Nov - registro gastos'!$F$3:$F$300,Nov!H42)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SUMIFS('Nov - registro gastos'!$D$3:$D$300,'Nov - registro gastos'!$E$3:$E$300,Nov!$B$38,'Nov - registro gastos'!$F$3:$F$300,Nov!B43)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SUMIFS('Nov - registro gastos'!$D$3:$D$300,'Nov - registro gastos'!$E$3:$E$300,Nov!$H$38,'Nov - registro gastos'!$F$3:$F$300,Nov!H43)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SUMIFS('Nov - registro gastos'!$D$3:$D$300,'Nov - registro gastos'!$E$3:$E$300,Nov!$B$38,'Nov - registro gastos'!$F$3:$F$300,Nov!B44)</f>
        <v>0</v>
      </c>
      <c r="F44" s="12">
        <f t="shared" si="4"/>
        <v>0</v>
      </c>
      <c r="G44" s="20"/>
      <c r="H44" s="30"/>
      <c r="I44" s="10"/>
      <c r="J44" s="31"/>
      <c r="K44" s="31">
        <f>SUMIFS('Nov - registro gastos'!$D$3:$D$300,'Nov - registro gastos'!$E$3:$E$300,Nov!$H$38,'Nov - registro gastos'!$F$3:$F$300,Nov!H44)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SUMIFS('Nov - registro gastos'!$D$3:$D$300,'Nov - registro gastos'!$E$3:$E$300,Nov!$B$38,'Nov - registro gastos'!$F$3:$F$300,Nov!B45)</f>
        <v>0</v>
      </c>
      <c r="F45" s="15">
        <f t="shared" si="4"/>
        <v>0</v>
      </c>
      <c r="G45" s="20"/>
      <c r="H45" s="13"/>
      <c r="I45" s="40"/>
      <c r="J45" s="14"/>
      <c r="K45" s="14">
        <f>SUMIFS('Nov - registro gastos'!$D$3:$D$300,'Nov - registro gastos'!$E$3:$E$300,Nov!$H$38,'Nov - registro gastos'!$F$3:$F$300,Nov!H45)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SUMIFS('Nov - registro gastos'!$D$3:$D$300,'Nov - registro gastos'!$E$3:$E$300,Nov!$B$48,'Nov - registro gastos'!$F$3:$F$300,Nov!B49)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SUMIFS('Nov - registro gastos'!$D$3:$D$300,'Nov - registro gastos'!$E$3:$E$300,Nov!$H$48,'Nov - registro gastos'!$F$3:$F$300,Nov!H49)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SUMIFS('Nov - registro gastos'!$D$3:$D$300,'Nov - registro gastos'!$E$3:$E$300,Nov!$B$48,'Nov - registro gastos'!$F$3:$F$300,Nov!B50)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SUMIFS('Nov - registro gastos'!$D$3:$D$300,'Nov - registro gastos'!$E$3:$E$300,Nov!$H$48,'Nov - registro gastos'!$F$3:$F$300,Nov!H50)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SUMIFS('Nov - registro gastos'!$D$3:$D$300,'Nov - registro gastos'!$E$3:$E$300,Nov!$B$48,'Nov - registro gastos'!$F$3:$F$300,Nov!B51)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SUMIFS('Nov - registro gastos'!$D$3:$D$300,'Nov - registro gastos'!$E$3:$E$300,Nov!$H$48,'Nov - registro gastos'!$F$3:$F$300,Nov!H51)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SUMIFS('Nov - registro gastos'!$D$3:$D$300,'Nov - registro gastos'!$E$3:$E$300,Nov!$B$48,'Nov - registro gastos'!$F$3:$F$300,Nov!B52)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SUMIFS('Nov - registro gastos'!$D$3:$D$300,'Nov - registro gastos'!$E$3:$E$300,Nov!$H$48,'Nov - registro gastos'!$F$3:$F$300,Nov!H52)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SUMIFS('Nov - registro gastos'!$D$3:$D$300,'Nov - registro gastos'!$E$3:$E$300,Nov!$B$48,'Nov - registro gastos'!$F$3:$F$300,Nov!B53)</f>
        <v>0</v>
      </c>
      <c r="F53" s="12">
        <f t="shared" si="6"/>
        <v>0</v>
      </c>
      <c r="G53" s="20"/>
      <c r="H53" s="9"/>
      <c r="I53" s="10"/>
      <c r="J53" s="11"/>
      <c r="K53" s="11">
        <f>SUMIFS('Nov - registro gastos'!$D$3:$D$300,'Nov - registro gastos'!$E$3:$E$300,Nov!$H$48,'Nov - registro gastos'!$F$3:$F$300,Nov!H53)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SUMIFS('Nov - registro gastos'!$D$3:$D$300,'Nov - registro gastos'!$E$3:$E$300,Nov!$B$48,'Nov - registro gastos'!$F$3:$F$300,Nov!B54)</f>
        <v>0</v>
      </c>
      <c r="F54" s="15">
        <f t="shared" si="6"/>
        <v>0</v>
      </c>
      <c r="G54" s="20"/>
      <c r="H54" s="13"/>
      <c r="I54" s="40"/>
      <c r="J54" s="14"/>
      <c r="K54" s="14">
        <f>SUMIFS('Nov - registro gastos'!$D$3:$D$300,'Nov - registro gastos'!$E$3:$E$300,Nov!$H$48,'Nov - registro gastos'!$F$3:$F$300,Nov!H54)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SUMIFS('Nov - registro gastos'!$D$3:$D$300,'Nov - registro gastos'!$E$3:$E$300,Nov!$B$57,'Nov - registro gastos'!$F$3:$F$300,Nov!B58)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SUMIFS('Nov - registro gastos'!$D$3:$D$300,'Nov - registro gastos'!$E$3:$E$300,Nov!$H$57,'Nov - registro gastos'!$F$3:$F$300,Nov!H58)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SUMIFS('Nov - registro gastos'!$D$3:$D$300,'Nov - registro gastos'!$E$3:$E$300,Nov!$B$57,'Nov - registro gastos'!$F$3:$F$300,Nov!B59)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SUMIFS('Nov - registro gastos'!$D$3:$D$300,'Nov - registro gastos'!$E$3:$E$300,Nov!$H$57,'Nov - registro gastos'!$F$3:$F$300,Nov!H59)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SUMIFS('Nov - registro gastos'!$D$3:$D$300,'Nov - registro gastos'!$E$3:$E$300,Nov!$B$57,'Nov - registro gastos'!$F$3:$F$300,Nov!B60)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SUMIFS('Nov - registro gastos'!$D$3:$D$300,'Nov - registro gastos'!$E$3:$E$300,Nov!$H$57,'Nov - registro gastos'!$F$3:$F$300,Nov!H60)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SUMIFS('Nov - registro gastos'!$D$3:$D$300,'Nov - registro gastos'!$E$3:$E$300,Nov!$B$57,'Nov - registro gastos'!$F$3:$F$300,Nov!B61)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SUMIFS('Nov - registro gastos'!$D$3:$D$300,'Nov - registro gastos'!$E$3:$E$300,Nov!$H$57,'Nov - registro gastos'!$F$3:$F$300,Nov!H61)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SUMIFS('Nov - registro gastos'!$D$3:$D$300,'Nov - registro gastos'!$E$3:$E$300,Nov!$B$57,'Nov - registro gastos'!$F$3:$F$300,Nov!B62)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SUMIFS('Nov - registro gastos'!$D$3:$D$300,'Nov - registro gastos'!$E$3:$E$300,Nov!$H$57,'Nov - registro gastos'!$F$3:$F$300,Nov!H62)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SUMIFS('Nov - registro gastos'!$D$3:$D$300,'Nov - registro gastos'!$E$3:$E$300,Nov!$B$57,'Nov - registro gastos'!$F$3:$F$300,Nov!B63)</f>
        <v>0</v>
      </c>
      <c r="F63" s="12">
        <f t="shared" si="9"/>
        <v>0</v>
      </c>
      <c r="G63" s="20"/>
      <c r="H63" s="30"/>
      <c r="I63" s="10"/>
      <c r="J63" s="31"/>
      <c r="K63" s="31">
        <f>SUMIFS('Nov - registro gastos'!$D$3:$D$300,'Nov - registro gastos'!$E$3:$E$300,Nov!$H$57,'Nov - registro gastos'!$F$3:$F$300,Nov!H63)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SUMIFS('Nov - registro gastos'!$D$3:$D$300,'Nov - registro gastos'!$E$3:$E$300,Nov!$B$57,'Nov - registro gastos'!$F$3:$F$300,Nov!B64)</f>
        <v>0</v>
      </c>
      <c r="F64" s="15">
        <f t="shared" si="9"/>
        <v>0</v>
      </c>
      <c r="G64" s="20"/>
      <c r="H64" s="13"/>
      <c r="I64" s="40"/>
      <c r="J64" s="14"/>
      <c r="K64" s="14">
        <f>SUMIFS('Nov - registro gastos'!$D$3:$D$300,'Nov - registro gastos'!$E$3:$E$300,Nov!$H$57,'Nov - registro gastos'!$F$3:$F$300,Nov!H64)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SUMIFS('Nov - registro gastos'!$D$3:$D$300,'Nov - registro gastos'!$E$3:$E$300,Nov!$B$67,'Nov - registro gastos'!$F$3:$F$300,Nov!B68)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SUMIFS('Nov - registro gastos'!$D$3:$D$300,'Nov - registro gastos'!$E$3:$E$300,Nov!$H$67,'Nov - registro gastos'!$F$3:$F$300,Nov!H68)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SUMIFS('Nov - registro gastos'!$D$3:$D$300,'Nov - registro gastos'!$E$3:$E$300,Nov!$B$67,'Nov - registro gastos'!$F$3:$F$300,Nov!B69)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SUMIFS('Nov - registro gastos'!$D$3:$D$300,'Nov - registro gastos'!$E$3:$E$300,Nov!$H$67,'Nov - registro gastos'!$F$3:$F$300,Nov!H69)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SUMIFS('Nov - registro gastos'!$D$3:$D$300,'Nov - registro gastos'!$E$3:$E$300,Nov!$B$67,'Nov - registro gastos'!$F$3:$F$300,Nov!B70)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SUMIFS('Nov - registro gastos'!$D$3:$D$300,'Nov - registro gastos'!$E$3:$E$300,Nov!$H$67,'Nov - registro gastos'!$F$3:$F$300,Nov!H70)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SUMIFS('Nov - registro gastos'!$D$3:$D$300,'Nov - registro gastos'!$E$3:$E$300,Nov!$B$67,'Nov - registro gastos'!$F$3:$F$300,Nov!B71)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SUMIFS('Nov - registro gastos'!$D$3:$D$300,'Nov - registro gastos'!$E$3:$E$300,Nov!$H$67,'Nov - registro gastos'!$F$3:$F$300,Nov!H71)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SUMIFS('Nov - registro gastos'!$D$3:$D$300,'Nov - registro gastos'!$E$3:$E$300,Nov!$B$67,'Nov - registro gastos'!$F$3:$F$300,Nov!B72)</f>
        <v>0</v>
      </c>
      <c r="F72" s="12">
        <f t="shared" si="10"/>
        <v>0</v>
      </c>
      <c r="G72" s="20"/>
      <c r="H72" s="9"/>
      <c r="I72" s="10"/>
      <c r="J72" s="11"/>
      <c r="K72" s="11">
        <f>SUMIFS('Nov - registro gastos'!$D$3:$D$300,'Nov - registro gastos'!$E$3:$E$300,Nov!$H$67,'Nov - registro gastos'!$F$3:$F$300,Nov!H72)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SUMIFS('Nov - registro gastos'!$D$3:$D$300,'Nov - registro gastos'!$E$3:$E$300,Nov!$B$67,'Nov - registro gastos'!$F$3:$F$300,Nov!B73)</f>
        <v>0</v>
      </c>
      <c r="F73" s="12">
        <f t="shared" si="10"/>
        <v>0</v>
      </c>
      <c r="G73" s="20"/>
      <c r="H73" s="9"/>
      <c r="I73" s="10"/>
      <c r="J73" s="11"/>
      <c r="K73" s="11">
        <f>SUMIFS('Nov - registro gastos'!$D$3:$D$300,'Nov - registro gastos'!$E$3:$E$300,Nov!$H$67,'Nov - registro gastos'!$F$3:$F$300,Nov!H73)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SUMIFS('Nov - registro gastos'!$D$3:$D$300,'Nov - registro gastos'!$E$3:$E$300,Nov!$B$67,'Nov - registro gastos'!$F$3:$F$300,Nov!B74)</f>
        <v>0</v>
      </c>
      <c r="F74" s="12">
        <f t="shared" si="10"/>
        <v>0</v>
      </c>
      <c r="G74" s="20"/>
      <c r="H74" s="9"/>
      <c r="I74" s="10"/>
      <c r="J74" s="11"/>
      <c r="K74" s="11">
        <f>SUMIFS('Nov - registro gastos'!$D$3:$D$300,'Nov - registro gastos'!$E$3:$E$300,Nov!$H$67,'Nov - registro gastos'!$F$3:$F$300,Nov!H74)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SUMIFS('Nov - registro gastos'!$D$3:$D$300,'Nov - registro gastos'!$E$3:$E$300,Nov!$B$67,'Nov - registro gastos'!$F$3:$F$300,Nov!B75)</f>
        <v>0</v>
      </c>
      <c r="F75" s="12">
        <f t="shared" si="10"/>
        <v>0</v>
      </c>
      <c r="G75" s="20"/>
      <c r="H75" s="30"/>
      <c r="I75" s="10"/>
      <c r="J75" s="31"/>
      <c r="K75" s="31">
        <f>SUMIFS('Nov - registro gastos'!$D$3:$D$300,'Nov - registro gastos'!$E$3:$E$300,Nov!$H$67,'Nov - registro gastos'!$F$3:$F$300,Nov!H75)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SUMIFS('Nov - registro gastos'!$D$3:$D$300,'Nov - registro gastos'!$E$3:$E$300,Nov!$B$67,'Nov - registro gastos'!$F$3:$F$300,Nov!B76)</f>
        <v>0</v>
      </c>
      <c r="F76" s="12">
        <f t="shared" si="10"/>
        <v>0</v>
      </c>
      <c r="G76" s="20"/>
      <c r="H76" s="30"/>
      <c r="I76" s="10"/>
      <c r="J76" s="31"/>
      <c r="K76" s="31">
        <f>SUMIFS('Nov - registro gastos'!$D$3:$D$300,'Nov - registro gastos'!$E$3:$E$300,Nov!$H$67,'Nov - registro gastos'!$F$3:$F$300,Nov!H76)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SUMIFS('Nov - registro gastos'!$D$3:$D$300,'Nov - registro gastos'!$E$3:$E$300,Nov!$B$67,'Nov - registro gastos'!$F$3:$F$300,Nov!B77)</f>
        <v>0</v>
      </c>
      <c r="F77" s="12">
        <f t="shared" si="10"/>
        <v>0</v>
      </c>
      <c r="G77" s="20"/>
      <c r="H77" s="30"/>
      <c r="I77" s="10"/>
      <c r="J77" s="31"/>
      <c r="K77" s="31">
        <f>SUMIFS('Nov - registro gastos'!$D$3:$D$300,'Nov - registro gastos'!$E$3:$E$300,Nov!$H$67,'Nov - registro gastos'!$F$3:$F$300,Nov!H77)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SUMIFS('Nov - registro gastos'!$D$3:$D$300,'Nov - registro gastos'!$E$3:$E$300,Nov!$B$67,'Nov - registro gastos'!$F$3:$F$300,Nov!B78)</f>
        <v>0</v>
      </c>
      <c r="F78" s="15">
        <f t="shared" si="10"/>
        <v>0</v>
      </c>
      <c r="G78" s="20"/>
      <c r="H78" s="13"/>
      <c r="I78" s="40"/>
      <c r="J78" s="14"/>
      <c r="K78" s="14">
        <f>SUMIFS('Nov - registro gastos'!$D$3:$D$300,'Nov - registro gastos'!$E$3:$E$300,Nov!$H$67,'Nov - registro gastos'!$F$3:$F$300,Nov!H78)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SUMIFS('Nov - registro gastos'!$D$3:$D$300,'Nov - registro gastos'!$E$3:$E$300,Nov!$B$81,'Nov - registro gastos'!$F$3:$F$300,Nov!B82)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SUMIFS('Nov - registro gastos'!$D$3:$D$300,'Nov - registro gastos'!$E$3:$E$300,Nov!$H$81,'Nov - registro gastos'!$F$3:$F$300,Nov!H82)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SUMIFS('Nov - registro gastos'!$D$3:$D$300,'Nov - registro gastos'!$E$3:$E$300,Nov!$B$81,'Nov - registro gastos'!$F$3:$F$300,Nov!B83)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SUMIFS('Nov - registro gastos'!$D$3:$D$300,'Nov - registro gastos'!$E$3:$E$300,Nov!$H$81,'Nov - registro gastos'!$F$3:$F$300,Nov!H83)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SUMIFS('Nov - registro gastos'!$D$3:$D$300,'Nov - registro gastos'!$E$3:$E$300,Nov!$B$81,'Nov - registro gastos'!$F$3:$F$300,Nov!B84)</f>
        <v>0</v>
      </c>
      <c r="F84" s="12">
        <f t="shared" si="12"/>
        <v>0</v>
      </c>
      <c r="G84" s="20"/>
      <c r="H84" s="9"/>
      <c r="I84" s="10"/>
      <c r="J84" s="11"/>
      <c r="K84" s="11">
        <f>SUMIFS('Nov - registro gastos'!$D$3:$D$300,'Nov - registro gastos'!$E$3:$E$300,Nov!$H$81,'Nov - registro gastos'!$F$3:$F$300,Nov!H84)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SUMIFS('Nov - registro gastos'!$D$3:$D$300,'Nov - registro gastos'!$E$3:$E$300,Nov!$B$81,'Nov - registro gastos'!$F$3:$F$300,Nov!B85)</f>
        <v>0</v>
      </c>
      <c r="F85" s="12">
        <f>D85-E85</f>
        <v>0</v>
      </c>
      <c r="G85" s="20"/>
      <c r="H85" s="9"/>
      <c r="I85" s="10"/>
      <c r="J85" s="11"/>
      <c r="K85" s="11">
        <f>SUMIFS('Nov - registro gastos'!$D$3:$D$300,'Nov - registro gastos'!$E$3:$E$300,Nov!$H$81,'Nov - registro gastos'!$F$3:$F$300,Nov!H85)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SUMIFS('Nov - registro gastos'!$D$3:$D$300,'Nov - registro gastos'!$E$3:$E$300,Nov!$B$81,'Nov - registro gastos'!$F$3:$F$300,Nov!B86)</f>
        <v>0</v>
      </c>
      <c r="F86" s="12">
        <f t="shared" si="12"/>
        <v>0</v>
      </c>
      <c r="G86" s="20"/>
      <c r="H86" s="9"/>
      <c r="I86" s="10"/>
      <c r="J86" s="11"/>
      <c r="K86" s="11">
        <f>SUMIFS('Nov - registro gastos'!$D$3:$D$300,'Nov - registro gastos'!$E$3:$E$300,Nov!$H$81,'Nov - registro gastos'!$F$3:$F$300,Nov!H86)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SUMIFS('Nov - registro gastos'!$D$3:$D$300,'Nov - registro gastos'!$E$3:$E$300,Nov!$B$81,'Nov - registro gastos'!$F$3:$F$300,Nov!B87)</f>
        <v>0</v>
      </c>
      <c r="F87" s="15">
        <f t="shared" si="12"/>
        <v>0</v>
      </c>
      <c r="G87" s="20"/>
      <c r="H87" s="13"/>
      <c r="I87" s="40"/>
      <c r="J87" s="14"/>
      <c r="K87" s="14">
        <f>SUMIFS('Nov - registro gastos'!$D$3:$D$300,'Nov - registro gastos'!$E$3:$E$300,Nov!$H$81,'Nov - registro gastos'!$F$3:$F$300,Nov!H87)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SUMIFS('Nov - registro gastos'!$D$3:$D$300,'Nov - registro gastos'!$E$3:$E$300,Nov!$B$90,'Nov - registro gastos'!$F$3:$F$300,Nov!B91)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SUMIFS('Nov - registro gastos'!$D$3:$D$300,'Nov - registro gastos'!$E$3:$E$300,Nov!$H$90,'Nov - registro gastos'!$F$3:$F$300,Nov!H91)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SUMIFS('Nov - registro gastos'!$D$3:$D$300,'Nov - registro gastos'!$E$3:$E$300,Nov!$B$90,'Nov - registro gastos'!$F$3:$F$300,Nov!B92)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SUMIFS('Nov - registro gastos'!$D$3:$D$300,'Nov - registro gastos'!$E$3:$E$300,Nov!$H$90,'Nov - registro gastos'!$F$3:$F$300,Nov!H92)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SUMIFS('Nov - registro gastos'!$D$3:$D$300,'Nov - registro gastos'!$E$3:$E$300,Nov!$B$90,'Nov - registro gastos'!$F$3:$F$300,Nov!B93)</f>
        <v>0</v>
      </c>
      <c r="F93" s="12">
        <f t="shared" si="15"/>
        <v>0</v>
      </c>
      <c r="G93" s="20"/>
      <c r="H93" s="9"/>
      <c r="I93" s="10"/>
      <c r="J93" s="11"/>
      <c r="K93" s="11">
        <f>SUMIFS('Nov - registro gastos'!$D$3:$D$300,'Nov - registro gastos'!$E$3:$E$300,Nov!$H$90,'Nov - registro gastos'!$F$3:$F$300,Nov!H93)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SUMIFS('Nov - registro gastos'!$D$3:$D$300,'Nov - registro gastos'!$E$3:$E$300,Nov!$B$90,'Nov - registro gastos'!$F$3:$F$300,Nov!B94)</f>
        <v>0</v>
      </c>
      <c r="F94" s="12">
        <f t="shared" si="15"/>
        <v>0</v>
      </c>
      <c r="G94" s="20"/>
      <c r="H94" s="9"/>
      <c r="I94" s="10"/>
      <c r="J94" s="11"/>
      <c r="K94" s="11">
        <f>SUMIFS('Nov - registro gastos'!$D$3:$D$300,'Nov - registro gastos'!$E$3:$E$300,Nov!$H$90,'Nov - registro gastos'!$F$3:$F$300,Nov!H94)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SUMIFS('Nov - registro gastos'!$D$3:$D$300,'Nov - registro gastos'!$E$3:$E$300,Nov!$B$90,'Nov - registro gastos'!$F$3:$F$300,Nov!B95)</f>
        <v>0</v>
      </c>
      <c r="F95" s="12">
        <f>D95-E95</f>
        <v>0</v>
      </c>
      <c r="G95" s="20"/>
      <c r="H95" s="9"/>
      <c r="I95" s="10"/>
      <c r="J95" s="11"/>
      <c r="K95" s="11">
        <f>SUMIFS('Nov - registro gastos'!$D$3:$D$300,'Nov - registro gastos'!$E$3:$E$300,Nov!$H$90,'Nov - registro gastos'!$F$3:$F$300,Nov!H95)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SUMIFS('Nov - registro gastos'!$D$3:$D$300,'Nov - registro gastos'!$E$3:$E$300,Nov!$B$90,'Nov - registro gastos'!$F$3:$F$300,Nov!B96)</f>
        <v>0</v>
      </c>
      <c r="F96" s="12">
        <f t="shared" si="15"/>
        <v>0</v>
      </c>
      <c r="G96" s="20"/>
      <c r="H96" s="9"/>
      <c r="I96" s="10"/>
      <c r="J96" s="11"/>
      <c r="K96" s="11">
        <f>SUMIFS('Nov - registro gastos'!$D$3:$D$300,'Nov - registro gastos'!$E$3:$E$300,Nov!$H$90,'Nov - registro gastos'!$F$3:$F$300,Nov!H96)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SUMIFS('Nov - registro gastos'!$D$3:$D$300,'Nov - registro gastos'!$E$3:$E$300,Nov!$B$90,'Nov - registro gastos'!$F$3:$F$300,Nov!B97)</f>
        <v>0</v>
      </c>
      <c r="F97" s="15">
        <f t="shared" si="15"/>
        <v>0</v>
      </c>
      <c r="G97" s="20"/>
      <c r="H97" s="13"/>
      <c r="I97" s="40"/>
      <c r="J97" s="14"/>
      <c r="K97" s="14">
        <f>SUMIFS('Nov - registro gastos'!$D$3:$D$300,'Nov - registro gastos'!$E$3:$E$300,Nov!$H$90,'Nov - registro gastos'!$F$3:$F$300,Nov!H97)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SUMIFS('Nov - registro gastos'!$D$3:$D$300,'Nov - registro gastos'!$E$3:$E$300,Nov!$B$100,'Nov - registro gastos'!$F$3:$F$300,Nov!B101)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SUMIFS('Nov - registro gastos'!$D$3:$D$300,'Nov - registro gastos'!$E$3:$E$300,Nov!$H$100,'Nov - registro gastos'!$F$3:$F$300,Nov!H101)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SUMIFS('Nov - registro gastos'!$D$3:$D$300,'Nov - registro gastos'!$E$3:$E$300,Nov!$B$100,'Nov - registro gastos'!$F$3:$F$300,Nov!B102)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SUMIFS('Nov - registro gastos'!$D$3:$D$300,'Nov - registro gastos'!$E$3:$E$300,Nov!$H$100,'Nov - registro gastos'!$F$3:$F$300,Nov!H102)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SUMIFS('Nov - registro gastos'!$D$3:$D$300,'Nov - registro gastos'!$E$3:$E$300,Nov!$B$100,'Nov - registro gastos'!$F$3:$F$300,Nov!B103)</f>
        <v>0</v>
      </c>
      <c r="F103" s="12">
        <f t="shared" si="16"/>
        <v>0</v>
      </c>
      <c r="G103" s="20"/>
      <c r="H103" s="9"/>
      <c r="I103" s="10"/>
      <c r="J103" s="11"/>
      <c r="K103" s="11">
        <f>SUMIFS('Nov - registro gastos'!$D$3:$D$300,'Nov - registro gastos'!$E$3:$E$300,Nov!$H$100,'Nov - registro gastos'!$F$3:$F$300,Nov!H103)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SUMIFS('Nov - registro gastos'!$D$3:$D$300,'Nov - registro gastos'!$E$3:$E$300,Nov!$B$100,'Nov - registro gastos'!$F$3:$F$300,Nov!B104)</f>
        <v>0</v>
      </c>
      <c r="F104" s="12">
        <f t="shared" si="16"/>
        <v>0</v>
      </c>
      <c r="G104" s="20"/>
      <c r="H104" s="9"/>
      <c r="I104" s="10"/>
      <c r="J104" s="11"/>
      <c r="K104" s="11">
        <f>SUMIFS('Nov - registro gastos'!$D$3:$D$300,'Nov - registro gastos'!$E$3:$E$300,Nov!$H$100,'Nov - registro gastos'!$F$3:$F$300,Nov!H104)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SUMIFS('Nov - registro gastos'!$D$3:$D$300,'Nov - registro gastos'!$E$3:$E$300,Nov!$B$100,'Nov - registro gastos'!$F$3:$F$300,Nov!B105)</f>
        <v>0</v>
      </c>
      <c r="F105" s="12">
        <f t="shared" si="16"/>
        <v>0</v>
      </c>
      <c r="G105" s="20"/>
      <c r="H105" s="9"/>
      <c r="I105" s="10"/>
      <c r="J105" s="11"/>
      <c r="K105" s="11">
        <f>SUMIFS('Nov - registro gastos'!$D$3:$D$300,'Nov - registro gastos'!$E$3:$E$300,Nov!$H$100,'Nov - registro gastos'!$F$3:$F$300,Nov!H105)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SUMIFS('Nov - registro gastos'!$D$3:$D$300,'Nov - registro gastos'!$E$3:$E$300,Nov!$B$100,'Nov - registro gastos'!$F$3:$F$300,Nov!B106)</f>
        <v>0</v>
      </c>
      <c r="F106" s="12">
        <f t="shared" si="16"/>
        <v>0</v>
      </c>
      <c r="G106" s="20"/>
      <c r="H106" s="9"/>
      <c r="I106" s="10"/>
      <c r="J106" s="11"/>
      <c r="K106" s="11">
        <f>SUMIFS('Nov - registro gastos'!$D$3:$D$300,'Nov - registro gastos'!$E$3:$E$300,Nov!$H$100,'Nov - registro gastos'!$F$3:$F$300,Nov!H106)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SUMIFS('Nov - registro gastos'!$D$3:$D$300,'Nov - registro gastos'!$E$3:$E$300,Nov!$B$100,'Nov - registro gastos'!$F$3:$F$300,Nov!B107)</f>
        <v>0</v>
      </c>
      <c r="F107" s="15">
        <f>D107-E107</f>
        <v>0</v>
      </c>
      <c r="G107" s="20"/>
      <c r="H107" s="13"/>
      <c r="I107" s="40"/>
      <c r="J107" s="14"/>
      <c r="K107" s="14">
        <f>SUMIFS('Nov - registro gastos'!$D$3:$D$300,'Nov - registro gastos'!$E$3:$E$300,Nov!$H$100,'Nov - registro gastos'!$F$3:$F$300,Nov!H107)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C9:D9"/>
    <mergeCell ref="C10:D10"/>
    <mergeCell ref="B4:B10"/>
    <mergeCell ref="C4:D4"/>
    <mergeCell ref="C6:D6"/>
    <mergeCell ref="C5:D5"/>
    <mergeCell ref="C7:D7"/>
    <mergeCell ref="C8:D8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8 K12:K107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6738CA6-54E4-F140-928E-95420BA73003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s" error="Selecciona SI o NO para crear un fondo_x000a_" xr:uid="{D58A59D9-13A7-FC4E-A8F9-EE4F40075603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4712-A272-C045-BC1F-E57D6811BE07}">
  <sheetPr codeName="Hoja13">
    <tabColor rgb="FFFD9F00"/>
  </sheetPr>
  <dimension ref="B2:AR312"/>
  <sheetViews>
    <sheetView showGridLines="0" topLeftCell="B1" zoomScale="120" zoomScaleNormal="120" workbookViewId="0">
      <selection activeCell="D3" sqref="D3:F3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2" width="11" customWidth="1"/>
    <col min="13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hidden="1" customWidth="1"/>
    <col min="45" max="45" width="0" hidden="1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Nov!$B$12</f>
        <v>NECESIDADES BÁSICAS</v>
      </c>
      <c r="AO4" s="84" t="str">
        <f>Nov!B13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Nov!$B$12</f>
        <v>NECESIDADES BÁSICAS</v>
      </c>
      <c r="AO5" s="86" t="str">
        <f>Nov!B14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Nov!$B$12</f>
        <v>NECESIDADES BÁSICAS</v>
      </c>
      <c r="AO6" s="86" t="str">
        <f>Nov!B15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Nov!$B$12</f>
        <v>NECESIDADES BÁSICAS</v>
      </c>
      <c r="AO7" s="86" t="str">
        <f>Nov!B16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Nov!$B$12</f>
        <v>NECESIDADES BÁSICAS</v>
      </c>
      <c r="AO8" s="86" t="str">
        <f>Nov!B17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Nov!$B$12</f>
        <v>NECESIDADES BÁSICAS</v>
      </c>
      <c r="AO9" s="86" t="str">
        <f>Nov!B18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Nov!$B$12</f>
        <v>NECESIDADES BÁSICAS</v>
      </c>
      <c r="AO10" s="86" t="str">
        <f>Nov!B19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Nov!$B$12</f>
        <v>NECESIDADES BÁSICAS</v>
      </c>
      <c r="AO11" s="86" t="str">
        <f>Nov!B20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Nov!$B$12</f>
        <v>NECESIDADES BÁSICAS</v>
      </c>
      <c r="AO12" s="86" t="str">
        <f>Nov!B21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Nov!$B$12</f>
        <v>NECESIDADES BÁSICAS</v>
      </c>
      <c r="AO13" s="86">
        <f>Nov!B22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Nov!$B$12</f>
        <v>NECESIDADES BÁSICAS</v>
      </c>
      <c r="AO14" s="86">
        <f>Nov!B23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Nov!$B$12</f>
        <v>NECESIDADES BÁSICAS</v>
      </c>
      <c r="AO15" s="88">
        <f>Nov!B24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Nov!$H$12</f>
        <v>AHORROS</v>
      </c>
      <c r="AO16" s="84" t="str">
        <f>Nov!H13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Nov!$H$12</f>
        <v>AHORROS</v>
      </c>
      <c r="AO17" s="86" t="str">
        <f>Nov!H14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Nov!$H$12</f>
        <v>AHORROS</v>
      </c>
      <c r="AO18" s="86" t="str">
        <f>Nov!H15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Nov!$H$12</f>
        <v>AHORROS</v>
      </c>
      <c r="AO19" s="86" t="str">
        <f>Nov!H16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Nov!$H$12</f>
        <v>AHORROS</v>
      </c>
      <c r="AO20" s="86" t="str">
        <f>Nov!H17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Nov!$H$12</f>
        <v>AHORROS</v>
      </c>
      <c r="AO21" s="86">
        <f>Nov!H18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Nov!$H$12</f>
        <v>AHORROS</v>
      </c>
      <c r="AO22" s="86">
        <f>Nov!H19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Nov!$H$12</f>
        <v>AHORROS</v>
      </c>
      <c r="AO23" s="86">
        <f>Nov!H20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Nov!$H$12</f>
        <v>AHORROS</v>
      </c>
      <c r="AO24" s="86">
        <f>Nov!H21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Nov!$H$12</f>
        <v>AHORROS</v>
      </c>
      <c r="AO25" s="86">
        <f>Nov!H22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Nov!$H$12</f>
        <v>AHORROS</v>
      </c>
      <c r="AO26" s="86">
        <f>Nov!H23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Nov!$H$12</f>
        <v>AHORROS</v>
      </c>
      <c r="AO27" s="88">
        <f>Nov!H24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Nov!$B$27</f>
        <v>DEUDAS</v>
      </c>
      <c r="AO28" s="84" t="str">
        <f>Nov!B28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Nov!$B$27</f>
        <v>DEUDAS</v>
      </c>
      <c r="AO29" s="86" t="str">
        <f>Nov!B29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Nov!$B$27</f>
        <v>DEUDAS</v>
      </c>
      <c r="AO30" s="86" t="str">
        <f>Nov!B30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Nov!$B$27</f>
        <v>DEUDAS</v>
      </c>
      <c r="AO31" s="86" t="str">
        <f>Nov!B31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Nov!$B$27</f>
        <v>DEUDAS</v>
      </c>
      <c r="AO32" s="86" t="str">
        <f>Nov!B32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Nov!$B$27</f>
        <v>DEUDAS</v>
      </c>
      <c r="AO33" s="86">
        <f>Nov!B33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Nov!$B$27</f>
        <v>DEUDAS</v>
      </c>
      <c r="AO34" s="86">
        <f>Nov!B34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Nov!$B$27</f>
        <v>DEUDAS</v>
      </c>
      <c r="AO35" s="88">
        <f>Nov!B35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Nov!$H$27</f>
        <v>REGALOS/ CARIDAD</v>
      </c>
      <c r="AO36" s="84" t="str">
        <f>Nov!H28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Nov!$H$27</f>
        <v>REGALOS/ CARIDAD</v>
      </c>
      <c r="AO37" s="86" t="str">
        <f>Nov!H29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Nov!$H$27</f>
        <v>REGALOS/ CARIDAD</v>
      </c>
      <c r="AO38" s="86" t="str">
        <f>Nov!H30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Nov!$H$27</f>
        <v>REGALOS/ CARIDAD</v>
      </c>
      <c r="AO39" s="86">
        <f>Nov!H31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Nov!$H$27</f>
        <v>REGALOS/ CARIDAD</v>
      </c>
      <c r="AO40" s="86">
        <f>Nov!H32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Nov!$H$27</f>
        <v>REGALOS/ CARIDAD</v>
      </c>
      <c r="AO41" s="86">
        <f>Nov!H33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Nov!$H$27</f>
        <v>REGALOS/ CARIDAD</v>
      </c>
      <c r="AO42" s="86">
        <f>Nov!H34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Nov!$H$27</f>
        <v>REGALOS/ CARIDAD</v>
      </c>
      <c r="AO43" s="88">
        <f>Nov!H35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Nov!$B$38</f>
        <v>CASA</v>
      </c>
      <c r="AO44" s="84" t="str">
        <f>Nov!B39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Nov!$B$38</f>
        <v>CASA</v>
      </c>
      <c r="AO45" s="86" t="str">
        <f>Nov!B40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Nov!$B$38</f>
        <v>CASA</v>
      </c>
      <c r="AO46" s="86" t="str">
        <f>Nov!B41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Nov!$B$38</f>
        <v>CASA</v>
      </c>
      <c r="AO47" s="86" t="str">
        <f>Nov!B42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Nov!$B$38</f>
        <v>CASA</v>
      </c>
      <c r="AO48" s="86">
        <f>Nov!B43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Nov!$B$38</f>
        <v>CASA</v>
      </c>
      <c r="AO49" s="86">
        <f>Nov!B44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Nov!$B$38</f>
        <v>CASA</v>
      </c>
      <c r="AO50" s="88">
        <f>Nov!B45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Nov!$H$38</f>
        <v>TRANSPORTE</v>
      </c>
      <c r="AO51" s="84" t="str">
        <f>Nov!H39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Nov!$H$38</f>
        <v>TRANSPORTE</v>
      </c>
      <c r="AO52" s="86" t="str">
        <f>Nov!H40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Nov!$H$38</f>
        <v>TRANSPORTE</v>
      </c>
      <c r="AO53" s="86" t="str">
        <f>Nov!H41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Nov!$H$38</f>
        <v>TRANSPORTE</v>
      </c>
      <c r="AO54" s="86" t="str">
        <f>Nov!H42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Nov!$H$38</f>
        <v>TRANSPORTE</v>
      </c>
      <c r="AO55" s="86" t="str">
        <f>Nov!H43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Nov!$H$38</f>
        <v>TRANSPORTE</v>
      </c>
      <c r="AO56" s="86">
        <f>Nov!H44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Nov!$H$38</f>
        <v>TRANSPORTE</v>
      </c>
      <c r="AO57" s="88">
        <f>Nov!H45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Nov!$B$48</f>
        <v>ALIMENTACIÓN</v>
      </c>
      <c r="AO58" s="84" t="str">
        <f>Nov!B49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Nov!$B$48</f>
        <v>ALIMENTACIÓN</v>
      </c>
      <c r="AO59" s="86" t="str">
        <f>Nov!B50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Nov!$B$48</f>
        <v>ALIMENTACIÓN</v>
      </c>
      <c r="AO60" s="86">
        <f>Nov!B51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Nov!$B$48</f>
        <v>ALIMENTACIÓN</v>
      </c>
      <c r="AO61" s="86">
        <f>Nov!B52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Nov!$B$48</f>
        <v>ALIMENTACIÓN</v>
      </c>
      <c r="AO62" s="86">
        <f>Nov!B53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Nov!$B$48</f>
        <v>ALIMENTACIÓN</v>
      </c>
      <c r="AO63" s="88">
        <f>Nov!B54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Nov!$H$48</f>
        <v>SEGUROS</v>
      </c>
      <c r="AO64" s="84" t="str">
        <f>Nov!H49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Nov!$H$48</f>
        <v>SEGUROS</v>
      </c>
      <c r="AO65" s="86" t="str">
        <f>Nov!H50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Nov!$H$48</f>
        <v>SEGUROS</v>
      </c>
      <c r="AO66" s="86" t="str">
        <f>Nov!H51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Nov!$H$48</f>
        <v>SEGUROS</v>
      </c>
      <c r="AO67" s="86" t="str">
        <f>Nov!H52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Nov!$H$48</f>
        <v>SEGUROS</v>
      </c>
      <c r="AO68" s="86">
        <f>Nov!H53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Nov!$H$48</f>
        <v>SEGUROS</v>
      </c>
      <c r="AO69" s="88">
        <f>Nov!H54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Nov!$B$57</f>
        <v>SALUD</v>
      </c>
      <c r="AO70" s="84" t="str">
        <f>Nov!B58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Nov!$B$57</f>
        <v>SALUD</v>
      </c>
      <c r="AO71" s="86" t="str">
        <f>Nov!B59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Nov!$B$57</f>
        <v>SALUD</v>
      </c>
      <c r="AO72" s="86" t="str">
        <f>Nov!B60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Nov!$B$57</f>
        <v>SALUD</v>
      </c>
      <c r="AO73" s="86">
        <f>Nov!B61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Nov!$B$57</f>
        <v>SALUD</v>
      </c>
      <c r="AO74" s="86">
        <f>Nov!B62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Nov!$B$57</f>
        <v>SALUD</v>
      </c>
      <c r="AO75" s="86">
        <f>Nov!B63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Nov!$B$57</f>
        <v>SALUD</v>
      </c>
      <c r="AO76" s="88">
        <f>Nov!B64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Nov!$H$57</f>
        <v>CUIDADO PERSONAL</v>
      </c>
      <c r="AO77" s="84" t="str">
        <f>Nov!H58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Nov!$H$57</f>
        <v>CUIDADO PERSONAL</v>
      </c>
      <c r="AO78" s="86" t="str">
        <f>Nov!H59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Nov!$H$57</f>
        <v>CUIDADO PERSONAL</v>
      </c>
      <c r="AO79" s="86" t="str">
        <f>Nov!H60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Nov!$H$57</f>
        <v>CUIDADO PERSONAL</v>
      </c>
      <c r="AO80" s="86" t="str">
        <f>Nov!H61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Nov!$H$57</f>
        <v>CUIDADO PERSONAL</v>
      </c>
      <c r="AO81" s="86" t="str">
        <f>Nov!H62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Nov!$H$57</f>
        <v>CUIDADO PERSONAL</v>
      </c>
      <c r="AO82" s="86">
        <f>Nov!H63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Nov!$H$57</f>
        <v>CUIDADO PERSONAL</v>
      </c>
      <c r="AO83" s="88">
        <f>Nov!H64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Nov!$B$67</f>
        <v>ENTRETENIMIENTO</v>
      </c>
      <c r="AO84" s="84" t="str">
        <f>Nov!B68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Nov!$B$67</f>
        <v>ENTRETENIMIENTO</v>
      </c>
      <c r="AO85" s="86" t="str">
        <f>Nov!B69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Nov!$B$67</f>
        <v>ENTRETENIMIENTO</v>
      </c>
      <c r="AO86" s="86" t="str">
        <f>Nov!B70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Nov!$B$67</f>
        <v>ENTRETENIMIENTO</v>
      </c>
      <c r="AO87" s="86" t="str">
        <f>Nov!B71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Nov!$B$67</f>
        <v>ENTRETENIMIENTO</v>
      </c>
      <c r="AO88" s="86" t="str">
        <f>Nov!B72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Nov!$B$67</f>
        <v>ENTRETENIMIENTO</v>
      </c>
      <c r="AO89" s="86" t="str">
        <f>Nov!B73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Nov!$B$67</f>
        <v>ENTRETENIMIENTO</v>
      </c>
      <c r="AO90" s="86" t="str">
        <f>Nov!B74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Nov!$B$67</f>
        <v>ENTRETENIMIENTO</v>
      </c>
      <c r="AO91" s="86">
        <f>Nov!B75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Nov!$B$67</f>
        <v>ENTRETENIMIENTO</v>
      </c>
      <c r="AO92" s="86">
        <f>Nov!B76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Nov!$B$67</f>
        <v>ENTRETENIMIENTO</v>
      </c>
      <c r="AO93" s="86">
        <f>Nov!B77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Nov!$B$67</f>
        <v>ENTRETENIMIENTO</v>
      </c>
      <c r="AO94" s="88">
        <f>Nov!B78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Nov!$H$67</f>
        <v>HIJOS</v>
      </c>
      <c r="AO95" s="84" t="str">
        <f>Nov!H68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Nov!$H$67</f>
        <v>HIJOS</v>
      </c>
      <c r="AO96" s="86" t="str">
        <f>Nov!H69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Nov!$H$67</f>
        <v>HIJOS</v>
      </c>
      <c r="AO97" s="86" t="str">
        <f>Nov!H70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Nov!$H$67</f>
        <v>HIJOS</v>
      </c>
      <c r="AO98" s="86" t="str">
        <f>Nov!H71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Nov!$H$67</f>
        <v>HIJOS</v>
      </c>
      <c r="AO99" s="86">
        <f>Nov!H72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Nov!$H$67</f>
        <v>HIJOS</v>
      </c>
      <c r="AO100" s="86">
        <f>Nov!H73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Nov!$H$67</f>
        <v>HIJOS</v>
      </c>
      <c r="AO101" s="86">
        <f>Nov!H74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Nov!$H$67</f>
        <v>HIJOS</v>
      </c>
      <c r="AO102" s="86">
        <f>Nov!H75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Nov!$H$67</f>
        <v>HIJOS</v>
      </c>
      <c r="AO103" s="86">
        <f>Nov!H76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Nov!$H$67</f>
        <v>HIJOS</v>
      </c>
      <c r="AO104" s="86">
        <f>Nov!H77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Nov!$H$67</f>
        <v>HIJOS</v>
      </c>
      <c r="AO105" s="88">
        <f>Nov!H78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Nov!$B$81</f>
        <v>MASCOTA</v>
      </c>
      <c r="AO106" s="84" t="str">
        <f>Nov!B82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Nov!$B$81</f>
        <v>MASCOTA</v>
      </c>
      <c r="AO107" s="86" t="str">
        <f>Nov!B83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Nov!$B$81</f>
        <v>MASCOTA</v>
      </c>
      <c r="AO108" s="86" t="str">
        <f>Nov!B84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Nov!$B$81</f>
        <v>MASCOTA</v>
      </c>
      <c r="AO109" s="86" t="str">
        <f>Nov!B85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Nov!$B$81</f>
        <v>MASCOTA</v>
      </c>
      <c r="AO110" s="86">
        <f>Nov!B86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Nov!$B$81</f>
        <v>MASCOTA</v>
      </c>
      <c r="AO111" s="88">
        <f>Nov!B87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Nov!$H$81</f>
        <v>OTROS 1</v>
      </c>
      <c r="AO112" s="84">
        <f>Nov!H82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Nov!$H$81</f>
        <v>OTROS 1</v>
      </c>
      <c r="AO113" s="86">
        <f>Nov!H83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Nov!$H$81</f>
        <v>OTROS 1</v>
      </c>
      <c r="AO114" s="86">
        <f>Nov!H84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Nov!$H$81</f>
        <v>OTROS 1</v>
      </c>
      <c r="AO115" s="86">
        <f>Nov!H85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Nov!$H$81</f>
        <v>OTROS 1</v>
      </c>
      <c r="AO116" s="86">
        <f>Nov!H86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Nov!$H$81</f>
        <v>OTROS 1</v>
      </c>
      <c r="AO117" s="88">
        <f>Nov!H87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Nov!$B$90</f>
        <v>OTROS 2</v>
      </c>
      <c r="AO118" s="84">
        <f>Nov!B91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Nov!$B$90</f>
        <v>OTROS 2</v>
      </c>
      <c r="AO119" s="86">
        <f>Nov!B92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Nov!$B$90</f>
        <v>OTROS 2</v>
      </c>
      <c r="AO120" s="86">
        <f>Nov!B93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Nov!$B$90</f>
        <v>OTROS 2</v>
      </c>
      <c r="AO121" s="86">
        <f>Nov!B94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Nov!$B$90</f>
        <v>OTROS 2</v>
      </c>
      <c r="AO122" s="86">
        <f>Nov!B95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Nov!$B$90</f>
        <v>OTROS 2</v>
      </c>
      <c r="AO123" s="88">
        <f>Nov!B96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Nov!$H$90</f>
        <v>OTROS 3</v>
      </c>
      <c r="AO124" s="84">
        <f>Nov!H91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Nov!$H$90</f>
        <v>OTROS 3</v>
      </c>
      <c r="AO125" s="86">
        <f>Nov!H92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Nov!$H$90</f>
        <v>OTROS 3</v>
      </c>
      <c r="AO126" s="86">
        <f>Nov!H93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Nov!$H$90</f>
        <v>OTROS 3</v>
      </c>
      <c r="AO127" s="86">
        <f>Nov!H94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Nov!$H$90</f>
        <v>OTROS 3</v>
      </c>
      <c r="AO128" s="86">
        <f>Nov!H95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Nov!$H$90</f>
        <v>OTROS 3</v>
      </c>
      <c r="AO129" s="88">
        <f>Nov!H96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Nov!$B$100</f>
        <v>OTROS 4</v>
      </c>
      <c r="AO130" s="84">
        <f>Nov!B101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Nov!$B$100</f>
        <v>OTROS 4</v>
      </c>
      <c r="AO131" s="86">
        <f>Nov!B102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Nov!$B$100</f>
        <v>OTROS 4</v>
      </c>
      <c r="AO132" s="86">
        <f>Nov!B103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Nov!$B$100</f>
        <v>OTROS 4</v>
      </c>
      <c r="AO133" s="86">
        <f>Nov!B104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Nov!$B$100</f>
        <v>OTROS 4</v>
      </c>
      <c r="AO134" s="86">
        <f>Nov!B105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Nov!$B$100</f>
        <v>OTROS 4</v>
      </c>
      <c r="AO135" s="88">
        <f>Nov!B106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Nov!$H$100</f>
        <v>OTROS 5</v>
      </c>
      <c r="AO136" s="84">
        <f>Nov!H101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Nov!$H$100</f>
        <v>OTROS 5</v>
      </c>
      <c r="AO137" s="86">
        <f>Nov!H102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Nov!$H$100</f>
        <v>OTROS 5</v>
      </c>
      <c r="AO138" s="86">
        <f>Nov!H103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Nov!$H$100</f>
        <v>OTROS 5</v>
      </c>
      <c r="AO139" s="86">
        <f>Nov!H104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Nov!$H$100</f>
        <v>OTROS 5</v>
      </c>
      <c r="AO140" s="86">
        <f>Nov!H105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Nov!$H$100</f>
        <v>OTROS 5</v>
      </c>
      <c r="AO141" s="88">
        <f>Nov!H106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vLA5RALw/HQ1O0o+HhbsQiXa3Q3u53oVoAEgvDcTwqweNEDJKtf2uvsXNLww7/3cAnd0tYC0ijaYgX7vEXnw+w==" saltValue="pzmIrbK1wNn+6Rhkpw2UiQ==" spinCount="100000" sheet="1" selectLockedCells="1"/>
  <conditionalFormatting sqref="J1:J300 J313:J1048576">
    <cfRule type="containsText" dxfId="3" priority="1" operator="containsText" text="Revisa">
      <formula>NOT(ISERROR(SEARCH("Revisa",J1)))</formula>
    </cfRule>
    <cfRule type="beginsWith" dxfId="2" priority="2" operator="beginsWith" text="Es">
      <formula>LEFT(J1,LEN("Es"))="Es"</formula>
    </cfRule>
  </conditionalFormatting>
  <dataValidations count="2">
    <dataValidation type="list" allowBlank="1" showInputMessage="1" showErrorMessage="1" sqref="E3:E300" xr:uid="{D06F79F5-4CD5-304F-9476-54147E89C647}">
      <formula1>$AN$4:$AN$141</formula1>
    </dataValidation>
    <dataValidation type="list" allowBlank="1" showInputMessage="1" showErrorMessage="1" sqref="F3:F300" xr:uid="{2520133D-520E-234C-86FA-469F9FFEAD51}">
      <formula1>$AO$4:$AO$141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EF7522"/>
    <pageSetUpPr autoPageBreaks="0" fitToPage="1"/>
  </sheetPr>
  <dimension ref="B1:U110"/>
  <sheetViews>
    <sheetView showGridLines="0" topLeftCell="A78" zoomScaleNormal="100" zoomScalePageLayoutView="80" workbookViewId="0">
      <selection activeCell="K107" sqref="K13:K107"/>
    </sheetView>
  </sheetViews>
  <sheetFormatPr baseColWidth="10" defaultColWidth="9.19921875" defaultRowHeight="16" x14ac:dyDescent="0.2"/>
  <cols>
    <col min="1" max="1" width="2.796875" style="5" customWidth="1"/>
    <col min="2" max="2" width="42.19921875" style="5" bestFit="1" customWidth="1"/>
    <col min="3" max="3" width="10.796875" style="5" customWidth="1"/>
    <col min="4" max="5" width="20" style="7" customWidth="1"/>
    <col min="6" max="6" width="14.19921875" style="7" bestFit="1" customWidth="1"/>
    <col min="7" max="7" width="7.19921875" style="5" customWidth="1"/>
    <col min="8" max="8" width="42.19921875" style="5" bestFit="1" customWidth="1"/>
    <col min="9" max="9" width="11.59765625" style="5" customWidth="1"/>
    <col min="10" max="11" width="20.19921875" style="7" customWidth="1"/>
    <col min="12" max="12" width="13.3984375" style="7" customWidth="1"/>
    <col min="13" max="13" width="12.19921875" style="5" customWidth="1"/>
    <col min="14" max="14" width="9.19921875" style="5"/>
    <col min="15" max="15" width="13.59765625" style="5" customWidth="1"/>
    <col min="16" max="16384" width="9.19921875" style="5"/>
  </cols>
  <sheetData>
    <row r="1" spans="2:21" s="1" customFormat="1" ht="17" thickBot="1" x14ac:dyDescent="0.25">
      <c r="D1" s="2"/>
      <c r="E1" s="2"/>
      <c r="F1" s="2"/>
      <c r="J1" s="2"/>
      <c r="K1" s="2"/>
      <c r="L1" s="2"/>
      <c r="M1" s="2"/>
      <c r="N1" s="2"/>
      <c r="O1" s="2"/>
      <c r="U1" s="1" t="str">
        <f>B13</f>
        <v>Arriendo/Hipoteca</v>
      </c>
    </row>
    <row r="2" spans="2:21" s="1" customFormat="1" ht="21" thickTop="1" thickBot="1" x14ac:dyDescent="0.3">
      <c r="B2" s="24" t="s">
        <v>34</v>
      </c>
      <c r="C2" s="3"/>
      <c r="D2" s="4"/>
      <c r="E2" s="4"/>
      <c r="F2" s="5"/>
      <c r="G2" s="5"/>
      <c r="H2" s="5"/>
      <c r="I2" s="5"/>
      <c r="J2" s="5"/>
      <c r="K2" s="5"/>
      <c r="L2" s="2"/>
      <c r="M2" s="2"/>
      <c r="N2" s="2"/>
      <c r="O2" s="2"/>
      <c r="P2" s="5"/>
    </row>
    <row r="3" spans="2:21" s="1" customFormat="1" ht="17" thickTop="1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2"/>
      <c r="M3" s="2"/>
      <c r="N3" s="2"/>
      <c r="O3" s="2"/>
      <c r="P3" s="5"/>
    </row>
    <row r="4" spans="2:21" ht="19.5" customHeight="1" x14ac:dyDescent="0.2">
      <c r="B4" s="112" t="s">
        <v>35</v>
      </c>
      <c r="C4" s="117" t="s">
        <v>36</v>
      </c>
      <c r="D4" s="118"/>
      <c r="E4" s="6"/>
      <c r="F4" s="5"/>
      <c r="J4" s="5"/>
      <c r="K4" s="5"/>
      <c r="L4" s="2"/>
      <c r="M4" s="2"/>
      <c r="N4" s="2"/>
      <c r="O4" s="2"/>
    </row>
    <row r="5" spans="2:21" ht="19.5" customHeight="1" x14ac:dyDescent="0.2">
      <c r="B5" s="112"/>
      <c r="C5" s="113"/>
      <c r="D5" s="114"/>
      <c r="E5" s="8"/>
      <c r="F5" s="5"/>
      <c r="J5" s="5"/>
      <c r="K5" s="5"/>
      <c r="L5" s="2"/>
      <c r="M5" s="2"/>
      <c r="N5" s="2"/>
      <c r="O5" s="2"/>
    </row>
    <row r="6" spans="2:21" ht="19.5" customHeight="1" x14ac:dyDescent="0.2">
      <c r="B6" s="112"/>
      <c r="C6" s="113"/>
      <c r="D6" s="114"/>
      <c r="E6" s="8"/>
      <c r="F6" s="5"/>
      <c r="J6" s="5"/>
      <c r="K6" s="5"/>
      <c r="L6" s="2"/>
      <c r="M6" s="2"/>
      <c r="N6" s="2"/>
      <c r="O6" s="2"/>
    </row>
    <row r="7" spans="2:21" ht="19.5" customHeight="1" x14ac:dyDescent="0.2">
      <c r="B7" s="112"/>
      <c r="C7" s="113"/>
      <c r="D7" s="114"/>
      <c r="E7" s="8"/>
      <c r="F7" s="5"/>
      <c r="J7" s="5"/>
      <c r="K7" s="5"/>
      <c r="L7" s="2"/>
      <c r="M7" s="2"/>
      <c r="N7" s="2"/>
      <c r="O7" s="2"/>
    </row>
    <row r="8" spans="2:21" ht="16" customHeight="1" x14ac:dyDescent="0.2">
      <c r="B8" s="112"/>
      <c r="C8" s="113"/>
      <c r="D8" s="114"/>
      <c r="E8" s="8"/>
      <c r="F8" s="5"/>
      <c r="J8" s="5"/>
      <c r="K8" s="5"/>
      <c r="L8" s="2"/>
      <c r="M8" s="2"/>
      <c r="N8" s="2"/>
      <c r="O8" s="2"/>
    </row>
    <row r="9" spans="2:21" ht="16" customHeight="1" x14ac:dyDescent="0.2">
      <c r="B9" s="112"/>
      <c r="C9" s="113"/>
      <c r="D9" s="114"/>
      <c r="E9" s="8"/>
      <c r="F9" s="5"/>
      <c r="J9" s="5"/>
      <c r="K9" s="26"/>
      <c r="L9" s="2"/>
    </row>
    <row r="10" spans="2:21" ht="16" customHeight="1" x14ac:dyDescent="0.2">
      <c r="B10" s="112"/>
      <c r="C10" s="115" t="s">
        <v>37</v>
      </c>
      <c r="D10" s="116"/>
      <c r="E10" s="54">
        <f>SUM(E4:E9)</f>
        <v>0</v>
      </c>
      <c r="F10" s="5"/>
      <c r="H10" s="9" t="s">
        <v>38</v>
      </c>
      <c r="I10" s="10"/>
      <c r="J10" s="11"/>
      <c r="K10" s="54">
        <f>E10-SUM(D25,D36,D55,D65,D79,D88,D98,J25,J36,J55,J65,J88,J98,D108,J108,D46,J46,J79)</f>
        <v>0</v>
      </c>
      <c r="L10" s="2"/>
      <c r="M10" s="25" t="str">
        <f>IF(K10=0,"El presupuesto está listo","OJO! Tiene que sumar cero")</f>
        <v>El presupuesto está listo</v>
      </c>
    </row>
    <row r="12" spans="2:21" x14ac:dyDescent="0.2">
      <c r="B12" s="55" t="s">
        <v>39</v>
      </c>
      <c r="C12" s="56" t="s">
        <v>40</v>
      </c>
      <c r="D12" s="57" t="s">
        <v>41</v>
      </c>
      <c r="E12" s="58" t="s">
        <v>42</v>
      </c>
      <c r="F12" s="58" t="s">
        <v>43</v>
      </c>
      <c r="H12" s="55" t="s">
        <v>8</v>
      </c>
      <c r="I12" s="56" t="s">
        <v>40</v>
      </c>
      <c r="J12" s="57" t="s">
        <v>41</v>
      </c>
      <c r="K12" s="58" t="s">
        <v>42</v>
      </c>
      <c r="L12" s="58" t="s">
        <v>43</v>
      </c>
    </row>
    <row r="13" spans="2:21" x14ac:dyDescent="0.2">
      <c r="B13" s="9" t="s">
        <v>44</v>
      </c>
      <c r="C13" s="10"/>
      <c r="D13" s="11"/>
      <c r="E13" s="59">
        <f>SUMIFS('Dec - registro gastos'!$D$3:$D$300,'Dec - registro gastos'!$E$3:$E$300,Dec!$B$12,'Dec - registro gastos'!$F$3:$F$300,Dec!B13)</f>
        <v>0</v>
      </c>
      <c r="F13" s="12">
        <f>D13-E13</f>
        <v>0</v>
      </c>
      <c r="H13" s="9" t="s">
        <v>13</v>
      </c>
      <c r="I13" s="10" t="s">
        <v>45</v>
      </c>
      <c r="J13" s="11"/>
      <c r="K13" s="11">
        <f>SUMIFS('Dec - registro gastos'!$D$3:$D$300,'Dec - registro gastos'!$E$3:$E$300,Dec!$H$12,'Dec - registro gastos'!$F$3:$F$300,Dec!H13)</f>
        <v>0</v>
      </c>
      <c r="L13" s="12">
        <f t="shared" ref="L13:L25" si="0">J13-K13</f>
        <v>0</v>
      </c>
    </row>
    <row r="14" spans="2:21" x14ac:dyDescent="0.2">
      <c r="B14" s="9" t="s">
        <v>46</v>
      </c>
      <c r="C14" s="10"/>
      <c r="D14" s="11"/>
      <c r="E14" s="59">
        <f>SUMIFS('Dec - registro gastos'!$D$3:$D$300,'Dec - registro gastos'!$E$3:$E$300,Dec!$B$12,'Dec - registro gastos'!$F$3:$F$300,Dec!B14)</f>
        <v>0</v>
      </c>
      <c r="F14" s="12">
        <f t="shared" ref="F14:F25" si="1">D14-E14</f>
        <v>0</v>
      </c>
      <c r="H14" s="9" t="s">
        <v>12</v>
      </c>
      <c r="I14" s="10"/>
      <c r="J14" s="11"/>
      <c r="K14" s="11">
        <f>SUMIFS('Dec - registro gastos'!$D$3:$D$300,'Dec - registro gastos'!$E$3:$E$300,Dec!$H$12,'Dec - registro gastos'!$F$3:$F$300,Dec!H14)</f>
        <v>0</v>
      </c>
      <c r="L14" s="12">
        <f t="shared" si="0"/>
        <v>0</v>
      </c>
    </row>
    <row r="15" spans="2:21" x14ac:dyDescent="0.2">
      <c r="B15" s="9" t="s">
        <v>47</v>
      </c>
      <c r="C15" s="10"/>
      <c r="D15" s="11"/>
      <c r="E15" s="59">
        <f>SUMIFS('Dec - registro gastos'!$D$3:$D$300,'Dec - registro gastos'!$E$3:$E$300,Dec!$B$12,'Dec - registro gastos'!$F$3:$F$300,Dec!B15)</f>
        <v>0</v>
      </c>
      <c r="F15" s="12">
        <f t="shared" si="1"/>
        <v>0</v>
      </c>
      <c r="H15" s="9" t="s">
        <v>11</v>
      </c>
      <c r="I15" s="10"/>
      <c r="J15" s="39"/>
      <c r="K15" s="11">
        <f>SUMIFS('Dec - registro gastos'!$D$3:$D$300,'Dec - registro gastos'!$E$3:$E$300,Dec!$H$12,'Dec - registro gastos'!$F$3:$F$300,Dec!H15)</f>
        <v>0</v>
      </c>
      <c r="L15" s="12">
        <f t="shared" si="0"/>
        <v>0</v>
      </c>
    </row>
    <row r="16" spans="2:21" x14ac:dyDescent="0.2">
      <c r="B16" s="9" t="s">
        <v>48</v>
      </c>
      <c r="C16" s="10"/>
      <c r="D16" s="11"/>
      <c r="E16" s="59">
        <f>SUMIFS('Dec - registro gastos'!$D$3:$D$300,'Dec - registro gastos'!$E$3:$E$300,Dec!$B$12,'Dec - registro gastos'!$F$3:$F$300,Dec!B16)</f>
        <v>0</v>
      </c>
      <c r="F16" s="12">
        <f t="shared" si="1"/>
        <v>0</v>
      </c>
      <c r="H16" s="9" t="s">
        <v>10</v>
      </c>
      <c r="I16" s="10"/>
      <c r="J16" s="11"/>
      <c r="K16" s="11">
        <f>SUMIFS('Dec - registro gastos'!$D$3:$D$300,'Dec - registro gastos'!$E$3:$E$300,Dec!$H$12,'Dec - registro gastos'!$F$3:$F$300,Dec!H16)</f>
        <v>0</v>
      </c>
      <c r="L16" s="12">
        <f t="shared" si="0"/>
        <v>0</v>
      </c>
    </row>
    <row r="17" spans="2:12" x14ac:dyDescent="0.2">
      <c r="B17" s="9" t="s">
        <v>49</v>
      </c>
      <c r="C17" s="10"/>
      <c r="D17" s="11"/>
      <c r="E17" s="59">
        <f>SUMIFS('Dec - registro gastos'!$D$3:$D$300,'Dec - registro gastos'!$E$3:$E$300,Dec!$B$12,'Dec - registro gastos'!$F$3:$F$300,Dec!B17)</f>
        <v>0</v>
      </c>
      <c r="F17" s="12">
        <f t="shared" si="1"/>
        <v>0</v>
      </c>
      <c r="H17" s="9" t="s">
        <v>9</v>
      </c>
      <c r="I17" s="10"/>
      <c r="J17" s="11"/>
      <c r="K17" s="11">
        <f>SUMIFS('Dec - registro gastos'!$D$3:$D$300,'Dec - registro gastos'!$E$3:$E$300,Dec!$H$12,'Dec - registro gastos'!$F$3:$F$300,Dec!H17)</f>
        <v>0</v>
      </c>
      <c r="L17" s="12">
        <f t="shared" si="0"/>
        <v>0</v>
      </c>
    </row>
    <row r="18" spans="2:12" x14ac:dyDescent="0.2">
      <c r="B18" s="9" t="s">
        <v>50</v>
      </c>
      <c r="C18" s="10"/>
      <c r="D18" s="11"/>
      <c r="E18" s="59">
        <f>SUMIFS('Dec - registro gastos'!$D$3:$D$300,'Dec - registro gastos'!$E$3:$E$300,Dec!$B$12,'Dec - registro gastos'!$F$3:$F$300,Dec!B18)</f>
        <v>0</v>
      </c>
      <c r="F18" s="12">
        <f t="shared" si="1"/>
        <v>0</v>
      </c>
      <c r="H18" s="9"/>
      <c r="I18" s="10"/>
      <c r="J18" s="11"/>
      <c r="K18" s="11">
        <f>SUMIFS('Dec - registro gastos'!$D$3:$D$300,'Dec - registro gastos'!$E$3:$E$300,Dec!$H$12,'Dec - registro gastos'!$F$3:$F$300,Dec!H18)</f>
        <v>0</v>
      </c>
      <c r="L18" s="12">
        <f t="shared" si="0"/>
        <v>0</v>
      </c>
    </row>
    <row r="19" spans="2:12" x14ac:dyDescent="0.2">
      <c r="B19" s="9" t="s">
        <v>51</v>
      </c>
      <c r="C19" s="10"/>
      <c r="D19" s="11"/>
      <c r="E19" s="59">
        <f>SUMIFS('Dec - registro gastos'!$D$3:$D$300,'Dec - registro gastos'!$E$3:$E$300,Dec!$B$12,'Dec - registro gastos'!$F$3:$F$300,Dec!B19)</f>
        <v>0</v>
      </c>
      <c r="F19" s="12">
        <f t="shared" si="1"/>
        <v>0</v>
      </c>
      <c r="H19" s="9"/>
      <c r="I19" s="10"/>
      <c r="J19" s="11"/>
      <c r="K19" s="11">
        <f>SUMIFS('Dec - registro gastos'!$D$3:$D$300,'Dec - registro gastos'!$E$3:$E$300,Dec!$H$12,'Dec - registro gastos'!$F$3:$F$300,Dec!H19)</f>
        <v>0</v>
      </c>
      <c r="L19" s="12">
        <f t="shared" si="0"/>
        <v>0</v>
      </c>
    </row>
    <row r="20" spans="2:12" x14ac:dyDescent="0.2">
      <c r="B20" s="9" t="s">
        <v>52</v>
      </c>
      <c r="C20" s="10"/>
      <c r="D20" s="11"/>
      <c r="E20" s="59">
        <f>SUMIFS('Dec - registro gastos'!$D$3:$D$300,'Dec - registro gastos'!$E$3:$E$300,Dec!$B$12,'Dec - registro gastos'!$F$3:$F$300,Dec!B20)</f>
        <v>0</v>
      </c>
      <c r="F20" s="12">
        <f t="shared" si="1"/>
        <v>0</v>
      </c>
      <c r="H20" s="9"/>
      <c r="I20" s="10"/>
      <c r="J20" s="11"/>
      <c r="K20" s="11">
        <f>SUMIFS('Dec - registro gastos'!$D$3:$D$300,'Dec - registro gastos'!$E$3:$E$300,Dec!$H$12,'Dec - registro gastos'!$F$3:$F$300,Dec!H20)</f>
        <v>0</v>
      </c>
      <c r="L20" s="12">
        <f t="shared" si="0"/>
        <v>0</v>
      </c>
    </row>
    <row r="21" spans="2:12" x14ac:dyDescent="0.2">
      <c r="B21" s="9" t="s">
        <v>53</v>
      </c>
      <c r="C21" s="10"/>
      <c r="D21" s="11"/>
      <c r="E21" s="59">
        <f>SUMIFS('Dec - registro gastos'!$D$3:$D$300,'Dec - registro gastos'!$E$3:$E$300,Dec!$B$12,'Dec - registro gastos'!$F$3:$F$300,Dec!B21)</f>
        <v>0</v>
      </c>
      <c r="F21" s="12">
        <f t="shared" si="1"/>
        <v>0</v>
      </c>
      <c r="H21" s="9"/>
      <c r="I21" s="10"/>
      <c r="J21" s="11"/>
      <c r="K21" s="11">
        <f>SUMIFS('Dec - registro gastos'!$D$3:$D$300,'Dec - registro gastos'!$E$3:$E$300,Dec!$H$12,'Dec - registro gastos'!$F$3:$F$300,Dec!H21)</f>
        <v>0</v>
      </c>
      <c r="L21" s="12">
        <f t="shared" si="0"/>
        <v>0</v>
      </c>
    </row>
    <row r="22" spans="2:12" x14ac:dyDescent="0.2">
      <c r="B22" s="9"/>
      <c r="C22" s="10"/>
      <c r="D22" s="11"/>
      <c r="E22" s="59">
        <f>SUMIFS('Dec - registro gastos'!$D$3:$D$300,'Dec - registro gastos'!$E$3:$E$300,Dec!$B$12,'Dec - registro gastos'!$F$3:$F$300,Dec!B22)</f>
        <v>0</v>
      </c>
      <c r="F22" s="12">
        <f t="shared" si="1"/>
        <v>0</v>
      </c>
      <c r="H22" s="9"/>
      <c r="I22" s="10"/>
      <c r="J22" s="11"/>
      <c r="K22" s="11">
        <f>SUMIFS('Dec - registro gastos'!$D$3:$D$300,'Dec - registro gastos'!$E$3:$E$300,Dec!$H$12,'Dec - registro gastos'!$F$3:$F$300,Dec!H22)</f>
        <v>0</v>
      </c>
      <c r="L22" s="12">
        <f t="shared" si="0"/>
        <v>0</v>
      </c>
    </row>
    <row r="23" spans="2:12" x14ac:dyDescent="0.2">
      <c r="B23" s="9"/>
      <c r="C23" s="10"/>
      <c r="D23" s="11"/>
      <c r="E23" s="59">
        <f>SUMIFS('Dec - registro gastos'!$D$3:$D$300,'Dec - registro gastos'!$E$3:$E$300,Dec!$B$12,'Dec - registro gastos'!$F$3:$F$300,Dec!B23)</f>
        <v>0</v>
      </c>
      <c r="F23" s="12">
        <f t="shared" si="1"/>
        <v>0</v>
      </c>
      <c r="H23" s="9"/>
      <c r="I23" s="10"/>
      <c r="J23" s="11"/>
      <c r="K23" s="11">
        <f>SUMIFS('Dec - registro gastos'!$D$3:$D$300,'Dec - registro gastos'!$E$3:$E$300,Dec!$H$12,'Dec - registro gastos'!$F$3:$F$300,Dec!H23)</f>
        <v>0</v>
      </c>
      <c r="L23" s="12">
        <f t="shared" si="0"/>
        <v>0</v>
      </c>
    </row>
    <row r="24" spans="2:12" ht="17" thickBot="1" x14ac:dyDescent="0.25">
      <c r="B24" s="13"/>
      <c r="C24" s="40"/>
      <c r="D24" s="14"/>
      <c r="E24" s="60">
        <f>SUMIFS('Dec - registro gastos'!$D$3:$D$300,'Dec - registro gastos'!$E$3:$E$300,Dec!$B$12,'Dec - registro gastos'!$F$3:$F$300,Dec!B24)</f>
        <v>0</v>
      </c>
      <c r="F24" s="15">
        <f t="shared" si="1"/>
        <v>0</v>
      </c>
      <c r="H24" s="13"/>
      <c r="I24" s="40"/>
      <c r="J24" s="14"/>
      <c r="K24" s="14">
        <f>SUMIFS('Dec - registro gastos'!$D$3:$D$300,'Dec - registro gastos'!$E$3:$E$300,Dec!$H$12,'Dec - registro gastos'!$F$3:$F$300,Dec!H24)</f>
        <v>0</v>
      </c>
      <c r="L24" s="15">
        <f t="shared" si="0"/>
        <v>0</v>
      </c>
    </row>
    <row r="25" spans="2:12" ht="17" thickTop="1" x14ac:dyDescent="0.2">
      <c r="B25" s="16" t="s">
        <v>54</v>
      </c>
      <c r="C25" s="18"/>
      <c r="D25" s="18">
        <f>SUM(D13:D24)</f>
        <v>0</v>
      </c>
      <c r="E25" s="18">
        <f>SUM(E13:E24)</f>
        <v>0</v>
      </c>
      <c r="F25" s="19">
        <f t="shared" si="1"/>
        <v>0</v>
      </c>
      <c r="H25" s="16" t="s">
        <v>54</v>
      </c>
      <c r="I25" s="17"/>
      <c r="J25" s="18">
        <f>SUM(J13:J24)</f>
        <v>0</v>
      </c>
      <c r="K25" s="18">
        <f>SUM(K13:K24)</f>
        <v>0</v>
      </c>
      <c r="L25" s="19">
        <f t="shared" si="0"/>
        <v>0</v>
      </c>
    </row>
    <row r="26" spans="2:12" x14ac:dyDescent="0.2">
      <c r="B26" s="95"/>
      <c r="C26" s="95"/>
      <c r="D26" s="95"/>
      <c r="E26" s="95"/>
      <c r="J26" s="5"/>
      <c r="K26" s="5"/>
    </row>
    <row r="27" spans="2:12" x14ac:dyDescent="0.2">
      <c r="B27" s="55" t="s">
        <v>55</v>
      </c>
      <c r="C27" s="56" t="s">
        <v>40</v>
      </c>
      <c r="D27" s="57" t="s">
        <v>41</v>
      </c>
      <c r="E27" s="58" t="s">
        <v>42</v>
      </c>
      <c r="F27" s="58" t="s">
        <v>43</v>
      </c>
      <c r="H27" s="55" t="s">
        <v>15</v>
      </c>
      <c r="I27" s="56" t="s">
        <v>40</v>
      </c>
      <c r="J27" s="57" t="s">
        <v>41</v>
      </c>
      <c r="K27" s="58" t="s">
        <v>42</v>
      </c>
      <c r="L27" s="58" t="s">
        <v>43</v>
      </c>
    </row>
    <row r="28" spans="2:12" x14ac:dyDescent="0.2">
      <c r="B28" s="9" t="s">
        <v>56</v>
      </c>
      <c r="C28" s="10"/>
      <c r="D28" s="11"/>
      <c r="E28" s="59">
        <f>SUMIFS('Dec - registro gastos'!$D$3:$D$300,'Dec - registro gastos'!$E$3:$E$300,Dec!$B$27,'Dec - registro gastos'!$F$3:$F$300,Dec!B28)</f>
        <v>0</v>
      </c>
      <c r="F28" s="12">
        <f t="shared" ref="F28:F35" si="2">D28-E28</f>
        <v>0</v>
      </c>
      <c r="H28" s="9" t="s">
        <v>18</v>
      </c>
      <c r="I28" s="10"/>
      <c r="J28" s="11"/>
      <c r="K28" s="59">
        <f>SUMIFS('Dec - registro gastos'!$D$3:$D$300,'Dec - registro gastos'!$E$3:$E$300,Dec!$H$27,'Dec - registro gastos'!$F$3:$F$300,Dec!H28)</f>
        <v>0</v>
      </c>
      <c r="L28" s="12">
        <f t="shared" ref="L28:L35" si="3">J28-K28</f>
        <v>0</v>
      </c>
    </row>
    <row r="29" spans="2:12" x14ac:dyDescent="0.2">
      <c r="B29" s="9" t="s">
        <v>57</v>
      </c>
      <c r="C29" s="10"/>
      <c r="D29" s="11"/>
      <c r="E29" s="11">
        <f>SUMIFS('Dec - registro gastos'!$D$3:$D$300,'Dec - registro gastos'!$E$3:$E$300,Dec!$B$27,'Dec - registro gastos'!$F$3:$F$300,Dec!B29)</f>
        <v>0</v>
      </c>
      <c r="F29" s="12">
        <f t="shared" si="2"/>
        <v>0</v>
      </c>
      <c r="H29" s="9" t="s">
        <v>17</v>
      </c>
      <c r="I29" s="10"/>
      <c r="J29" s="11"/>
      <c r="K29" s="11">
        <f>SUMIFS('Dec - registro gastos'!$D$3:$D$300,'Dec - registro gastos'!$E$3:$E$300,Dec!$H$27,'Dec - registro gastos'!$F$3:$F$300,Dec!H29)</f>
        <v>0</v>
      </c>
      <c r="L29" s="12">
        <f t="shared" si="3"/>
        <v>0</v>
      </c>
    </row>
    <row r="30" spans="2:12" x14ac:dyDescent="0.2">
      <c r="B30" s="9" t="s">
        <v>58</v>
      </c>
      <c r="C30" s="10"/>
      <c r="D30" s="11"/>
      <c r="E30" s="11">
        <f>SUMIFS('Dec - registro gastos'!$D$3:$D$300,'Dec - registro gastos'!$E$3:$E$300,Dec!$B$27,'Dec - registro gastos'!$F$3:$F$300,Dec!B30)</f>
        <v>0</v>
      </c>
      <c r="F30" s="12">
        <f t="shared" si="2"/>
        <v>0</v>
      </c>
      <c r="H30" s="9" t="s">
        <v>16</v>
      </c>
      <c r="I30" s="10"/>
      <c r="J30" s="11"/>
      <c r="K30" s="11">
        <f>SUMIFS('Dec - registro gastos'!$D$3:$D$300,'Dec - registro gastos'!$E$3:$E$300,Dec!$H$27,'Dec - registro gastos'!$F$3:$F$300,Dec!H30)</f>
        <v>0</v>
      </c>
      <c r="L30" s="12">
        <f t="shared" si="3"/>
        <v>0</v>
      </c>
    </row>
    <row r="31" spans="2:12" x14ac:dyDescent="0.2">
      <c r="B31" s="9" t="s">
        <v>59</v>
      </c>
      <c r="C31" s="10"/>
      <c r="D31" s="11"/>
      <c r="E31" s="11">
        <f>SUMIFS('Dec - registro gastos'!$D$3:$D$300,'Dec - registro gastos'!$E$3:$E$300,Dec!$B$27,'Dec - registro gastos'!$F$3:$F$300,Dec!B31)</f>
        <v>0</v>
      </c>
      <c r="F31" s="12">
        <f t="shared" si="2"/>
        <v>0</v>
      </c>
      <c r="H31" s="9"/>
      <c r="I31" s="10"/>
      <c r="J31" s="11"/>
      <c r="K31" s="11">
        <f>SUMIFS('Dec - registro gastos'!$D$3:$D$300,'Dec - registro gastos'!$E$3:$E$300,Dec!$H$27,'Dec - registro gastos'!$F$3:$F$300,Dec!H31)</f>
        <v>0</v>
      </c>
      <c r="L31" s="12">
        <f t="shared" si="3"/>
        <v>0</v>
      </c>
    </row>
    <row r="32" spans="2:12" x14ac:dyDescent="0.2">
      <c r="B32" s="9" t="s">
        <v>23</v>
      </c>
      <c r="C32" s="10"/>
      <c r="D32" s="11"/>
      <c r="E32" s="11">
        <f>SUMIFS('Dec - registro gastos'!$D$3:$D$300,'Dec - registro gastos'!$E$3:$E$300,Dec!$B$27,'Dec - registro gastos'!$F$3:$F$300,Dec!B32)</f>
        <v>0</v>
      </c>
      <c r="F32" s="12">
        <f t="shared" si="2"/>
        <v>0</v>
      </c>
      <c r="H32" s="9"/>
      <c r="I32" s="10"/>
      <c r="J32" s="11"/>
      <c r="K32" s="11">
        <f>SUMIFS('Dec - registro gastos'!$D$3:$D$300,'Dec - registro gastos'!$E$3:$E$300,Dec!$H$27,'Dec - registro gastos'!$F$3:$F$300,Dec!H32)</f>
        <v>0</v>
      </c>
      <c r="L32" s="12">
        <f t="shared" si="3"/>
        <v>0</v>
      </c>
    </row>
    <row r="33" spans="2:12" x14ac:dyDescent="0.2">
      <c r="B33" s="9"/>
      <c r="C33" s="10"/>
      <c r="D33" s="11"/>
      <c r="E33" s="11">
        <f>SUMIFS('Dec - registro gastos'!$D$3:$D$300,'Dec - registro gastos'!$E$3:$E$300,Dec!$B$27,'Dec - registro gastos'!$F$3:$F$300,Dec!B33)</f>
        <v>0</v>
      </c>
      <c r="F33" s="12">
        <f t="shared" si="2"/>
        <v>0</v>
      </c>
      <c r="H33" s="9"/>
      <c r="I33" s="10"/>
      <c r="J33" s="11"/>
      <c r="K33" s="11">
        <f>SUMIFS('Dec - registro gastos'!$D$3:$D$300,'Dec - registro gastos'!$E$3:$E$300,Dec!$H$27,'Dec - registro gastos'!$F$3:$F$300,Dec!H33)</f>
        <v>0</v>
      </c>
      <c r="L33" s="12">
        <f t="shared" si="3"/>
        <v>0</v>
      </c>
    </row>
    <row r="34" spans="2:12" x14ac:dyDescent="0.2">
      <c r="B34" s="9"/>
      <c r="C34" s="10"/>
      <c r="D34" s="11"/>
      <c r="E34" s="11">
        <f>SUMIFS('Dec - registro gastos'!$D$3:$D$300,'Dec - registro gastos'!$E$3:$E$300,Dec!$B$27,'Dec - registro gastos'!$F$3:$F$300,Dec!B34)</f>
        <v>0</v>
      </c>
      <c r="F34" s="12">
        <f t="shared" si="2"/>
        <v>0</v>
      </c>
      <c r="H34" s="9"/>
      <c r="I34" s="10"/>
      <c r="J34" s="11"/>
      <c r="K34" s="11">
        <f>SUMIFS('Dec - registro gastos'!$D$3:$D$300,'Dec - registro gastos'!$E$3:$E$300,Dec!$H$27,'Dec - registro gastos'!$F$3:$F$300,Dec!H34)</f>
        <v>0</v>
      </c>
      <c r="L34" s="12">
        <f t="shared" si="3"/>
        <v>0</v>
      </c>
    </row>
    <row r="35" spans="2:12" ht="17" thickBot="1" x14ac:dyDescent="0.25">
      <c r="B35" s="13"/>
      <c r="C35" s="40"/>
      <c r="D35" s="14"/>
      <c r="E35" s="14">
        <f>SUMIFS('Dec - registro gastos'!$D$3:$D$300,'Dec - registro gastos'!$E$3:$E$300,Dec!$B$27,'Dec - registro gastos'!$F$3:$F$300,Dec!B35)</f>
        <v>0</v>
      </c>
      <c r="F35" s="15">
        <f t="shared" si="2"/>
        <v>0</v>
      </c>
      <c r="H35" s="13"/>
      <c r="I35" s="40"/>
      <c r="J35" s="14"/>
      <c r="K35" s="14">
        <f>SUMIFS('Dec - registro gastos'!$D$3:$D$300,'Dec - registro gastos'!$E$3:$E$300,Dec!$H$27,'Dec - registro gastos'!$F$3:$F$300,Dec!H35)</f>
        <v>0</v>
      </c>
      <c r="L35" s="15">
        <f t="shared" si="3"/>
        <v>0</v>
      </c>
    </row>
    <row r="36" spans="2:12" ht="17" thickTop="1" x14ac:dyDescent="0.2">
      <c r="B36" s="16" t="s">
        <v>54</v>
      </c>
      <c r="C36" s="17"/>
      <c r="D36" s="18">
        <f>SUM(D28:D35)</f>
        <v>0</v>
      </c>
      <c r="E36" s="18">
        <f>SUM(E28:E35)</f>
        <v>0</v>
      </c>
      <c r="F36" s="19">
        <f>D36-E36</f>
        <v>0</v>
      </c>
      <c r="H36" s="16" t="s">
        <v>54</v>
      </c>
      <c r="I36" s="17"/>
      <c r="J36" s="18">
        <f>SUM(J28:J35)</f>
        <v>0</v>
      </c>
      <c r="K36" s="18">
        <f>SUM(K28:K35)</f>
        <v>0</v>
      </c>
      <c r="L36" s="19">
        <f>J36-K36</f>
        <v>0</v>
      </c>
    </row>
    <row r="37" spans="2:12" x14ac:dyDescent="0.2">
      <c r="B37" s="95"/>
      <c r="C37" s="95"/>
      <c r="D37" s="95"/>
      <c r="E37" s="5"/>
      <c r="J37" s="5"/>
      <c r="K37" s="5"/>
    </row>
    <row r="38" spans="2:12" x14ac:dyDescent="0.2">
      <c r="B38" s="55" t="s">
        <v>20</v>
      </c>
      <c r="C38" s="56" t="s">
        <v>40</v>
      </c>
      <c r="D38" s="57" t="s">
        <v>41</v>
      </c>
      <c r="E38" s="58" t="s">
        <v>42</v>
      </c>
      <c r="F38" s="58" t="s">
        <v>43</v>
      </c>
      <c r="H38" s="55" t="s">
        <v>60</v>
      </c>
      <c r="I38" s="56" t="s">
        <v>40</v>
      </c>
      <c r="J38" s="57" t="s">
        <v>41</v>
      </c>
      <c r="K38" s="58" t="s">
        <v>42</v>
      </c>
      <c r="L38" s="58" t="s">
        <v>43</v>
      </c>
    </row>
    <row r="39" spans="2:12" x14ac:dyDescent="0.2">
      <c r="B39" s="9" t="s">
        <v>61</v>
      </c>
      <c r="C39" s="10"/>
      <c r="D39" s="11"/>
      <c r="E39" s="59">
        <f>SUMIFS('Dec - registro gastos'!$D$3:$D$300,'Dec - registro gastos'!$E$3:$E$300,Dec!$B$38,'Dec - registro gastos'!$F$3:$F$300,Dec!B39)</f>
        <v>0</v>
      </c>
      <c r="F39" s="12">
        <f t="shared" ref="F39:F45" si="4">D39-E39</f>
        <v>0</v>
      </c>
      <c r="G39" s="20"/>
      <c r="H39" s="9" t="s">
        <v>62</v>
      </c>
      <c r="I39" s="10"/>
      <c r="J39" s="11"/>
      <c r="K39" s="11">
        <f>SUMIFS('Dec - registro gastos'!$D$3:$D$300,'Dec - registro gastos'!$E$3:$E$300,Dec!$H$38,'Dec - registro gastos'!$F$3:$F$300,Dec!H39)</f>
        <v>0</v>
      </c>
      <c r="L39" s="12">
        <f t="shared" ref="L39:L45" si="5">J39-K39</f>
        <v>0</v>
      </c>
    </row>
    <row r="40" spans="2:12" x14ac:dyDescent="0.2">
      <c r="B40" s="9" t="s">
        <v>21</v>
      </c>
      <c r="C40" s="10"/>
      <c r="D40" s="11"/>
      <c r="E40" s="11">
        <f>SUMIFS('Dec - registro gastos'!$D$3:$D$300,'Dec - registro gastos'!$E$3:$E$300,Dec!$B$38,'Dec - registro gastos'!$F$3:$F$300,Dec!B40)</f>
        <v>0</v>
      </c>
      <c r="F40" s="12">
        <f t="shared" si="4"/>
        <v>0</v>
      </c>
      <c r="G40" s="20"/>
      <c r="H40" s="9" t="s">
        <v>63</v>
      </c>
      <c r="I40" s="10"/>
      <c r="J40" s="11"/>
      <c r="K40" s="11">
        <f>SUMIFS('Dec - registro gastos'!$D$3:$D$300,'Dec - registro gastos'!$E$3:$E$300,Dec!$H$38,'Dec - registro gastos'!$F$3:$F$300,Dec!H40)</f>
        <v>0</v>
      </c>
      <c r="L40" s="12">
        <f t="shared" si="5"/>
        <v>0</v>
      </c>
    </row>
    <row r="41" spans="2:12" x14ac:dyDescent="0.2">
      <c r="B41" s="9" t="s">
        <v>64</v>
      </c>
      <c r="C41" s="10"/>
      <c r="D41" s="11"/>
      <c r="E41" s="11">
        <f>SUMIFS('Dec - registro gastos'!$D$3:$D$300,'Dec - registro gastos'!$E$3:$E$300,Dec!$B$38,'Dec - registro gastos'!$F$3:$F$300,Dec!B41)</f>
        <v>0</v>
      </c>
      <c r="F41" s="12">
        <f t="shared" si="4"/>
        <v>0</v>
      </c>
      <c r="G41" s="20"/>
      <c r="H41" s="9" t="s">
        <v>21</v>
      </c>
      <c r="I41" s="10"/>
      <c r="J41" s="11"/>
      <c r="K41" s="11">
        <f>SUMIFS('Dec - registro gastos'!$D$3:$D$300,'Dec - registro gastos'!$E$3:$E$300,Dec!$H$38,'Dec - registro gastos'!$F$3:$F$300,Dec!H41)</f>
        <v>0</v>
      </c>
      <c r="L41" s="12">
        <f t="shared" si="5"/>
        <v>0</v>
      </c>
    </row>
    <row r="42" spans="2:12" x14ac:dyDescent="0.2">
      <c r="B42" s="9" t="s">
        <v>65</v>
      </c>
      <c r="C42" s="10"/>
      <c r="D42" s="11"/>
      <c r="E42" s="11">
        <f>SUMIFS('Dec - registro gastos'!$D$3:$D$300,'Dec - registro gastos'!$E$3:$E$300,Dec!$B$38,'Dec - registro gastos'!$F$3:$F$300,Dec!B42)</f>
        <v>0</v>
      </c>
      <c r="F42" s="12">
        <f t="shared" si="4"/>
        <v>0</v>
      </c>
      <c r="G42" s="20"/>
      <c r="H42" s="9" t="s">
        <v>65</v>
      </c>
      <c r="I42" s="10"/>
      <c r="J42" s="11"/>
      <c r="K42" s="11">
        <f>SUMIFS('Dec - registro gastos'!$D$3:$D$300,'Dec - registro gastos'!$E$3:$E$300,Dec!$H$38,'Dec - registro gastos'!$F$3:$F$300,Dec!H42)</f>
        <v>0</v>
      </c>
      <c r="L42" s="12">
        <f t="shared" si="5"/>
        <v>0</v>
      </c>
    </row>
    <row r="43" spans="2:12" x14ac:dyDescent="0.2">
      <c r="B43" s="9"/>
      <c r="C43" s="10"/>
      <c r="D43" s="11"/>
      <c r="E43" s="11">
        <f>SUMIFS('Dec - registro gastos'!$D$3:$D$300,'Dec - registro gastos'!$E$3:$E$300,Dec!$B$38,'Dec - registro gastos'!$F$3:$F$300,Dec!B43)</f>
        <v>0</v>
      </c>
      <c r="F43" s="12">
        <f t="shared" si="4"/>
        <v>0</v>
      </c>
      <c r="G43" s="20"/>
      <c r="H43" s="9" t="s">
        <v>66</v>
      </c>
      <c r="I43" s="10"/>
      <c r="J43" s="11"/>
      <c r="K43" s="11">
        <f>SUMIFS('Dec - registro gastos'!$D$3:$D$300,'Dec - registro gastos'!$E$3:$E$300,Dec!$H$38,'Dec - registro gastos'!$F$3:$F$300,Dec!H43)</f>
        <v>0</v>
      </c>
      <c r="L43" s="12">
        <f t="shared" si="5"/>
        <v>0</v>
      </c>
    </row>
    <row r="44" spans="2:12" x14ac:dyDescent="0.2">
      <c r="B44" s="30"/>
      <c r="C44" s="10"/>
      <c r="D44" s="31"/>
      <c r="E44" s="31">
        <f>SUMIFS('Dec - registro gastos'!$D$3:$D$300,'Dec - registro gastos'!$E$3:$E$300,Dec!$B$38,'Dec - registro gastos'!$F$3:$F$300,Dec!B44)</f>
        <v>0</v>
      </c>
      <c r="F44" s="12">
        <f t="shared" si="4"/>
        <v>0</v>
      </c>
      <c r="G44" s="20"/>
      <c r="H44" s="30"/>
      <c r="I44" s="10"/>
      <c r="J44" s="31"/>
      <c r="K44" s="31">
        <f>SUMIFS('Dec - registro gastos'!$D$3:$D$300,'Dec - registro gastos'!$E$3:$E$300,Dec!$H$38,'Dec - registro gastos'!$F$3:$F$300,Dec!H44)</f>
        <v>0</v>
      </c>
      <c r="L44" s="12">
        <f t="shared" si="5"/>
        <v>0</v>
      </c>
    </row>
    <row r="45" spans="2:12" ht="17" thickBot="1" x14ac:dyDescent="0.25">
      <c r="B45" s="13"/>
      <c r="C45" s="40"/>
      <c r="D45" s="14"/>
      <c r="E45" s="14">
        <f>SUMIFS('Dec - registro gastos'!$D$3:$D$300,'Dec - registro gastos'!$E$3:$E$300,Dec!$B$38,'Dec - registro gastos'!$F$3:$F$300,Dec!B45)</f>
        <v>0</v>
      </c>
      <c r="F45" s="15">
        <f t="shared" si="4"/>
        <v>0</v>
      </c>
      <c r="G45" s="20"/>
      <c r="H45" s="13"/>
      <c r="I45" s="40"/>
      <c r="J45" s="14"/>
      <c r="K45" s="14">
        <f>SUMIFS('Dec - registro gastos'!$D$3:$D$300,'Dec - registro gastos'!$E$3:$E$300,Dec!$H$38,'Dec - registro gastos'!$F$3:$F$300,Dec!H45)</f>
        <v>0</v>
      </c>
      <c r="L45" s="15">
        <f t="shared" si="5"/>
        <v>0</v>
      </c>
    </row>
    <row r="46" spans="2:12" ht="17" thickTop="1" x14ac:dyDescent="0.2">
      <c r="B46" s="16" t="s">
        <v>54</v>
      </c>
      <c r="C46" s="17"/>
      <c r="D46" s="18">
        <f>SUM(D39:D45)</f>
        <v>0</v>
      </c>
      <c r="E46" s="18">
        <f>SUM(E39:E45)</f>
        <v>0</v>
      </c>
      <c r="F46" s="19">
        <f>D46-E46</f>
        <v>0</v>
      </c>
      <c r="G46" s="20"/>
      <c r="H46" s="16" t="s">
        <v>54</v>
      </c>
      <c r="I46" s="17"/>
      <c r="J46" s="18">
        <f>SUM(J39:J45)</f>
        <v>0</v>
      </c>
      <c r="K46" s="18">
        <f>SUM(K39:K45)</f>
        <v>0</v>
      </c>
      <c r="L46" s="19">
        <f>J46-K46</f>
        <v>0</v>
      </c>
    </row>
    <row r="47" spans="2:12" x14ac:dyDescent="0.2">
      <c r="B47" s="95"/>
      <c r="C47" s="95"/>
      <c r="D47" s="95"/>
      <c r="E47" s="5"/>
      <c r="J47" s="5"/>
      <c r="K47" s="5"/>
    </row>
    <row r="48" spans="2:12" x14ac:dyDescent="0.2">
      <c r="B48" s="55" t="s">
        <v>67</v>
      </c>
      <c r="C48" s="56" t="s">
        <v>40</v>
      </c>
      <c r="D48" s="57" t="s">
        <v>41</v>
      </c>
      <c r="E48" s="58" t="s">
        <v>42</v>
      </c>
      <c r="F48" s="58" t="s">
        <v>43</v>
      </c>
      <c r="H48" s="55" t="s">
        <v>22</v>
      </c>
      <c r="I48" s="56" t="s">
        <v>40</v>
      </c>
      <c r="J48" s="57" t="s">
        <v>41</v>
      </c>
      <c r="K48" s="58" t="s">
        <v>42</v>
      </c>
      <c r="L48" s="58" t="s">
        <v>43</v>
      </c>
    </row>
    <row r="49" spans="2:12" x14ac:dyDescent="0.2">
      <c r="B49" s="9" t="s">
        <v>68</v>
      </c>
      <c r="C49" s="10"/>
      <c r="D49" s="11"/>
      <c r="E49" s="59">
        <f>SUMIFS('Dec - registro gastos'!$D$3:$D$300,'Dec - registro gastos'!$E$3:$E$300,Dec!$B$48,'Dec - registro gastos'!$F$3:$F$300,Dec!B49)</f>
        <v>0</v>
      </c>
      <c r="F49" s="12">
        <f t="shared" ref="F49:F54" si="6">D49-E49</f>
        <v>0</v>
      </c>
      <c r="G49" s="20"/>
      <c r="H49" s="9" t="s">
        <v>23</v>
      </c>
      <c r="I49" s="10"/>
      <c r="J49" s="11"/>
      <c r="K49" s="11">
        <f>SUMIFS('Dec - registro gastos'!$D$3:$D$300,'Dec - registro gastos'!$E$3:$E$300,Dec!$H$48,'Dec - registro gastos'!$F$3:$F$300,Dec!H49)</f>
        <v>0</v>
      </c>
      <c r="L49" s="12">
        <f t="shared" ref="L49:L54" si="7">J49-K49</f>
        <v>0</v>
      </c>
    </row>
    <row r="50" spans="2:12" x14ac:dyDescent="0.2">
      <c r="B50" s="9" t="s">
        <v>69</v>
      </c>
      <c r="C50" s="10"/>
      <c r="D50" s="11"/>
      <c r="E50" s="11">
        <f>SUMIFS('Dec - registro gastos'!$D$3:$D$300,'Dec - registro gastos'!$E$3:$E$300,Dec!$B$48,'Dec - registro gastos'!$F$3:$F$300,Dec!B50)</f>
        <v>0</v>
      </c>
      <c r="F50" s="12">
        <f t="shared" si="6"/>
        <v>0</v>
      </c>
      <c r="G50" s="20"/>
      <c r="H50" s="9" t="s">
        <v>24</v>
      </c>
      <c r="I50" s="10"/>
      <c r="J50" s="11"/>
      <c r="K50" s="11">
        <f>SUMIFS('Dec - registro gastos'!$D$3:$D$300,'Dec - registro gastos'!$E$3:$E$300,Dec!$H$48,'Dec - registro gastos'!$F$3:$F$300,Dec!H50)</f>
        <v>0</v>
      </c>
      <c r="L50" s="12">
        <f t="shared" si="7"/>
        <v>0</v>
      </c>
    </row>
    <row r="51" spans="2:12" x14ac:dyDescent="0.2">
      <c r="B51" s="9"/>
      <c r="C51" s="10"/>
      <c r="D51" s="11"/>
      <c r="E51" s="11">
        <f>SUMIFS('Dec - registro gastos'!$D$3:$D$300,'Dec - registro gastos'!$E$3:$E$300,Dec!$B$48,'Dec - registro gastos'!$F$3:$F$300,Dec!B51)</f>
        <v>0</v>
      </c>
      <c r="F51" s="12">
        <f t="shared" si="6"/>
        <v>0</v>
      </c>
      <c r="G51" s="20"/>
      <c r="H51" s="9" t="s">
        <v>70</v>
      </c>
      <c r="I51" s="10"/>
      <c r="J51" s="39"/>
      <c r="K51" s="11">
        <f>SUMIFS('Dec - registro gastos'!$D$3:$D$300,'Dec - registro gastos'!$E$3:$E$300,Dec!$H$48,'Dec - registro gastos'!$F$3:$F$300,Dec!H51)</f>
        <v>0</v>
      </c>
      <c r="L51" s="12">
        <f t="shared" si="7"/>
        <v>0</v>
      </c>
    </row>
    <row r="52" spans="2:12" x14ac:dyDescent="0.2">
      <c r="B52" s="9"/>
      <c r="C52" s="10"/>
      <c r="D52" s="11"/>
      <c r="E52" s="11">
        <f>SUMIFS('Dec - registro gastos'!$D$3:$D$300,'Dec - registro gastos'!$E$3:$E$300,Dec!$B$48,'Dec - registro gastos'!$F$3:$F$300,Dec!B52)</f>
        <v>0</v>
      </c>
      <c r="F52" s="12">
        <f t="shared" si="6"/>
        <v>0</v>
      </c>
      <c r="G52" s="20"/>
      <c r="H52" s="9" t="s">
        <v>71</v>
      </c>
      <c r="I52" s="10"/>
      <c r="J52" s="11"/>
      <c r="K52" s="11">
        <f>SUMIFS('Dec - registro gastos'!$D$3:$D$300,'Dec - registro gastos'!$E$3:$E$300,Dec!$H$48,'Dec - registro gastos'!$F$3:$F$300,Dec!H52)</f>
        <v>0</v>
      </c>
      <c r="L52" s="12">
        <f t="shared" si="7"/>
        <v>0</v>
      </c>
    </row>
    <row r="53" spans="2:12" x14ac:dyDescent="0.2">
      <c r="B53" s="9"/>
      <c r="C53" s="10"/>
      <c r="D53" s="11"/>
      <c r="E53" s="11">
        <f>SUMIFS('Dec - registro gastos'!$D$3:$D$300,'Dec - registro gastos'!$E$3:$E$300,Dec!$B$48,'Dec - registro gastos'!$F$3:$F$300,Dec!B53)</f>
        <v>0</v>
      </c>
      <c r="F53" s="12">
        <f t="shared" si="6"/>
        <v>0</v>
      </c>
      <c r="G53" s="20"/>
      <c r="H53" s="9"/>
      <c r="I53" s="10"/>
      <c r="J53" s="11"/>
      <c r="K53" s="11">
        <f>SUMIFS('Dec - registro gastos'!$D$3:$D$300,'Dec - registro gastos'!$E$3:$E$300,Dec!$H$48,'Dec - registro gastos'!$F$3:$F$300,Dec!H53)</f>
        <v>0</v>
      </c>
      <c r="L53" s="12">
        <f t="shared" si="7"/>
        <v>0</v>
      </c>
    </row>
    <row r="54" spans="2:12" ht="17" thickBot="1" x14ac:dyDescent="0.25">
      <c r="B54" s="13"/>
      <c r="C54" s="40"/>
      <c r="D54" s="14"/>
      <c r="E54" s="14">
        <f>SUMIFS('Dec - registro gastos'!$D$3:$D$300,'Dec - registro gastos'!$E$3:$E$300,Dec!$B$48,'Dec - registro gastos'!$F$3:$F$300,Dec!B54)</f>
        <v>0</v>
      </c>
      <c r="F54" s="15">
        <f t="shared" si="6"/>
        <v>0</v>
      </c>
      <c r="G54" s="20"/>
      <c r="H54" s="13"/>
      <c r="I54" s="40"/>
      <c r="J54" s="14"/>
      <c r="K54" s="14">
        <f>SUMIFS('Dec - registro gastos'!$D$3:$D$300,'Dec - registro gastos'!$E$3:$E$300,Dec!$H$48,'Dec - registro gastos'!$F$3:$F$300,Dec!H54)</f>
        <v>0</v>
      </c>
      <c r="L54" s="15">
        <f t="shared" si="7"/>
        <v>0</v>
      </c>
    </row>
    <row r="55" spans="2:12" ht="17" thickTop="1" x14ac:dyDescent="0.2">
      <c r="B55" s="16" t="s">
        <v>54</v>
      </c>
      <c r="C55" s="17"/>
      <c r="D55" s="18">
        <f>SUM(D49:D54)</f>
        <v>0</v>
      </c>
      <c r="E55" s="18">
        <f>SUM(E49:E54)</f>
        <v>0</v>
      </c>
      <c r="F55" s="19">
        <f>D55-E55</f>
        <v>0</v>
      </c>
      <c r="G55" s="20"/>
      <c r="H55" s="16" t="s">
        <v>54</v>
      </c>
      <c r="I55" s="17"/>
      <c r="J55" s="18">
        <f>SUM(J49:J54)</f>
        <v>0</v>
      </c>
      <c r="K55" s="18">
        <f>SUM(K49:K54)</f>
        <v>0</v>
      </c>
      <c r="L55" s="19">
        <f>J55-K55</f>
        <v>0</v>
      </c>
    </row>
    <row r="56" spans="2:12" x14ac:dyDescent="0.2">
      <c r="B56" s="95"/>
      <c r="C56" s="95"/>
      <c r="D56" s="95"/>
      <c r="E56" s="5"/>
      <c r="J56" s="5"/>
      <c r="K56" s="5"/>
    </row>
    <row r="57" spans="2:12" x14ac:dyDescent="0.2">
      <c r="B57" s="55" t="s">
        <v>72</v>
      </c>
      <c r="C57" s="56" t="s">
        <v>40</v>
      </c>
      <c r="D57" s="57" t="s">
        <v>41</v>
      </c>
      <c r="E57" s="58" t="s">
        <v>42</v>
      </c>
      <c r="F57" s="58" t="s">
        <v>43</v>
      </c>
      <c r="H57" s="55" t="s">
        <v>25</v>
      </c>
      <c r="I57" s="56" t="s">
        <v>40</v>
      </c>
      <c r="J57" s="57" t="s">
        <v>41</v>
      </c>
      <c r="K57" s="58" t="s">
        <v>42</v>
      </c>
      <c r="L57" s="58" t="s">
        <v>43</v>
      </c>
    </row>
    <row r="58" spans="2:12" x14ac:dyDescent="0.2">
      <c r="B58" s="9" t="s">
        <v>73</v>
      </c>
      <c r="C58" s="10"/>
      <c r="D58" s="11"/>
      <c r="E58" s="59">
        <f>SUMIFS('Dec - registro gastos'!$D$3:$D$300,'Dec - registro gastos'!$E$3:$E$300,Dec!$B$57,'Dec - registro gastos'!$F$3:$F$300,Dec!B58)</f>
        <v>0</v>
      </c>
      <c r="F58" s="12">
        <f>D58-E58</f>
        <v>0</v>
      </c>
      <c r="G58" s="20"/>
      <c r="H58" s="9" t="s">
        <v>26</v>
      </c>
      <c r="I58" s="10"/>
      <c r="J58" s="11"/>
      <c r="K58" s="11">
        <f>SUMIFS('Dec - registro gastos'!$D$3:$D$300,'Dec - registro gastos'!$E$3:$E$300,Dec!$H$57,'Dec - registro gastos'!$F$3:$F$300,Dec!H58)</f>
        <v>0</v>
      </c>
      <c r="L58" s="12">
        <f t="shared" ref="L58:L64" si="8">J58-K58</f>
        <v>0</v>
      </c>
    </row>
    <row r="59" spans="2:12" x14ac:dyDescent="0.2">
      <c r="B59" s="9" t="s">
        <v>74</v>
      </c>
      <c r="C59" s="10"/>
      <c r="D59" s="11"/>
      <c r="E59" s="11">
        <f>SUMIFS('Dec - registro gastos'!$D$3:$D$300,'Dec - registro gastos'!$E$3:$E$300,Dec!$B$57,'Dec - registro gastos'!$F$3:$F$300,Dec!B59)</f>
        <v>0</v>
      </c>
      <c r="F59" s="12">
        <f t="shared" ref="F59:F64" si="9">D59-E59</f>
        <v>0</v>
      </c>
      <c r="G59" s="20"/>
      <c r="H59" s="9" t="s">
        <v>75</v>
      </c>
      <c r="I59" s="10"/>
      <c r="J59" s="11"/>
      <c r="K59" s="11">
        <f>SUMIFS('Dec - registro gastos'!$D$3:$D$300,'Dec - registro gastos'!$E$3:$E$300,Dec!$H$57,'Dec - registro gastos'!$F$3:$F$300,Dec!H59)</f>
        <v>0</v>
      </c>
      <c r="L59" s="12">
        <f t="shared" si="8"/>
        <v>0</v>
      </c>
    </row>
    <row r="60" spans="2:12" x14ac:dyDescent="0.2">
      <c r="B60" s="9" t="s">
        <v>76</v>
      </c>
      <c r="C60" s="10"/>
      <c r="D60" s="11"/>
      <c r="E60" s="11">
        <f>SUMIFS('Dec - registro gastos'!$D$3:$D$300,'Dec - registro gastos'!$E$3:$E$300,Dec!$B$57,'Dec - registro gastos'!$F$3:$F$300,Dec!B60)</f>
        <v>0</v>
      </c>
      <c r="F60" s="12">
        <f t="shared" si="9"/>
        <v>0</v>
      </c>
      <c r="G60" s="20"/>
      <c r="H60" s="9" t="s">
        <v>77</v>
      </c>
      <c r="I60" s="10"/>
      <c r="J60" s="11"/>
      <c r="K60" s="11">
        <f>SUMIFS('Dec - registro gastos'!$D$3:$D$300,'Dec - registro gastos'!$E$3:$E$300,Dec!$H$57,'Dec - registro gastos'!$F$3:$F$300,Dec!H60)</f>
        <v>0</v>
      </c>
      <c r="L60" s="12">
        <f t="shared" si="8"/>
        <v>0</v>
      </c>
    </row>
    <row r="61" spans="2:12" x14ac:dyDescent="0.2">
      <c r="B61" s="30"/>
      <c r="C61" s="10"/>
      <c r="D61" s="31"/>
      <c r="E61" s="31">
        <f>SUMIFS('Dec - registro gastos'!$D$3:$D$300,'Dec - registro gastos'!$E$3:$E$300,Dec!$B$57,'Dec - registro gastos'!$F$3:$F$300,Dec!B61)</f>
        <v>0</v>
      </c>
      <c r="F61" s="12">
        <f>D61-E61</f>
        <v>0</v>
      </c>
      <c r="G61" s="20"/>
      <c r="H61" s="9" t="s">
        <v>78</v>
      </c>
      <c r="I61" s="10"/>
      <c r="J61" s="31"/>
      <c r="K61" s="31">
        <f>SUMIFS('Dec - registro gastos'!$D$3:$D$300,'Dec - registro gastos'!$E$3:$E$300,Dec!$H$57,'Dec - registro gastos'!$F$3:$F$300,Dec!H61)</f>
        <v>0</v>
      </c>
      <c r="L61" s="12">
        <f t="shared" si="8"/>
        <v>0</v>
      </c>
    </row>
    <row r="62" spans="2:12" x14ac:dyDescent="0.2">
      <c r="B62" s="30"/>
      <c r="C62" s="10"/>
      <c r="D62" s="31"/>
      <c r="E62" s="31">
        <f>SUMIFS('Dec - registro gastos'!$D$3:$D$300,'Dec - registro gastos'!$E$3:$E$300,Dec!$B$57,'Dec - registro gastos'!$F$3:$F$300,Dec!B62)</f>
        <v>0</v>
      </c>
      <c r="F62" s="12">
        <f t="shared" si="9"/>
        <v>0</v>
      </c>
      <c r="G62" s="20"/>
      <c r="H62" s="9" t="s">
        <v>79</v>
      </c>
      <c r="I62" s="10"/>
      <c r="J62" s="31"/>
      <c r="K62" s="31">
        <f>SUMIFS('Dec - registro gastos'!$D$3:$D$300,'Dec - registro gastos'!$E$3:$E$300,Dec!$H$57,'Dec - registro gastos'!$F$3:$F$300,Dec!H62)</f>
        <v>0</v>
      </c>
      <c r="L62" s="12">
        <f t="shared" si="8"/>
        <v>0</v>
      </c>
    </row>
    <row r="63" spans="2:12" x14ac:dyDescent="0.2">
      <c r="B63" s="30"/>
      <c r="C63" s="10"/>
      <c r="D63" s="31"/>
      <c r="E63" s="31">
        <f>SUMIFS('Dec - registro gastos'!$D$3:$D$300,'Dec - registro gastos'!$E$3:$E$300,Dec!$B$57,'Dec - registro gastos'!$F$3:$F$300,Dec!B63)</f>
        <v>0</v>
      </c>
      <c r="F63" s="12">
        <f t="shared" si="9"/>
        <v>0</v>
      </c>
      <c r="G63" s="20"/>
      <c r="H63" s="30"/>
      <c r="I63" s="10"/>
      <c r="J63" s="31"/>
      <c r="K63" s="31">
        <f>SUMIFS('Dec - registro gastos'!$D$3:$D$300,'Dec - registro gastos'!$E$3:$E$300,Dec!$H$57,'Dec - registro gastos'!$F$3:$F$300,Dec!H63)</f>
        <v>0</v>
      </c>
      <c r="L63" s="12">
        <f t="shared" si="8"/>
        <v>0</v>
      </c>
    </row>
    <row r="64" spans="2:12" ht="17" thickBot="1" x14ac:dyDescent="0.25">
      <c r="B64" s="13"/>
      <c r="C64" s="40"/>
      <c r="D64" s="14"/>
      <c r="E64" s="14">
        <f>SUMIFS('Dec - registro gastos'!$D$3:$D$300,'Dec - registro gastos'!$E$3:$E$300,Dec!$B$57,'Dec - registro gastos'!$F$3:$F$300,Dec!B64)</f>
        <v>0</v>
      </c>
      <c r="F64" s="15">
        <f t="shared" si="9"/>
        <v>0</v>
      </c>
      <c r="G64" s="20"/>
      <c r="H64" s="13"/>
      <c r="I64" s="40"/>
      <c r="J64" s="14"/>
      <c r="K64" s="14">
        <f>SUMIFS('Dec - registro gastos'!$D$3:$D$300,'Dec - registro gastos'!$E$3:$E$300,Dec!$H$57,'Dec - registro gastos'!$F$3:$F$300,Dec!H64)</f>
        <v>0</v>
      </c>
      <c r="L64" s="15">
        <f t="shared" si="8"/>
        <v>0</v>
      </c>
    </row>
    <row r="65" spans="2:12" ht="17" thickTop="1" x14ac:dyDescent="0.2">
      <c r="B65" s="16" t="s">
        <v>54</v>
      </c>
      <c r="C65" s="17"/>
      <c r="D65" s="18">
        <f>SUM(D58:D64)</f>
        <v>0</v>
      </c>
      <c r="E65" s="18">
        <f>SUM(E58:E64)</f>
        <v>0</v>
      </c>
      <c r="F65" s="19">
        <f>D65-E65</f>
        <v>0</v>
      </c>
      <c r="G65" s="20"/>
      <c r="H65" s="16" t="s">
        <v>54</v>
      </c>
      <c r="I65" s="17"/>
      <c r="J65" s="18">
        <f>SUM(J58:J64)</f>
        <v>0</v>
      </c>
      <c r="K65" s="18">
        <f>SUM(K58:K64)</f>
        <v>0</v>
      </c>
      <c r="L65" s="19">
        <f>J65-K65</f>
        <v>0</v>
      </c>
    </row>
    <row r="66" spans="2:12" x14ac:dyDescent="0.2">
      <c r="B66" s="95"/>
      <c r="C66" s="95"/>
      <c r="D66" s="95"/>
      <c r="E66" s="5"/>
      <c r="J66" s="5"/>
      <c r="K66" s="5"/>
    </row>
    <row r="67" spans="2:12" x14ac:dyDescent="0.2">
      <c r="B67" s="55" t="s">
        <v>28</v>
      </c>
      <c r="C67" s="56" t="s">
        <v>40</v>
      </c>
      <c r="D67" s="57" t="s">
        <v>41</v>
      </c>
      <c r="E67" s="58" t="s">
        <v>42</v>
      </c>
      <c r="F67" s="58" t="s">
        <v>43</v>
      </c>
      <c r="H67" s="55" t="s">
        <v>30</v>
      </c>
      <c r="I67" s="56" t="s">
        <v>40</v>
      </c>
      <c r="J67" s="57" t="s">
        <v>41</v>
      </c>
      <c r="K67" s="58" t="s">
        <v>42</v>
      </c>
      <c r="L67" s="58" t="s">
        <v>1</v>
      </c>
    </row>
    <row r="68" spans="2:12" x14ac:dyDescent="0.2">
      <c r="B68" s="9" t="s">
        <v>29</v>
      </c>
      <c r="C68" s="10"/>
      <c r="D68" s="11"/>
      <c r="E68" s="11">
        <f>SUMIFS('Dec - registro gastos'!$D$3:$D$300,'Dec - registro gastos'!$E$3:$E$300,Dec!$B$67,'Dec - registro gastos'!$F$3:$F$300,Dec!B68)</f>
        <v>0</v>
      </c>
      <c r="F68" s="12">
        <f t="shared" ref="F68:F78" si="10">D68-E68</f>
        <v>0</v>
      </c>
      <c r="G68" s="20"/>
      <c r="H68" s="9" t="s">
        <v>26</v>
      </c>
      <c r="I68" s="10"/>
      <c r="J68" s="11"/>
      <c r="K68" s="11">
        <f>SUMIFS('Dec - registro gastos'!$D$3:$D$300,'Dec - registro gastos'!$E$3:$E$300,Dec!$H$67,'Dec - registro gastos'!$F$3:$F$300,Dec!H68)</f>
        <v>0</v>
      </c>
      <c r="L68" s="12">
        <f>J68-K68</f>
        <v>0</v>
      </c>
    </row>
    <row r="69" spans="2:12" x14ac:dyDescent="0.2">
      <c r="B69" s="9" t="s">
        <v>80</v>
      </c>
      <c r="C69" s="10"/>
      <c r="D69" s="11"/>
      <c r="E69" s="11">
        <f>SUMIFS('Dec - registro gastos'!$D$3:$D$300,'Dec - registro gastos'!$E$3:$E$300,Dec!$B$67,'Dec - registro gastos'!$F$3:$F$300,Dec!B69)</f>
        <v>0</v>
      </c>
      <c r="F69" s="12">
        <f t="shared" si="10"/>
        <v>0</v>
      </c>
      <c r="G69" s="20"/>
      <c r="H69" s="9" t="s">
        <v>81</v>
      </c>
      <c r="I69" s="10"/>
      <c r="J69" s="11"/>
      <c r="K69" s="11">
        <f>SUMIFS('Dec - registro gastos'!$D$3:$D$300,'Dec - registro gastos'!$E$3:$E$300,Dec!$H$67,'Dec - registro gastos'!$F$3:$F$300,Dec!H69)</f>
        <v>0</v>
      </c>
      <c r="L69" s="12">
        <f t="shared" ref="L69:L78" si="11">J69-K69</f>
        <v>0</v>
      </c>
    </row>
    <row r="70" spans="2:12" x14ac:dyDescent="0.2">
      <c r="B70" s="9" t="s">
        <v>82</v>
      </c>
      <c r="C70" s="10"/>
      <c r="D70" s="11"/>
      <c r="E70" s="11">
        <f>SUMIFS('Dec - registro gastos'!$D$3:$D$300,'Dec - registro gastos'!$E$3:$E$300,Dec!$B$67,'Dec - registro gastos'!$F$3:$F$300,Dec!B70)</f>
        <v>0</v>
      </c>
      <c r="F70" s="12">
        <f>D70-E70</f>
        <v>0</v>
      </c>
      <c r="G70" s="20"/>
      <c r="H70" s="9" t="s">
        <v>31</v>
      </c>
      <c r="I70" s="10"/>
      <c r="J70" s="11"/>
      <c r="K70" s="11">
        <f>SUMIFS('Dec - registro gastos'!$D$3:$D$300,'Dec - registro gastos'!$E$3:$E$300,Dec!$H$67,'Dec - registro gastos'!$F$3:$F$300,Dec!H70)</f>
        <v>0</v>
      </c>
      <c r="L70" s="12">
        <f>J70-K70</f>
        <v>0</v>
      </c>
    </row>
    <row r="71" spans="2:12" x14ac:dyDescent="0.2">
      <c r="B71" s="9" t="s">
        <v>83</v>
      </c>
      <c r="C71" s="10"/>
      <c r="D71" s="11"/>
      <c r="E71" s="11">
        <f>SUMIFS('Dec - registro gastos'!$D$3:$D$300,'Dec - registro gastos'!$E$3:$E$300,Dec!$B$67,'Dec - registro gastos'!$F$3:$F$300,Dec!B71)</f>
        <v>0</v>
      </c>
      <c r="F71" s="12">
        <f t="shared" si="10"/>
        <v>0</v>
      </c>
      <c r="G71" s="20"/>
      <c r="H71" s="9" t="s">
        <v>84</v>
      </c>
      <c r="I71" s="10"/>
      <c r="J71" s="11"/>
      <c r="K71" s="11">
        <f>SUMIFS('Dec - registro gastos'!$D$3:$D$300,'Dec - registro gastos'!$E$3:$E$300,Dec!$H$67,'Dec - registro gastos'!$F$3:$F$300,Dec!H71)</f>
        <v>0</v>
      </c>
      <c r="L71" s="12">
        <f t="shared" si="11"/>
        <v>0</v>
      </c>
    </row>
    <row r="72" spans="2:12" x14ac:dyDescent="0.2">
      <c r="B72" s="9" t="s">
        <v>85</v>
      </c>
      <c r="C72" s="10"/>
      <c r="D72" s="11"/>
      <c r="E72" s="11">
        <f>SUMIFS('Dec - registro gastos'!$D$3:$D$300,'Dec - registro gastos'!$E$3:$E$300,Dec!$B$67,'Dec - registro gastos'!$F$3:$F$300,Dec!B72)</f>
        <v>0</v>
      </c>
      <c r="F72" s="12">
        <f t="shared" si="10"/>
        <v>0</v>
      </c>
      <c r="G72" s="20"/>
      <c r="H72" s="9"/>
      <c r="I72" s="10"/>
      <c r="J72" s="11"/>
      <c r="K72" s="11">
        <f>SUMIFS('Dec - registro gastos'!$D$3:$D$300,'Dec - registro gastos'!$E$3:$E$300,Dec!$H$67,'Dec - registro gastos'!$F$3:$F$300,Dec!H72)</f>
        <v>0</v>
      </c>
      <c r="L72" s="12">
        <f t="shared" si="11"/>
        <v>0</v>
      </c>
    </row>
    <row r="73" spans="2:12" x14ac:dyDescent="0.2">
      <c r="B73" s="9" t="s">
        <v>86</v>
      </c>
      <c r="C73" s="10"/>
      <c r="D73" s="11"/>
      <c r="E73" s="11">
        <f>SUMIFS('Dec - registro gastos'!$D$3:$D$300,'Dec - registro gastos'!$E$3:$E$300,Dec!$B$67,'Dec - registro gastos'!$F$3:$F$300,Dec!B73)</f>
        <v>0</v>
      </c>
      <c r="F73" s="12">
        <f t="shared" si="10"/>
        <v>0</v>
      </c>
      <c r="G73" s="20"/>
      <c r="H73" s="9"/>
      <c r="I73" s="10"/>
      <c r="J73" s="11"/>
      <c r="K73" s="11">
        <f>SUMIFS('Dec - registro gastos'!$D$3:$D$300,'Dec - registro gastos'!$E$3:$E$300,Dec!$H$67,'Dec - registro gastos'!$F$3:$F$300,Dec!H73)</f>
        <v>0</v>
      </c>
      <c r="L73" s="12">
        <f t="shared" si="11"/>
        <v>0</v>
      </c>
    </row>
    <row r="74" spans="2:12" x14ac:dyDescent="0.2">
      <c r="B74" s="9" t="s">
        <v>87</v>
      </c>
      <c r="C74" s="10"/>
      <c r="D74" s="11"/>
      <c r="E74" s="11">
        <f>SUMIFS('Dec - registro gastos'!$D$3:$D$300,'Dec - registro gastos'!$E$3:$E$300,Dec!$B$67,'Dec - registro gastos'!$F$3:$F$300,Dec!B74)</f>
        <v>0</v>
      </c>
      <c r="F74" s="12">
        <f t="shared" si="10"/>
        <v>0</v>
      </c>
      <c r="G74" s="20"/>
      <c r="H74" s="9"/>
      <c r="I74" s="10"/>
      <c r="J74" s="11"/>
      <c r="K74" s="11">
        <f>SUMIFS('Dec - registro gastos'!$D$3:$D$300,'Dec - registro gastos'!$E$3:$E$300,Dec!$H$67,'Dec - registro gastos'!$F$3:$F$300,Dec!H74)</f>
        <v>0</v>
      </c>
      <c r="L74" s="12">
        <f>J74-K74</f>
        <v>0</v>
      </c>
    </row>
    <row r="75" spans="2:12" x14ac:dyDescent="0.2">
      <c r="B75" s="30"/>
      <c r="C75" s="10"/>
      <c r="D75" s="31"/>
      <c r="E75" s="31">
        <f>SUMIFS('Dec - registro gastos'!$D$3:$D$300,'Dec - registro gastos'!$E$3:$E$300,Dec!$B$67,'Dec - registro gastos'!$F$3:$F$300,Dec!B75)</f>
        <v>0</v>
      </c>
      <c r="F75" s="12">
        <f t="shared" si="10"/>
        <v>0</v>
      </c>
      <c r="G75" s="20"/>
      <c r="H75" s="30"/>
      <c r="I75" s="10"/>
      <c r="J75" s="31"/>
      <c r="K75" s="31">
        <f>SUMIFS('Dec - registro gastos'!$D$3:$D$300,'Dec - registro gastos'!$E$3:$E$300,Dec!$H$67,'Dec - registro gastos'!$F$3:$F$300,Dec!H75)</f>
        <v>0</v>
      </c>
      <c r="L75" s="12">
        <f t="shared" si="11"/>
        <v>0</v>
      </c>
    </row>
    <row r="76" spans="2:12" x14ac:dyDescent="0.2">
      <c r="B76" s="30"/>
      <c r="C76" s="10"/>
      <c r="D76" s="31"/>
      <c r="E76" s="31">
        <f>SUMIFS('Dec - registro gastos'!$D$3:$D$300,'Dec - registro gastos'!$E$3:$E$300,Dec!$B$67,'Dec - registro gastos'!$F$3:$F$300,Dec!B76)</f>
        <v>0</v>
      </c>
      <c r="F76" s="12">
        <f t="shared" si="10"/>
        <v>0</v>
      </c>
      <c r="G76" s="20"/>
      <c r="H76" s="30"/>
      <c r="I76" s="10"/>
      <c r="J76" s="31"/>
      <c r="K76" s="31">
        <f>SUMIFS('Dec - registro gastos'!$D$3:$D$300,'Dec - registro gastos'!$E$3:$E$300,Dec!$H$67,'Dec - registro gastos'!$F$3:$F$300,Dec!H76)</f>
        <v>0</v>
      </c>
      <c r="L76" s="12">
        <f t="shared" si="11"/>
        <v>0</v>
      </c>
    </row>
    <row r="77" spans="2:12" x14ac:dyDescent="0.2">
      <c r="B77" s="30"/>
      <c r="C77" s="10"/>
      <c r="D77" s="31"/>
      <c r="E77" s="31">
        <f>SUMIFS('Dec - registro gastos'!$D$3:$D$300,'Dec - registro gastos'!$E$3:$E$300,Dec!$B$67,'Dec - registro gastos'!$F$3:$F$300,Dec!B77)</f>
        <v>0</v>
      </c>
      <c r="F77" s="12">
        <f t="shared" si="10"/>
        <v>0</v>
      </c>
      <c r="G77" s="20"/>
      <c r="H77" s="30"/>
      <c r="I77" s="10"/>
      <c r="J77" s="31"/>
      <c r="K77" s="31">
        <f>SUMIFS('Dec - registro gastos'!$D$3:$D$300,'Dec - registro gastos'!$E$3:$E$300,Dec!$H$67,'Dec - registro gastos'!$F$3:$F$300,Dec!H77)</f>
        <v>0</v>
      </c>
      <c r="L77" s="12">
        <f t="shared" si="11"/>
        <v>0</v>
      </c>
    </row>
    <row r="78" spans="2:12" ht="17" thickBot="1" x14ac:dyDescent="0.25">
      <c r="B78" s="13"/>
      <c r="C78" s="40"/>
      <c r="D78" s="14"/>
      <c r="E78" s="14">
        <f>SUMIFS('Dec - registro gastos'!$D$3:$D$300,'Dec - registro gastos'!$E$3:$E$300,Dec!$B$67,'Dec - registro gastos'!$F$3:$F$300,Dec!B78)</f>
        <v>0</v>
      </c>
      <c r="F78" s="15">
        <f t="shared" si="10"/>
        <v>0</v>
      </c>
      <c r="G78" s="20"/>
      <c r="H78" s="13"/>
      <c r="I78" s="40"/>
      <c r="J78" s="14"/>
      <c r="K78" s="14">
        <f>SUMIFS('Dec - registro gastos'!$D$3:$D$300,'Dec - registro gastos'!$E$3:$E$300,Dec!$H$67,'Dec - registro gastos'!$F$3:$F$300,Dec!H78)</f>
        <v>0</v>
      </c>
      <c r="L78" s="15">
        <f t="shared" si="11"/>
        <v>0</v>
      </c>
    </row>
    <row r="79" spans="2:12" ht="17" thickTop="1" x14ac:dyDescent="0.2">
      <c r="B79" s="16" t="s">
        <v>54</v>
      </c>
      <c r="C79" s="17"/>
      <c r="D79" s="18">
        <f>SUM(D68:D78)</f>
        <v>0</v>
      </c>
      <c r="E79" s="18">
        <f>SUM(E68:E78)</f>
        <v>0</v>
      </c>
      <c r="F79" s="19">
        <f>D79-E79</f>
        <v>0</v>
      </c>
      <c r="G79" s="20"/>
      <c r="H79" s="16" t="s">
        <v>54</v>
      </c>
      <c r="I79" s="17"/>
      <c r="J79" s="18">
        <f>SUM(J68:J78)</f>
        <v>0</v>
      </c>
      <c r="K79" s="18">
        <f>SUM(K68:K78)</f>
        <v>0</v>
      </c>
      <c r="L79" s="19">
        <f>J79-K79</f>
        <v>0</v>
      </c>
    </row>
    <row r="80" spans="2:12" x14ac:dyDescent="0.2">
      <c r="B80" s="95"/>
      <c r="C80" s="95"/>
      <c r="D80" s="95"/>
      <c r="E80" s="5"/>
      <c r="J80" s="5"/>
      <c r="K80" s="5"/>
    </row>
    <row r="81" spans="2:12" x14ac:dyDescent="0.2">
      <c r="B81" s="55" t="s">
        <v>32</v>
      </c>
      <c r="C81" s="56" t="s">
        <v>40</v>
      </c>
      <c r="D81" s="57" t="s">
        <v>41</v>
      </c>
      <c r="E81" s="58" t="s">
        <v>42</v>
      </c>
      <c r="F81" s="58" t="s">
        <v>43</v>
      </c>
      <c r="H81" s="55" t="s">
        <v>127</v>
      </c>
      <c r="I81" s="56" t="s">
        <v>40</v>
      </c>
      <c r="J81" s="57" t="s">
        <v>41</v>
      </c>
      <c r="K81" s="58" t="s">
        <v>42</v>
      </c>
      <c r="L81" s="58" t="s">
        <v>43</v>
      </c>
    </row>
    <row r="82" spans="2:12" x14ac:dyDescent="0.2">
      <c r="B82" s="9" t="s">
        <v>89</v>
      </c>
      <c r="C82" s="10"/>
      <c r="D82" s="11"/>
      <c r="E82" s="11">
        <f>SUMIFS('Dec - registro gastos'!$D$3:$D$300,'Dec - registro gastos'!$E$3:$E$300,Dec!$B$81,'Dec - registro gastos'!$F$3:$F$300,Dec!B82)</f>
        <v>0</v>
      </c>
      <c r="F82" s="12">
        <f>D82-E82</f>
        <v>0</v>
      </c>
      <c r="G82" s="20"/>
      <c r="H82" s="9">
        <v>1</v>
      </c>
      <c r="I82" s="10"/>
      <c r="J82" s="11"/>
      <c r="K82" s="11">
        <f>SUMIFS('Dec - registro gastos'!$D$3:$D$300,'Dec - registro gastos'!$E$3:$E$300,Dec!$H$81,'Dec - registro gastos'!$F$3:$F$300,Dec!H82)</f>
        <v>0</v>
      </c>
      <c r="L82" s="12">
        <f>J82-K82</f>
        <v>0</v>
      </c>
    </row>
    <row r="83" spans="2:12" x14ac:dyDescent="0.2">
      <c r="B83" s="9" t="s">
        <v>33</v>
      </c>
      <c r="C83" s="10"/>
      <c r="D83" s="11"/>
      <c r="E83" s="11">
        <f>SUMIFS('Dec - registro gastos'!$D$3:$D$300,'Dec - registro gastos'!$E$3:$E$300,Dec!$B$81,'Dec - registro gastos'!$F$3:$F$300,Dec!B83)</f>
        <v>0</v>
      </c>
      <c r="F83" s="12">
        <f t="shared" ref="F83:F87" si="12">D83-E83</f>
        <v>0</v>
      </c>
      <c r="G83" s="20"/>
      <c r="H83" s="9"/>
      <c r="I83" s="10"/>
      <c r="J83" s="11"/>
      <c r="K83" s="11">
        <f>SUMIFS('Dec - registro gastos'!$D$3:$D$300,'Dec - registro gastos'!$E$3:$E$300,Dec!$H$81,'Dec - registro gastos'!$F$3:$F$300,Dec!H83)</f>
        <v>0</v>
      </c>
      <c r="L83" s="12">
        <f t="shared" ref="L83:L87" si="13">J83-K83</f>
        <v>0</v>
      </c>
    </row>
    <row r="84" spans="2:12" x14ac:dyDescent="0.2">
      <c r="B84" s="9" t="s">
        <v>90</v>
      </c>
      <c r="C84" s="10"/>
      <c r="D84" s="11"/>
      <c r="E84" s="11">
        <f>SUMIFS('Dec - registro gastos'!$D$3:$D$300,'Dec - registro gastos'!$E$3:$E$300,Dec!$B$81,'Dec - registro gastos'!$F$3:$F$300,Dec!B84)</f>
        <v>0</v>
      </c>
      <c r="F84" s="12">
        <f t="shared" si="12"/>
        <v>0</v>
      </c>
      <c r="G84" s="20"/>
      <c r="H84" s="9"/>
      <c r="I84" s="10"/>
      <c r="J84" s="11"/>
      <c r="K84" s="11">
        <f>SUMIFS('Dec - registro gastos'!$D$3:$D$300,'Dec - registro gastos'!$E$3:$E$300,Dec!$H$81,'Dec - registro gastos'!$F$3:$F$300,Dec!H84)</f>
        <v>0</v>
      </c>
      <c r="L84" s="12">
        <f>J84-K84</f>
        <v>0</v>
      </c>
    </row>
    <row r="85" spans="2:12" x14ac:dyDescent="0.2">
      <c r="B85" s="9" t="s">
        <v>73</v>
      </c>
      <c r="C85" s="10"/>
      <c r="D85" s="11"/>
      <c r="E85" s="11">
        <f>SUMIFS('Dec - registro gastos'!$D$3:$D$300,'Dec - registro gastos'!$E$3:$E$300,Dec!$B$81,'Dec - registro gastos'!$F$3:$F$300,Dec!B85)</f>
        <v>0</v>
      </c>
      <c r="F85" s="12">
        <f>D85-E85</f>
        <v>0</v>
      </c>
      <c r="G85" s="20"/>
      <c r="H85" s="9"/>
      <c r="I85" s="10"/>
      <c r="J85" s="11"/>
      <c r="K85" s="11">
        <f>SUMIFS('Dec - registro gastos'!$D$3:$D$300,'Dec - registro gastos'!$E$3:$E$300,Dec!$H$81,'Dec - registro gastos'!$F$3:$F$300,Dec!H85)</f>
        <v>0</v>
      </c>
      <c r="L85" s="12">
        <f t="shared" si="13"/>
        <v>0</v>
      </c>
    </row>
    <row r="86" spans="2:12" x14ac:dyDescent="0.2">
      <c r="B86" s="9"/>
      <c r="C86" s="10"/>
      <c r="D86" s="11"/>
      <c r="E86" s="11">
        <f>SUMIFS('Dec - registro gastos'!$D$3:$D$300,'Dec - registro gastos'!$E$3:$E$300,Dec!$B$81,'Dec - registro gastos'!$F$3:$F$300,Dec!B86)</f>
        <v>0</v>
      </c>
      <c r="F86" s="12">
        <f t="shared" si="12"/>
        <v>0</v>
      </c>
      <c r="G86" s="20"/>
      <c r="H86" s="9"/>
      <c r="I86" s="10"/>
      <c r="J86" s="11"/>
      <c r="K86" s="11">
        <f>SUMIFS('Dec - registro gastos'!$D$3:$D$300,'Dec - registro gastos'!$E$3:$E$300,Dec!$H$81,'Dec - registro gastos'!$F$3:$F$300,Dec!H86)</f>
        <v>0</v>
      </c>
      <c r="L86" s="12">
        <f t="shared" si="13"/>
        <v>0</v>
      </c>
    </row>
    <row r="87" spans="2:12" ht="17" thickBot="1" x14ac:dyDescent="0.25">
      <c r="B87" s="13"/>
      <c r="C87" s="40"/>
      <c r="D87" s="14"/>
      <c r="E87" s="14">
        <f>SUMIFS('Dec - registro gastos'!$D$3:$D$300,'Dec - registro gastos'!$E$3:$E$300,Dec!$B$81,'Dec - registro gastos'!$F$3:$F$300,Dec!B87)</f>
        <v>0</v>
      </c>
      <c r="F87" s="15">
        <f t="shared" si="12"/>
        <v>0</v>
      </c>
      <c r="G87" s="20"/>
      <c r="H87" s="13"/>
      <c r="I87" s="40"/>
      <c r="J87" s="14"/>
      <c r="K87" s="14">
        <f>SUMIFS('Dec - registro gastos'!$D$3:$D$300,'Dec - registro gastos'!$E$3:$E$300,Dec!$H$81,'Dec - registro gastos'!$F$3:$F$300,Dec!H87)</f>
        <v>0</v>
      </c>
      <c r="L87" s="15">
        <f t="shared" si="13"/>
        <v>0</v>
      </c>
    </row>
    <row r="88" spans="2:12" ht="17" thickTop="1" x14ac:dyDescent="0.2">
      <c r="B88" s="16" t="s">
        <v>54</v>
      </c>
      <c r="C88" s="17"/>
      <c r="D88" s="18">
        <f>SUM(D82:D87)</f>
        <v>0</v>
      </c>
      <c r="E88" s="18">
        <f>SUM(E82:E87)</f>
        <v>0</v>
      </c>
      <c r="F88" s="19">
        <f>D88-E88</f>
        <v>0</v>
      </c>
      <c r="G88" s="20"/>
      <c r="H88" s="16" t="s">
        <v>54</v>
      </c>
      <c r="I88" s="17"/>
      <c r="J88" s="18">
        <f>SUM(J82:J87)</f>
        <v>0</v>
      </c>
      <c r="K88" s="18">
        <f>SUM(K82:K87)</f>
        <v>0</v>
      </c>
      <c r="L88" s="19">
        <f>J88-K88</f>
        <v>0</v>
      </c>
    </row>
    <row r="89" spans="2:12" x14ac:dyDescent="0.2">
      <c r="B89" s="95"/>
      <c r="C89" s="95"/>
      <c r="D89" s="95"/>
      <c r="E89" s="5"/>
      <c r="J89" s="5"/>
      <c r="K89" s="5"/>
    </row>
    <row r="90" spans="2:12" x14ac:dyDescent="0.2">
      <c r="B90" s="55" t="s">
        <v>128</v>
      </c>
      <c r="C90" s="56" t="s">
        <v>40</v>
      </c>
      <c r="D90" s="57" t="s">
        <v>41</v>
      </c>
      <c r="E90" s="58" t="s">
        <v>42</v>
      </c>
      <c r="F90" s="58" t="s">
        <v>43</v>
      </c>
      <c r="H90" s="55" t="s">
        <v>129</v>
      </c>
      <c r="I90" s="56" t="s">
        <v>40</v>
      </c>
      <c r="J90" s="57" t="s">
        <v>41</v>
      </c>
      <c r="K90" s="58" t="s">
        <v>42</v>
      </c>
      <c r="L90" s="58" t="s">
        <v>43</v>
      </c>
    </row>
    <row r="91" spans="2:12" ht="13.5" customHeight="1" x14ac:dyDescent="0.2">
      <c r="B91" s="9">
        <v>2</v>
      </c>
      <c r="C91" s="10"/>
      <c r="D91" s="11"/>
      <c r="E91" s="11">
        <f>SUMIFS('Dec - registro gastos'!$D$3:$D$300,'Dec - registro gastos'!$E$3:$E$300,Dec!$B$90,'Dec - registro gastos'!$F$3:$F$300,Dec!B91)</f>
        <v>0</v>
      </c>
      <c r="F91" s="12">
        <f>D91-E91</f>
        <v>0</v>
      </c>
      <c r="G91" s="20"/>
      <c r="H91" s="9">
        <v>3</v>
      </c>
      <c r="I91" s="10"/>
      <c r="J91" s="11"/>
      <c r="K91" s="11">
        <f>SUMIFS('Dec - registro gastos'!$D$3:$D$300,'Dec - registro gastos'!$E$3:$E$300,Dec!$H$90,'Dec - registro gastos'!$F$3:$F$300,Dec!H91)</f>
        <v>0</v>
      </c>
      <c r="L91" s="12">
        <f t="shared" ref="L91:L97" si="14">J91-K91</f>
        <v>0</v>
      </c>
    </row>
    <row r="92" spans="2:12" x14ac:dyDescent="0.2">
      <c r="B92" s="9"/>
      <c r="C92" s="10"/>
      <c r="D92" s="11"/>
      <c r="E92" s="11">
        <f>SUMIFS('Dec - registro gastos'!$D$3:$D$300,'Dec - registro gastos'!$E$3:$E$300,Dec!$B$90,'Dec - registro gastos'!$F$3:$F$300,Dec!B92)</f>
        <v>0</v>
      </c>
      <c r="F92" s="12">
        <f t="shared" ref="F92:F97" si="15">D92-E92</f>
        <v>0</v>
      </c>
      <c r="G92" s="20"/>
      <c r="H92" s="9"/>
      <c r="I92" s="10"/>
      <c r="J92" s="11"/>
      <c r="K92" s="11">
        <f>SUMIFS('Dec - registro gastos'!$D$3:$D$300,'Dec - registro gastos'!$E$3:$E$300,Dec!$H$90,'Dec - registro gastos'!$F$3:$F$300,Dec!H92)</f>
        <v>0</v>
      </c>
      <c r="L92" s="12">
        <f t="shared" si="14"/>
        <v>0</v>
      </c>
    </row>
    <row r="93" spans="2:12" x14ac:dyDescent="0.2">
      <c r="B93" s="9"/>
      <c r="C93" s="10"/>
      <c r="D93" s="11"/>
      <c r="E93" s="11">
        <f>SUMIFS('Dec - registro gastos'!$D$3:$D$300,'Dec - registro gastos'!$E$3:$E$300,Dec!$B$90,'Dec - registro gastos'!$F$3:$F$300,Dec!B93)</f>
        <v>0</v>
      </c>
      <c r="F93" s="12">
        <f t="shared" si="15"/>
        <v>0</v>
      </c>
      <c r="G93" s="20"/>
      <c r="H93" s="9"/>
      <c r="I93" s="10"/>
      <c r="J93" s="11"/>
      <c r="K93" s="11">
        <f>SUMIFS('Dec - registro gastos'!$D$3:$D$300,'Dec - registro gastos'!$E$3:$E$300,Dec!$H$90,'Dec - registro gastos'!$F$3:$F$300,Dec!H93)</f>
        <v>0</v>
      </c>
      <c r="L93" s="12">
        <f>J93-K93</f>
        <v>0</v>
      </c>
    </row>
    <row r="94" spans="2:12" x14ac:dyDescent="0.2">
      <c r="B94" s="9"/>
      <c r="C94" s="10"/>
      <c r="D94" s="11"/>
      <c r="E94" s="11">
        <f>SUMIFS('Dec - registro gastos'!$D$3:$D$300,'Dec - registro gastos'!$E$3:$E$300,Dec!$B$90,'Dec - registro gastos'!$F$3:$F$300,Dec!B94)</f>
        <v>0</v>
      </c>
      <c r="F94" s="12">
        <f t="shared" si="15"/>
        <v>0</v>
      </c>
      <c r="G94" s="20"/>
      <c r="H94" s="9"/>
      <c r="I94" s="10"/>
      <c r="J94" s="11"/>
      <c r="K94" s="11">
        <f>SUMIFS('Dec - registro gastos'!$D$3:$D$300,'Dec - registro gastos'!$E$3:$E$300,Dec!$H$90,'Dec - registro gastos'!$F$3:$F$300,Dec!H94)</f>
        <v>0</v>
      </c>
      <c r="L94" s="12">
        <f t="shared" si="14"/>
        <v>0</v>
      </c>
    </row>
    <row r="95" spans="2:12" x14ac:dyDescent="0.2">
      <c r="B95" s="9"/>
      <c r="C95" s="10"/>
      <c r="D95" s="11"/>
      <c r="E95" s="11">
        <f>SUMIFS('Dec - registro gastos'!$D$3:$D$300,'Dec - registro gastos'!$E$3:$E$300,Dec!$B$90,'Dec - registro gastos'!$F$3:$F$300,Dec!B95)</f>
        <v>0</v>
      </c>
      <c r="F95" s="12">
        <f>D95-E95</f>
        <v>0</v>
      </c>
      <c r="G95" s="20"/>
      <c r="H95" s="9"/>
      <c r="I95" s="10"/>
      <c r="J95" s="11"/>
      <c r="K95" s="11">
        <f>SUMIFS('Dec - registro gastos'!$D$3:$D$300,'Dec - registro gastos'!$E$3:$E$300,Dec!$H$90,'Dec - registro gastos'!$F$3:$F$300,Dec!H95)</f>
        <v>0</v>
      </c>
      <c r="L95" s="12">
        <f t="shared" si="14"/>
        <v>0</v>
      </c>
    </row>
    <row r="96" spans="2:12" x14ac:dyDescent="0.2">
      <c r="B96" s="9"/>
      <c r="C96" s="10"/>
      <c r="D96" s="11"/>
      <c r="E96" s="11">
        <f>SUMIFS('Dec - registro gastos'!$D$3:$D$300,'Dec - registro gastos'!$E$3:$E$300,Dec!$B$90,'Dec - registro gastos'!$F$3:$F$300,Dec!B96)</f>
        <v>0</v>
      </c>
      <c r="F96" s="12">
        <f t="shared" si="15"/>
        <v>0</v>
      </c>
      <c r="G96" s="20"/>
      <c r="H96" s="9"/>
      <c r="I96" s="10"/>
      <c r="J96" s="11"/>
      <c r="K96" s="11">
        <f>SUMIFS('Dec - registro gastos'!$D$3:$D$300,'Dec - registro gastos'!$E$3:$E$300,Dec!$H$90,'Dec - registro gastos'!$F$3:$F$300,Dec!H96)</f>
        <v>0</v>
      </c>
      <c r="L96" s="12">
        <f>J96-K96</f>
        <v>0</v>
      </c>
    </row>
    <row r="97" spans="2:12" ht="17" thickBot="1" x14ac:dyDescent="0.25">
      <c r="B97" s="13"/>
      <c r="C97" s="40"/>
      <c r="D97" s="14"/>
      <c r="E97" s="14">
        <f>SUMIFS('Dec - registro gastos'!$D$3:$D$300,'Dec - registro gastos'!$E$3:$E$300,Dec!$B$90,'Dec - registro gastos'!$F$3:$F$300,Dec!B97)</f>
        <v>0</v>
      </c>
      <c r="F97" s="15">
        <f t="shared" si="15"/>
        <v>0</v>
      </c>
      <c r="G97" s="20"/>
      <c r="H97" s="13"/>
      <c r="I97" s="40"/>
      <c r="J97" s="14"/>
      <c r="K97" s="14">
        <f>SUMIFS('Dec - registro gastos'!$D$3:$D$300,'Dec - registro gastos'!$E$3:$E$300,Dec!$H$90,'Dec - registro gastos'!$F$3:$F$300,Dec!H97)</f>
        <v>0</v>
      </c>
      <c r="L97" s="15">
        <f t="shared" si="14"/>
        <v>0</v>
      </c>
    </row>
    <row r="98" spans="2:12" ht="17" thickTop="1" x14ac:dyDescent="0.2">
      <c r="B98" s="16" t="s">
        <v>54</v>
      </c>
      <c r="C98" s="17"/>
      <c r="D98" s="18">
        <f>SUM(D91:D97)</f>
        <v>0</v>
      </c>
      <c r="E98" s="18">
        <f>SUM(E91:E97)</f>
        <v>0</v>
      </c>
      <c r="F98" s="19">
        <f>D98-E98</f>
        <v>0</v>
      </c>
      <c r="G98" s="20"/>
      <c r="H98" s="16" t="s">
        <v>54</v>
      </c>
      <c r="I98" s="17"/>
      <c r="J98" s="18">
        <f>SUM(J91:J97)</f>
        <v>0</v>
      </c>
      <c r="K98" s="18">
        <f>SUM(K91:K97)</f>
        <v>0</v>
      </c>
      <c r="L98" s="19">
        <f>J98-K98</f>
        <v>0</v>
      </c>
    </row>
    <row r="99" spans="2:12" x14ac:dyDescent="0.2">
      <c r="B99" s="95"/>
      <c r="C99" s="95"/>
      <c r="D99" s="95"/>
      <c r="E99" s="5"/>
      <c r="J99" s="5"/>
      <c r="K99" s="5"/>
    </row>
    <row r="100" spans="2:12" x14ac:dyDescent="0.2">
      <c r="B100" s="55" t="s">
        <v>130</v>
      </c>
      <c r="C100" s="56" t="s">
        <v>40</v>
      </c>
      <c r="D100" s="57" t="s">
        <v>41</v>
      </c>
      <c r="E100" s="58" t="s">
        <v>42</v>
      </c>
      <c r="F100" s="58" t="s">
        <v>43</v>
      </c>
      <c r="H100" s="55" t="s">
        <v>131</v>
      </c>
      <c r="I100" s="56" t="s">
        <v>40</v>
      </c>
      <c r="J100" s="57" t="s">
        <v>41</v>
      </c>
      <c r="K100" s="58" t="s">
        <v>42</v>
      </c>
      <c r="L100" s="58" t="s">
        <v>43</v>
      </c>
    </row>
    <row r="101" spans="2:12" x14ac:dyDescent="0.2">
      <c r="B101" s="9">
        <v>4</v>
      </c>
      <c r="C101" s="10"/>
      <c r="D101" s="11"/>
      <c r="E101" s="11">
        <f>SUMIFS('Dec - registro gastos'!$D$3:$D$300,'Dec - registro gastos'!$E$3:$E$300,Dec!$B$100,'Dec - registro gastos'!$F$3:$F$300,Dec!B101)</f>
        <v>0</v>
      </c>
      <c r="F101" s="12">
        <f>D101-E101</f>
        <v>0</v>
      </c>
      <c r="G101" s="20"/>
      <c r="H101" s="9">
        <v>5</v>
      </c>
      <c r="I101" s="10"/>
      <c r="J101" s="11"/>
      <c r="K101" s="11">
        <f>SUMIFS('Dec - registro gastos'!$D$3:$D$300,'Dec - registro gastos'!$E$3:$E$300,Dec!$H$100,'Dec - registro gastos'!$F$3:$F$300,Dec!H101)</f>
        <v>0</v>
      </c>
      <c r="L101" s="12">
        <f>J101-K101</f>
        <v>0</v>
      </c>
    </row>
    <row r="102" spans="2:12" x14ac:dyDescent="0.2">
      <c r="B102" s="9"/>
      <c r="C102" s="10"/>
      <c r="D102" s="11"/>
      <c r="E102" s="11">
        <f>SUMIFS('Dec - registro gastos'!$D$3:$D$300,'Dec - registro gastos'!$E$3:$E$300,Dec!$B$100,'Dec - registro gastos'!$F$3:$F$300,Dec!B102)</f>
        <v>0</v>
      </c>
      <c r="F102" s="12">
        <f t="shared" ref="F102:F106" si="16">D102-E102</f>
        <v>0</v>
      </c>
      <c r="G102" s="20"/>
      <c r="H102" s="9"/>
      <c r="I102" s="10"/>
      <c r="J102" s="11"/>
      <c r="K102" s="11">
        <f>SUMIFS('Dec - registro gastos'!$D$3:$D$300,'Dec - registro gastos'!$E$3:$E$300,Dec!$H$100,'Dec - registro gastos'!$F$3:$F$300,Dec!H102)</f>
        <v>0</v>
      </c>
      <c r="L102" s="12">
        <f t="shared" ref="L102:L106" si="17">J102-K102</f>
        <v>0</v>
      </c>
    </row>
    <row r="103" spans="2:12" x14ac:dyDescent="0.2">
      <c r="B103" s="9"/>
      <c r="C103" s="10"/>
      <c r="D103" s="11"/>
      <c r="E103" s="11">
        <f>SUMIFS('Dec - registro gastos'!$D$3:$D$300,'Dec - registro gastos'!$E$3:$E$300,Dec!$B$100,'Dec - registro gastos'!$F$3:$F$300,Dec!B103)</f>
        <v>0</v>
      </c>
      <c r="F103" s="12">
        <f t="shared" si="16"/>
        <v>0</v>
      </c>
      <c r="G103" s="20"/>
      <c r="H103" s="9"/>
      <c r="I103" s="10"/>
      <c r="J103" s="11"/>
      <c r="K103" s="11">
        <f>SUMIFS('Dec - registro gastos'!$D$3:$D$300,'Dec - registro gastos'!$E$3:$E$300,Dec!$H$100,'Dec - registro gastos'!$F$3:$F$300,Dec!H103)</f>
        <v>0</v>
      </c>
      <c r="L103" s="12">
        <f t="shared" si="17"/>
        <v>0</v>
      </c>
    </row>
    <row r="104" spans="2:12" x14ac:dyDescent="0.2">
      <c r="B104" s="9"/>
      <c r="C104" s="10"/>
      <c r="D104" s="11"/>
      <c r="E104" s="11">
        <f>SUMIFS('Dec - registro gastos'!$D$3:$D$300,'Dec - registro gastos'!$E$3:$E$300,Dec!$B$100,'Dec - registro gastos'!$F$3:$F$300,Dec!B104)</f>
        <v>0</v>
      </c>
      <c r="F104" s="12">
        <f t="shared" si="16"/>
        <v>0</v>
      </c>
      <c r="G104" s="20"/>
      <c r="H104" s="9"/>
      <c r="I104" s="10"/>
      <c r="J104" s="11"/>
      <c r="K104" s="11">
        <f>SUMIFS('Dec - registro gastos'!$D$3:$D$300,'Dec - registro gastos'!$E$3:$E$300,Dec!$H$100,'Dec - registro gastos'!$F$3:$F$300,Dec!H104)</f>
        <v>0</v>
      </c>
      <c r="L104" s="12">
        <f t="shared" si="17"/>
        <v>0</v>
      </c>
    </row>
    <row r="105" spans="2:12" x14ac:dyDescent="0.2">
      <c r="B105" s="9"/>
      <c r="C105" s="10"/>
      <c r="D105" s="11"/>
      <c r="E105" s="11">
        <f>SUMIFS('Dec - registro gastos'!$D$3:$D$300,'Dec - registro gastos'!$E$3:$E$300,Dec!$B$100,'Dec - registro gastos'!$F$3:$F$300,Dec!B105)</f>
        <v>0</v>
      </c>
      <c r="F105" s="12">
        <f t="shared" si="16"/>
        <v>0</v>
      </c>
      <c r="G105" s="20"/>
      <c r="H105" s="9"/>
      <c r="I105" s="10"/>
      <c r="J105" s="11"/>
      <c r="K105" s="11">
        <f>SUMIFS('Dec - registro gastos'!$D$3:$D$300,'Dec - registro gastos'!$E$3:$E$300,Dec!$H$100,'Dec - registro gastos'!$F$3:$F$300,Dec!H105)</f>
        <v>0</v>
      </c>
      <c r="L105" s="12">
        <f t="shared" si="17"/>
        <v>0</v>
      </c>
    </row>
    <row r="106" spans="2:12" x14ac:dyDescent="0.2">
      <c r="B106" s="9"/>
      <c r="C106" s="10"/>
      <c r="D106" s="11"/>
      <c r="E106" s="11">
        <f>SUMIFS('Dec - registro gastos'!$D$3:$D$300,'Dec - registro gastos'!$E$3:$E$300,Dec!$B$100,'Dec - registro gastos'!$F$3:$F$300,Dec!B106)</f>
        <v>0</v>
      </c>
      <c r="F106" s="12">
        <f t="shared" si="16"/>
        <v>0</v>
      </c>
      <c r="G106" s="20"/>
      <c r="H106" s="9"/>
      <c r="I106" s="10"/>
      <c r="J106" s="11"/>
      <c r="K106" s="11">
        <f>SUMIFS('Dec - registro gastos'!$D$3:$D$300,'Dec - registro gastos'!$E$3:$E$300,Dec!$H$100,'Dec - registro gastos'!$F$3:$F$300,Dec!H106)</f>
        <v>0</v>
      </c>
      <c r="L106" s="12">
        <f t="shared" si="17"/>
        <v>0</v>
      </c>
    </row>
    <row r="107" spans="2:12" ht="17" thickBot="1" x14ac:dyDescent="0.25">
      <c r="B107" s="13"/>
      <c r="C107" s="40"/>
      <c r="D107" s="14"/>
      <c r="E107" s="14">
        <f>SUMIFS('Dec - registro gastos'!$D$3:$D$300,'Dec - registro gastos'!$E$3:$E$300,Dec!$B$100,'Dec - registro gastos'!$F$3:$F$300,Dec!B107)</f>
        <v>0</v>
      </c>
      <c r="F107" s="15">
        <f>D107-E107</f>
        <v>0</v>
      </c>
      <c r="G107" s="20"/>
      <c r="H107" s="13"/>
      <c r="I107" s="40"/>
      <c r="J107" s="14"/>
      <c r="K107" s="14">
        <f>SUMIFS('Dec - registro gastos'!$D$3:$D$300,'Dec - registro gastos'!$E$3:$E$300,Dec!$H$100,'Dec - registro gastos'!$F$3:$F$300,Dec!H107)</f>
        <v>0</v>
      </c>
      <c r="L107" s="15">
        <f>J107-K107</f>
        <v>0</v>
      </c>
    </row>
    <row r="108" spans="2:12" ht="17" thickTop="1" x14ac:dyDescent="0.2">
      <c r="B108" s="16" t="s">
        <v>54</v>
      </c>
      <c r="C108" s="17"/>
      <c r="D108" s="18">
        <f>SUM(D101:D107)</f>
        <v>0</v>
      </c>
      <c r="E108" s="18">
        <f>SUM(E101:E107)</f>
        <v>0</v>
      </c>
      <c r="F108" s="19">
        <f>D108-E108</f>
        <v>0</v>
      </c>
      <c r="G108" s="20"/>
      <c r="H108" s="16" t="s">
        <v>54</v>
      </c>
      <c r="I108" s="17"/>
      <c r="J108" s="18">
        <f>SUM(J101:J107)</f>
        <v>0</v>
      </c>
      <c r="K108" s="18">
        <f>SUM(K101:K107)</f>
        <v>0</v>
      </c>
      <c r="L108" s="19">
        <f>J108-K108</f>
        <v>0</v>
      </c>
    </row>
    <row r="109" spans="2:12" ht="13.5" customHeight="1" x14ac:dyDescent="0.2">
      <c r="H109" s="23"/>
      <c r="I109" s="23"/>
    </row>
    <row r="110" spans="2:12" ht="13.5" customHeight="1" x14ac:dyDescent="0.2"/>
  </sheetData>
  <sheetProtection selectLockedCells="1"/>
  <mergeCells count="8">
    <mergeCell ref="B4:B10"/>
    <mergeCell ref="C4:D4"/>
    <mergeCell ref="C10:D10"/>
    <mergeCell ref="C5:D5"/>
    <mergeCell ref="C7:D7"/>
    <mergeCell ref="C6:D6"/>
    <mergeCell ref="C8:D8"/>
    <mergeCell ref="C9:D9"/>
  </mergeCells>
  <printOptions horizontalCentered="1"/>
  <pageMargins left="0.4" right="0.4" top="0.4" bottom="0.4" header="0.3" footer="0.3"/>
  <pageSetup fitToHeight="0" orientation="portrait" r:id="rId1"/>
  <headerFooter differentFirst="1">
    <oddHeader>&amp;R&amp;KE3170D &amp;B &amp;UHighly Restricted</oddHeader>
    <oddFooter>Page &amp;P of &amp;N</oddFooter>
  </headerFooter>
  <ignoredErrors>
    <ignoredError sqref="E29:E108 K13:K107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D1C4B2C-55EB-5848-80F3-D4CDD57162BD}">
            <x14:iconSet iconSet="3Symbols2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Erros" error="Selecciona SI o NO para crear un fondo_x000a_" xr:uid="{B14ED9D8-E1D8-DB44-8C80-B50383FB34A5}">
          <x14:formula1>
            <xm:f>'Master data'!$I$4:$I$4</xm:f>
          </x14:formula1>
          <xm:sqref>C13:C24 C28:C35 C101:C107 I91:I97 I39:I45 I28:I35 C39:C45 C49:C54 I58:I64 I49:I54 C58:C64 C68:C78 I82:I87 I68:I78 C82:C87 C91:C97 I101:I107 I13:I24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7100-CB82-DF49-82BD-A7C9346F45D6}">
  <sheetPr codeName="Hoja14">
    <tabColor rgb="FFFD9F00"/>
  </sheetPr>
  <dimension ref="B2:AR312"/>
  <sheetViews>
    <sheetView showGridLines="0" zoomScale="110" zoomScaleNormal="110" workbookViewId="0">
      <selection activeCell="D4" sqref="D3:F4"/>
    </sheetView>
  </sheetViews>
  <sheetFormatPr baseColWidth="10" defaultRowHeight="14" x14ac:dyDescent="0.2"/>
  <cols>
    <col min="2" max="3" width="31.796875" customWidth="1"/>
    <col min="4" max="4" width="23.3984375" style="92" customWidth="1"/>
    <col min="5" max="5" width="23.3984375" customWidth="1"/>
    <col min="6" max="6" width="26.3984375" customWidth="1"/>
    <col min="7" max="7" width="1" customWidth="1"/>
    <col min="8" max="9" width="36" style="93" hidden="1" customWidth="1"/>
    <col min="10" max="10" width="36" style="93" bestFit="1" customWidth="1"/>
    <col min="12" max="13" width="11" customWidth="1"/>
    <col min="14" max="38" width="11" hidden="1" customWidth="1"/>
    <col min="39" max="39" width="11" style="80" hidden="1" customWidth="1"/>
    <col min="40" max="40" width="21" style="80" hidden="1" customWidth="1"/>
    <col min="41" max="41" width="18.796875" style="94" hidden="1" customWidth="1"/>
    <col min="42" max="43" width="36" style="80" hidden="1" customWidth="1"/>
    <col min="44" max="44" width="11" style="80" customWidth="1"/>
  </cols>
  <sheetData>
    <row r="2" spans="2:44" s="71" customFormat="1" ht="22" customHeight="1" x14ac:dyDescent="0.2">
      <c r="B2" s="69" t="s">
        <v>120</v>
      </c>
      <c r="C2" s="69" t="s">
        <v>121</v>
      </c>
      <c r="D2" s="69" t="s">
        <v>122</v>
      </c>
      <c r="E2" s="69" t="s">
        <v>123</v>
      </c>
      <c r="F2" s="69" t="s">
        <v>124</v>
      </c>
      <c r="G2"/>
      <c r="H2" s="70"/>
      <c r="I2" s="70"/>
      <c r="J2" s="70" t="s">
        <v>123</v>
      </c>
      <c r="AM2" s="72"/>
      <c r="AN2" s="72"/>
      <c r="AO2" s="73"/>
      <c r="AP2" s="72"/>
      <c r="AQ2" s="72"/>
      <c r="AR2" s="72"/>
    </row>
    <row r="3" spans="2:44" ht="15" thickBot="1" x14ac:dyDescent="0.25">
      <c r="B3" s="74"/>
      <c r="C3" s="75"/>
      <c r="D3" s="76"/>
      <c r="E3" s="77"/>
      <c r="F3" s="77"/>
      <c r="H3" s="78" t="str">
        <f t="shared" ref="H3:H66" si="0">E3&amp;F3</f>
        <v/>
      </c>
      <c r="I3" s="78" t="str">
        <f t="shared" ref="I3:I66" si="1">IFERROR(VLOOKUP(H3,$AP:$AQ,2,FALSE),"Error")</f>
        <v>Error</v>
      </c>
      <c r="J3" s="79" t="str">
        <f t="shared" ref="J3:J4" si="2">IF(I3="Error","Revisa tu subcategoria",IF(I3=H3,"Es correcto",IF(H3="blanco","","")))</f>
        <v>Revisa tu subcategoria</v>
      </c>
      <c r="AN3" s="81" t="s">
        <v>125</v>
      </c>
      <c r="AO3" s="82" t="s">
        <v>126</v>
      </c>
    </row>
    <row r="4" spans="2:44" x14ac:dyDescent="0.2">
      <c r="B4" s="74"/>
      <c r="C4" s="77"/>
      <c r="D4" s="76"/>
      <c r="E4" s="77"/>
      <c r="F4" s="77"/>
      <c r="H4" s="78" t="str">
        <f t="shared" si="0"/>
        <v/>
      </c>
      <c r="I4" s="78" t="str">
        <f t="shared" si="1"/>
        <v>Error</v>
      </c>
      <c r="J4" s="79" t="str">
        <f t="shared" si="2"/>
        <v>Revisa tu subcategoria</v>
      </c>
      <c r="AN4" s="83" t="str">
        <f>Dec!$B$12</f>
        <v>NECESIDADES BÁSICAS</v>
      </c>
      <c r="AO4" s="84" t="str">
        <f>Dec!B13</f>
        <v>Arriendo/Hipoteca</v>
      </c>
      <c r="AP4" s="80" t="str">
        <f>AN4&amp;AO4</f>
        <v>NECESIDADES BÁSICASArriendo/Hipoteca</v>
      </c>
      <c r="AQ4" s="80" t="str">
        <f>AP4</f>
        <v>NECESIDADES BÁSICASArriendo/Hipoteca</v>
      </c>
    </row>
    <row r="5" spans="2:44" x14ac:dyDescent="0.2">
      <c r="B5" s="74"/>
      <c r="C5" s="77"/>
      <c r="D5" s="76"/>
      <c r="E5" s="77"/>
      <c r="F5" s="77"/>
      <c r="H5" s="78" t="str">
        <f t="shared" si="0"/>
        <v/>
      </c>
      <c r="I5" s="78" t="str">
        <f t="shared" si="1"/>
        <v>Error</v>
      </c>
      <c r="J5" s="79" t="str">
        <f>IF(I5="Error","Revisa tu subcategoria",IF(I5=H5,"Es correcto",IF(H5="blanco","","")))</f>
        <v>Revisa tu subcategoria</v>
      </c>
      <c r="AN5" s="85" t="str">
        <f>Dec!$B$12</f>
        <v>NECESIDADES BÁSICAS</v>
      </c>
      <c r="AO5" s="86" t="str">
        <f>Dec!B14</f>
        <v>Telefono/ Celular</v>
      </c>
      <c r="AP5" s="80" t="str">
        <f>AN5&amp;AO5</f>
        <v>NECESIDADES BÁSICASTelefono/ Celular</v>
      </c>
      <c r="AQ5" s="80" t="str">
        <f t="shared" ref="AQ5:AQ68" si="3">AP5</f>
        <v>NECESIDADES BÁSICASTelefono/ Celular</v>
      </c>
    </row>
    <row r="6" spans="2:44" x14ac:dyDescent="0.2">
      <c r="B6" s="74"/>
      <c r="C6" s="77"/>
      <c r="D6" s="76"/>
      <c r="E6" s="77"/>
      <c r="F6" s="77"/>
      <c r="H6" s="78" t="str">
        <f t="shared" si="0"/>
        <v/>
      </c>
      <c r="I6" s="78" t="str">
        <f t="shared" si="1"/>
        <v>Error</v>
      </c>
      <c r="J6" s="79" t="str">
        <f>IF(I6="Error","Revisa tu subcategoria",IF(I6=H6,"Es correcto",IF(H6="blanco","","")))</f>
        <v>Revisa tu subcategoria</v>
      </c>
      <c r="AN6" s="85" t="str">
        <f>Dec!$B$12</f>
        <v>NECESIDADES BÁSICAS</v>
      </c>
      <c r="AO6" s="86" t="str">
        <f>Dec!B15</f>
        <v>Electricidad</v>
      </c>
      <c r="AP6" s="80" t="str">
        <f t="shared" ref="AP6:AP69" si="4">AN6&amp;AO6</f>
        <v>NECESIDADES BÁSICASElectricidad</v>
      </c>
      <c r="AQ6" s="80" t="str">
        <f t="shared" si="3"/>
        <v>NECESIDADES BÁSICASElectricidad</v>
      </c>
    </row>
    <row r="7" spans="2:44" x14ac:dyDescent="0.2">
      <c r="B7" s="74"/>
      <c r="C7" s="77"/>
      <c r="D7" s="76"/>
      <c r="E7" s="77"/>
      <c r="F7" s="77"/>
      <c r="H7" s="78" t="str">
        <f t="shared" si="0"/>
        <v/>
      </c>
      <c r="I7" s="78" t="str">
        <f t="shared" si="1"/>
        <v>Error</v>
      </c>
      <c r="J7" s="79" t="str">
        <f>IF(I7="Error","Revisa tu subcategoria",IF(I7=H7,"Es correcto",IF(H7="blanco","","")))</f>
        <v>Revisa tu subcategoria</v>
      </c>
      <c r="AN7" s="85" t="str">
        <f>Dec!$B$12</f>
        <v>NECESIDADES BÁSICAS</v>
      </c>
      <c r="AO7" s="86" t="str">
        <f>Dec!B16</f>
        <v>Agua</v>
      </c>
      <c r="AP7" s="80" t="str">
        <f t="shared" si="4"/>
        <v>NECESIDADES BÁSICASAgua</v>
      </c>
      <c r="AQ7" s="80" t="str">
        <f t="shared" si="3"/>
        <v>NECESIDADES BÁSICASAgua</v>
      </c>
    </row>
    <row r="8" spans="2:44" x14ac:dyDescent="0.2">
      <c r="B8" s="74"/>
      <c r="C8" s="77"/>
      <c r="D8" s="76"/>
      <c r="E8" s="77"/>
      <c r="F8" s="77"/>
      <c r="H8" s="78" t="str">
        <f t="shared" si="0"/>
        <v/>
      </c>
      <c r="I8" s="78" t="str">
        <f t="shared" si="1"/>
        <v>Error</v>
      </c>
      <c r="J8" s="79" t="str">
        <f t="shared" ref="J8:J71" si="5">IF(H8=I8,"Es correcto","Revisa tu subcategoria")</f>
        <v>Revisa tu subcategoria</v>
      </c>
      <c r="AN8" s="85" t="str">
        <f>Dec!$B$12</f>
        <v>NECESIDADES BÁSICAS</v>
      </c>
      <c r="AO8" s="86" t="str">
        <f>Dec!B17</f>
        <v>Gas</v>
      </c>
      <c r="AP8" s="80" t="str">
        <f t="shared" si="4"/>
        <v>NECESIDADES BÁSICASGas</v>
      </c>
      <c r="AQ8" s="80" t="str">
        <f t="shared" si="3"/>
        <v>NECESIDADES BÁSICASGas</v>
      </c>
    </row>
    <row r="9" spans="2:44" x14ac:dyDescent="0.2">
      <c r="B9" s="74"/>
      <c r="C9" s="77"/>
      <c r="D9" s="76"/>
      <c r="E9" s="77"/>
      <c r="F9" s="77"/>
      <c r="H9" s="78" t="str">
        <f t="shared" si="0"/>
        <v/>
      </c>
      <c r="I9" s="78" t="str">
        <f t="shared" si="1"/>
        <v>Error</v>
      </c>
      <c r="J9" s="79" t="str">
        <f t="shared" si="5"/>
        <v>Revisa tu subcategoria</v>
      </c>
      <c r="AN9" s="85" t="str">
        <f>Dec!$B$12</f>
        <v>NECESIDADES BÁSICAS</v>
      </c>
      <c r="AO9" s="86" t="str">
        <f>Dec!B18</f>
        <v>Cable/Internet</v>
      </c>
      <c r="AP9" s="80" t="str">
        <f t="shared" si="4"/>
        <v>NECESIDADES BÁSICASCable/Internet</v>
      </c>
      <c r="AQ9" s="80" t="str">
        <f t="shared" si="3"/>
        <v>NECESIDADES BÁSICASCable/Internet</v>
      </c>
    </row>
    <row r="10" spans="2:44" x14ac:dyDescent="0.2">
      <c r="B10" s="74"/>
      <c r="C10" s="77"/>
      <c r="D10" s="76"/>
      <c r="E10" s="77"/>
      <c r="F10" s="77"/>
      <c r="H10" s="78" t="str">
        <f t="shared" si="0"/>
        <v/>
      </c>
      <c r="I10" s="78" t="str">
        <f t="shared" si="1"/>
        <v>Error</v>
      </c>
      <c r="J10" s="79" t="str">
        <f t="shared" si="5"/>
        <v>Revisa tu subcategoria</v>
      </c>
      <c r="AN10" s="85" t="str">
        <f>Dec!$B$12</f>
        <v>NECESIDADES BÁSICAS</v>
      </c>
      <c r="AO10" s="86" t="str">
        <f>Dec!B19</f>
        <v>Super Mercado</v>
      </c>
      <c r="AP10" s="80" t="str">
        <f t="shared" si="4"/>
        <v>NECESIDADES BÁSICASSuper Mercado</v>
      </c>
      <c r="AQ10" s="80" t="str">
        <f t="shared" si="3"/>
        <v>NECESIDADES BÁSICASSuper Mercado</v>
      </c>
    </row>
    <row r="11" spans="2:44" x14ac:dyDescent="0.2">
      <c r="B11" s="74"/>
      <c r="C11" s="77"/>
      <c r="D11" s="76"/>
      <c r="E11" s="77"/>
      <c r="F11" s="77"/>
      <c r="H11" s="78" t="str">
        <f t="shared" si="0"/>
        <v/>
      </c>
      <c r="I11" s="78" t="str">
        <f t="shared" si="1"/>
        <v>Error</v>
      </c>
      <c r="J11" s="79" t="str">
        <f t="shared" si="5"/>
        <v>Revisa tu subcategoria</v>
      </c>
      <c r="AN11" s="85" t="str">
        <f>Dec!$B$12</f>
        <v>NECESIDADES BÁSICAS</v>
      </c>
      <c r="AO11" s="86" t="str">
        <f>Dec!B20</f>
        <v>Gasolina</v>
      </c>
      <c r="AP11" s="80" t="str">
        <f t="shared" si="4"/>
        <v>NECESIDADES BÁSICASGasolina</v>
      </c>
      <c r="AQ11" s="80" t="str">
        <f t="shared" si="3"/>
        <v>NECESIDADES BÁSICASGasolina</v>
      </c>
    </row>
    <row r="12" spans="2:44" x14ac:dyDescent="0.2">
      <c r="B12" s="74"/>
      <c r="C12" s="77"/>
      <c r="D12" s="76"/>
      <c r="E12" s="77"/>
      <c r="F12" s="77"/>
      <c r="H12" s="78" t="str">
        <f t="shared" si="0"/>
        <v/>
      </c>
      <c r="I12" s="78" t="str">
        <f t="shared" si="1"/>
        <v>Error</v>
      </c>
      <c r="J12" s="79" t="str">
        <f t="shared" si="5"/>
        <v>Revisa tu subcategoria</v>
      </c>
      <c r="AN12" s="85" t="str">
        <f>Dec!$B$12</f>
        <v>NECESIDADES BÁSICAS</v>
      </c>
      <c r="AO12" s="86" t="str">
        <f>Dec!B21</f>
        <v>Bus</v>
      </c>
      <c r="AP12" s="80" t="str">
        <f t="shared" si="4"/>
        <v>NECESIDADES BÁSICASBus</v>
      </c>
      <c r="AQ12" s="80" t="str">
        <f t="shared" si="3"/>
        <v>NECESIDADES BÁSICASBus</v>
      </c>
    </row>
    <row r="13" spans="2:44" x14ac:dyDescent="0.2">
      <c r="B13" s="74"/>
      <c r="C13" s="77"/>
      <c r="D13" s="76"/>
      <c r="E13" s="77"/>
      <c r="F13" s="77"/>
      <c r="H13" s="78" t="str">
        <f t="shared" si="0"/>
        <v/>
      </c>
      <c r="I13" s="78" t="str">
        <f t="shared" si="1"/>
        <v>Error</v>
      </c>
      <c r="J13" s="79" t="str">
        <f t="shared" si="5"/>
        <v>Revisa tu subcategoria</v>
      </c>
      <c r="AN13" s="85" t="str">
        <f>Dec!$B$12</f>
        <v>NECESIDADES BÁSICAS</v>
      </c>
      <c r="AO13" s="86">
        <f>Dec!B22</f>
        <v>0</v>
      </c>
      <c r="AP13" s="80" t="str">
        <f t="shared" si="4"/>
        <v>NECESIDADES BÁSICAS0</v>
      </c>
      <c r="AQ13" s="80" t="str">
        <f t="shared" si="3"/>
        <v>NECESIDADES BÁSICAS0</v>
      </c>
    </row>
    <row r="14" spans="2:44" x14ac:dyDescent="0.2">
      <c r="B14" s="74"/>
      <c r="C14" s="77"/>
      <c r="D14" s="76"/>
      <c r="E14" s="77"/>
      <c r="F14" s="77"/>
      <c r="H14" s="78" t="str">
        <f>E14&amp;F14</f>
        <v/>
      </c>
      <c r="I14" s="78" t="str">
        <f t="shared" si="1"/>
        <v>Error</v>
      </c>
      <c r="J14" s="79" t="str">
        <f t="shared" si="5"/>
        <v>Revisa tu subcategoria</v>
      </c>
      <c r="AN14" s="85" t="str">
        <f>Dec!$B$12</f>
        <v>NECESIDADES BÁSICAS</v>
      </c>
      <c r="AO14" s="86">
        <f>Dec!B23</f>
        <v>0</v>
      </c>
      <c r="AP14" s="80" t="str">
        <f t="shared" si="4"/>
        <v>NECESIDADES BÁSICAS0</v>
      </c>
      <c r="AQ14" s="80" t="str">
        <f t="shared" si="3"/>
        <v>NECESIDADES BÁSICAS0</v>
      </c>
    </row>
    <row r="15" spans="2:44" ht="15" thickBot="1" x14ac:dyDescent="0.25">
      <c r="B15" s="74"/>
      <c r="C15" s="77"/>
      <c r="D15" s="76"/>
      <c r="E15" s="77"/>
      <c r="F15" s="77"/>
      <c r="H15" s="78" t="str">
        <f t="shared" si="0"/>
        <v/>
      </c>
      <c r="I15" s="78" t="str">
        <f t="shared" si="1"/>
        <v>Error</v>
      </c>
      <c r="J15" s="79" t="str">
        <f t="shared" si="5"/>
        <v>Revisa tu subcategoria</v>
      </c>
      <c r="AN15" s="87" t="str">
        <f>Dec!$B$12</f>
        <v>NECESIDADES BÁSICAS</v>
      </c>
      <c r="AO15" s="88">
        <f>Dec!B24</f>
        <v>0</v>
      </c>
      <c r="AP15" s="80" t="str">
        <f t="shared" si="4"/>
        <v>NECESIDADES BÁSICAS0</v>
      </c>
      <c r="AQ15" s="80" t="str">
        <f t="shared" si="3"/>
        <v>NECESIDADES BÁSICAS0</v>
      </c>
    </row>
    <row r="16" spans="2:44" x14ac:dyDescent="0.2">
      <c r="B16" s="74"/>
      <c r="C16" s="77"/>
      <c r="D16" s="76"/>
      <c r="E16" s="77"/>
      <c r="F16" s="77"/>
      <c r="H16" s="78" t="str">
        <f t="shared" si="0"/>
        <v/>
      </c>
      <c r="I16" s="78" t="str">
        <f t="shared" si="1"/>
        <v>Error</v>
      </c>
      <c r="J16" s="79" t="str">
        <f t="shared" si="5"/>
        <v>Revisa tu subcategoria</v>
      </c>
      <c r="AN16" s="83" t="str">
        <f>Dec!$H$12</f>
        <v>AHORROS</v>
      </c>
      <c r="AO16" s="84" t="str">
        <f>Dec!H13</f>
        <v>Fondo de Emergencia</v>
      </c>
      <c r="AP16" s="80" t="str">
        <f t="shared" si="4"/>
        <v>AHORROSFondo de Emergencia</v>
      </c>
      <c r="AQ16" s="80" t="str">
        <f t="shared" si="3"/>
        <v>AHORROSFondo de Emergencia</v>
      </c>
    </row>
    <row r="17" spans="2:43" x14ac:dyDescent="0.2">
      <c r="B17" s="74"/>
      <c r="C17" s="77"/>
      <c r="D17" s="76"/>
      <c r="E17" s="77"/>
      <c r="F17" s="77"/>
      <c r="H17" s="78" t="str">
        <f t="shared" si="0"/>
        <v/>
      </c>
      <c r="I17" s="78" t="str">
        <f t="shared" si="1"/>
        <v>Error</v>
      </c>
      <c r="J17" s="79" t="str">
        <f t="shared" si="5"/>
        <v>Revisa tu subcategoria</v>
      </c>
      <c r="AN17" s="85" t="str">
        <f>Dec!$H$12</f>
        <v>AHORROS</v>
      </c>
      <c r="AO17" s="86" t="str">
        <f>Dec!H14</f>
        <v>Fondo de Pensión</v>
      </c>
      <c r="AP17" s="80" t="str">
        <f t="shared" si="4"/>
        <v>AHORROSFondo de Pensión</v>
      </c>
      <c r="AQ17" s="80" t="str">
        <f t="shared" si="3"/>
        <v>AHORROSFondo de Pensión</v>
      </c>
    </row>
    <row r="18" spans="2:43" x14ac:dyDescent="0.2">
      <c r="B18" s="74"/>
      <c r="C18" s="77"/>
      <c r="D18" s="76"/>
      <c r="E18" s="77"/>
      <c r="F18" s="77"/>
      <c r="H18" s="78" t="str">
        <f t="shared" si="0"/>
        <v/>
      </c>
      <c r="I18" s="78" t="str">
        <f t="shared" si="1"/>
        <v>Error</v>
      </c>
      <c r="J18" s="79" t="str">
        <f t="shared" si="5"/>
        <v>Revisa tu subcategoria</v>
      </c>
      <c r="AN18" s="85" t="str">
        <f>Dec!$H$12</f>
        <v>AHORROS</v>
      </c>
      <c r="AO18" s="86" t="str">
        <f>Dec!H15</f>
        <v>Fondo de Educación</v>
      </c>
      <c r="AP18" s="80" t="str">
        <f t="shared" si="4"/>
        <v>AHORROSFondo de Educación</v>
      </c>
      <c r="AQ18" s="80" t="str">
        <f t="shared" si="3"/>
        <v>AHORROSFondo de Educación</v>
      </c>
    </row>
    <row r="19" spans="2:43" x14ac:dyDescent="0.2">
      <c r="B19" s="74"/>
      <c r="C19" s="77"/>
      <c r="D19" s="76"/>
      <c r="E19" s="77"/>
      <c r="F19" s="77"/>
      <c r="H19" s="78" t="str">
        <f t="shared" si="0"/>
        <v/>
      </c>
      <c r="I19" s="78" t="str">
        <f t="shared" si="1"/>
        <v>Error</v>
      </c>
      <c r="J19" s="79" t="str">
        <f t="shared" si="5"/>
        <v>Revisa tu subcategoria</v>
      </c>
      <c r="AN19" s="85" t="str">
        <f>Dec!$H$12</f>
        <v>AHORROS</v>
      </c>
      <c r="AO19" s="86" t="str">
        <f>Dec!H16</f>
        <v>Cuota Inicial Casa</v>
      </c>
      <c r="AP19" s="80" t="str">
        <f t="shared" si="4"/>
        <v>AHORROSCuota Inicial Casa</v>
      </c>
      <c r="AQ19" s="80" t="str">
        <f t="shared" si="3"/>
        <v>AHORROSCuota Inicial Casa</v>
      </c>
    </row>
    <row r="20" spans="2:43" x14ac:dyDescent="0.2">
      <c r="B20" s="74"/>
      <c r="C20" s="77"/>
      <c r="D20" s="76"/>
      <c r="E20" s="77"/>
      <c r="F20" s="77"/>
      <c r="H20" s="78" t="str">
        <f t="shared" si="0"/>
        <v/>
      </c>
      <c r="I20" s="78" t="str">
        <f t="shared" si="1"/>
        <v>Error</v>
      </c>
      <c r="J20" s="79" t="str">
        <f t="shared" si="5"/>
        <v>Revisa tu subcategoria</v>
      </c>
      <c r="AN20" s="85" t="str">
        <f>Dec!$H$12</f>
        <v>AHORROS</v>
      </c>
      <c r="AO20" s="86" t="str">
        <f>Dec!H17</f>
        <v>Aporte a Capital</v>
      </c>
      <c r="AP20" s="80" t="str">
        <f t="shared" si="4"/>
        <v>AHORROSAporte a Capital</v>
      </c>
      <c r="AQ20" s="80" t="str">
        <f t="shared" si="3"/>
        <v>AHORROSAporte a Capital</v>
      </c>
    </row>
    <row r="21" spans="2:43" x14ac:dyDescent="0.2">
      <c r="B21" s="74"/>
      <c r="C21" s="77"/>
      <c r="D21" s="76"/>
      <c r="E21" s="77"/>
      <c r="F21" s="77"/>
      <c r="H21" s="78" t="str">
        <f t="shared" si="0"/>
        <v/>
      </c>
      <c r="I21" s="78" t="str">
        <f t="shared" si="1"/>
        <v>Error</v>
      </c>
      <c r="J21" s="79" t="str">
        <f t="shared" si="5"/>
        <v>Revisa tu subcategoria</v>
      </c>
      <c r="AN21" s="85" t="str">
        <f>Dec!$H$12</f>
        <v>AHORROS</v>
      </c>
      <c r="AO21" s="86">
        <f>Dec!H18</f>
        <v>0</v>
      </c>
      <c r="AP21" s="80" t="str">
        <f t="shared" si="4"/>
        <v>AHORROS0</v>
      </c>
      <c r="AQ21" s="80" t="str">
        <f t="shared" si="3"/>
        <v>AHORROS0</v>
      </c>
    </row>
    <row r="22" spans="2:43" x14ac:dyDescent="0.2">
      <c r="B22" s="74"/>
      <c r="C22" s="77"/>
      <c r="D22" s="76"/>
      <c r="E22" s="77"/>
      <c r="F22" s="77"/>
      <c r="H22" s="78" t="str">
        <f t="shared" si="0"/>
        <v/>
      </c>
      <c r="I22" s="78" t="str">
        <f t="shared" si="1"/>
        <v>Error</v>
      </c>
      <c r="J22" s="79" t="str">
        <f t="shared" si="5"/>
        <v>Revisa tu subcategoria</v>
      </c>
      <c r="AN22" s="85" t="str">
        <f>Dec!$H$12</f>
        <v>AHORROS</v>
      </c>
      <c r="AO22" s="86">
        <f>Dec!H19</f>
        <v>0</v>
      </c>
      <c r="AP22" s="80" t="str">
        <f t="shared" si="4"/>
        <v>AHORROS0</v>
      </c>
      <c r="AQ22" s="80" t="str">
        <f t="shared" si="3"/>
        <v>AHORROS0</v>
      </c>
    </row>
    <row r="23" spans="2:43" x14ac:dyDescent="0.2">
      <c r="B23" s="74"/>
      <c r="C23" s="77"/>
      <c r="D23" s="76"/>
      <c r="E23" s="77"/>
      <c r="F23" s="77"/>
      <c r="H23" s="78" t="str">
        <f t="shared" si="0"/>
        <v/>
      </c>
      <c r="I23" s="78" t="str">
        <f t="shared" si="1"/>
        <v>Error</v>
      </c>
      <c r="J23" s="79" t="str">
        <f t="shared" si="5"/>
        <v>Revisa tu subcategoria</v>
      </c>
      <c r="AN23" s="85" t="str">
        <f>Dec!$H$12</f>
        <v>AHORROS</v>
      </c>
      <c r="AO23" s="86">
        <f>Dec!H20</f>
        <v>0</v>
      </c>
      <c r="AP23" s="80" t="str">
        <f t="shared" si="4"/>
        <v>AHORROS0</v>
      </c>
      <c r="AQ23" s="80" t="str">
        <f t="shared" si="3"/>
        <v>AHORROS0</v>
      </c>
    </row>
    <row r="24" spans="2:43" x14ac:dyDescent="0.2">
      <c r="B24" s="74"/>
      <c r="C24" s="77"/>
      <c r="D24" s="76"/>
      <c r="E24" s="77"/>
      <c r="F24" s="77"/>
      <c r="H24" s="78" t="str">
        <f t="shared" si="0"/>
        <v/>
      </c>
      <c r="I24" s="78" t="str">
        <f t="shared" si="1"/>
        <v>Error</v>
      </c>
      <c r="J24" s="79" t="str">
        <f t="shared" si="5"/>
        <v>Revisa tu subcategoria</v>
      </c>
      <c r="AN24" s="85" t="str">
        <f>Dec!$H$12</f>
        <v>AHORROS</v>
      </c>
      <c r="AO24" s="86">
        <f>Dec!H21</f>
        <v>0</v>
      </c>
      <c r="AP24" s="80" t="str">
        <f t="shared" si="4"/>
        <v>AHORROS0</v>
      </c>
      <c r="AQ24" s="80" t="str">
        <f t="shared" si="3"/>
        <v>AHORROS0</v>
      </c>
    </row>
    <row r="25" spans="2:43" x14ac:dyDescent="0.2">
      <c r="B25" s="74"/>
      <c r="C25" s="77"/>
      <c r="D25" s="76"/>
      <c r="E25" s="77"/>
      <c r="F25" s="77"/>
      <c r="H25" s="78" t="str">
        <f t="shared" si="0"/>
        <v/>
      </c>
      <c r="I25" s="78" t="str">
        <f t="shared" si="1"/>
        <v>Error</v>
      </c>
      <c r="J25" s="79" t="str">
        <f t="shared" si="5"/>
        <v>Revisa tu subcategoria</v>
      </c>
      <c r="AN25" s="85" t="str">
        <f>Dec!$H$12</f>
        <v>AHORROS</v>
      </c>
      <c r="AO25" s="86">
        <f>Dec!H22</f>
        <v>0</v>
      </c>
      <c r="AP25" s="80" t="str">
        <f t="shared" si="4"/>
        <v>AHORROS0</v>
      </c>
      <c r="AQ25" s="80" t="str">
        <f t="shared" si="3"/>
        <v>AHORROS0</v>
      </c>
    </row>
    <row r="26" spans="2:43" x14ac:dyDescent="0.2">
      <c r="B26" s="74"/>
      <c r="C26" s="77"/>
      <c r="D26" s="76"/>
      <c r="E26" s="77"/>
      <c r="F26" s="77"/>
      <c r="H26" s="78" t="str">
        <f t="shared" si="0"/>
        <v/>
      </c>
      <c r="I26" s="78" t="str">
        <f t="shared" si="1"/>
        <v>Error</v>
      </c>
      <c r="J26" s="79" t="str">
        <f t="shared" si="5"/>
        <v>Revisa tu subcategoria</v>
      </c>
      <c r="AN26" s="85" t="str">
        <f>Dec!$H$12</f>
        <v>AHORROS</v>
      </c>
      <c r="AO26" s="86">
        <f>Dec!H23</f>
        <v>0</v>
      </c>
      <c r="AP26" s="80" t="str">
        <f t="shared" si="4"/>
        <v>AHORROS0</v>
      </c>
      <c r="AQ26" s="80" t="str">
        <f t="shared" si="3"/>
        <v>AHORROS0</v>
      </c>
    </row>
    <row r="27" spans="2:43" ht="15" thickBot="1" x14ac:dyDescent="0.25">
      <c r="B27" s="74"/>
      <c r="C27" s="77"/>
      <c r="D27" s="76"/>
      <c r="E27" s="77"/>
      <c r="F27" s="77"/>
      <c r="H27" s="78" t="str">
        <f t="shared" si="0"/>
        <v/>
      </c>
      <c r="I27" s="78" t="str">
        <f t="shared" si="1"/>
        <v>Error</v>
      </c>
      <c r="J27" s="79" t="str">
        <f t="shared" si="5"/>
        <v>Revisa tu subcategoria</v>
      </c>
      <c r="AN27" s="87" t="str">
        <f>Dec!$H$12</f>
        <v>AHORROS</v>
      </c>
      <c r="AO27" s="88">
        <f>Dec!H24</f>
        <v>0</v>
      </c>
      <c r="AP27" s="80" t="str">
        <f t="shared" si="4"/>
        <v>AHORROS0</v>
      </c>
      <c r="AQ27" s="80" t="str">
        <f t="shared" si="3"/>
        <v>AHORROS0</v>
      </c>
    </row>
    <row r="28" spans="2:43" x14ac:dyDescent="0.2">
      <c r="B28" s="74"/>
      <c r="C28" s="77"/>
      <c r="D28" s="76"/>
      <c r="E28" s="77"/>
      <c r="F28" s="77"/>
      <c r="H28" s="78" t="str">
        <f t="shared" si="0"/>
        <v/>
      </c>
      <c r="I28" s="78" t="str">
        <f t="shared" si="1"/>
        <v>Error</v>
      </c>
      <c r="J28" s="79" t="str">
        <f t="shared" si="5"/>
        <v>Revisa tu subcategoria</v>
      </c>
      <c r="AN28" s="83" t="str">
        <f>Dec!$B$27</f>
        <v>DEUDAS</v>
      </c>
      <c r="AO28" s="84" t="str">
        <f>Dec!B28</f>
        <v>Deuda Carro</v>
      </c>
      <c r="AP28" s="80" t="str">
        <f t="shared" si="4"/>
        <v>DEUDASDeuda Carro</v>
      </c>
      <c r="AQ28" s="80" t="str">
        <f t="shared" si="3"/>
        <v>DEUDASDeuda Carro</v>
      </c>
    </row>
    <row r="29" spans="2:43" x14ac:dyDescent="0.2">
      <c r="B29" s="74"/>
      <c r="C29" s="77"/>
      <c r="D29" s="76"/>
      <c r="E29" s="77"/>
      <c r="F29" s="77"/>
      <c r="H29" s="78" t="str">
        <f t="shared" si="0"/>
        <v/>
      </c>
      <c r="I29" s="78" t="str">
        <f t="shared" si="1"/>
        <v>Error</v>
      </c>
      <c r="J29" s="79" t="str">
        <f t="shared" si="5"/>
        <v>Revisa tu subcategoria</v>
      </c>
      <c r="AN29" s="85" t="str">
        <f>Dec!$B$27</f>
        <v>DEUDAS</v>
      </c>
      <c r="AO29" s="86" t="str">
        <f>Dec!B29</f>
        <v>Deuda tarjeta 1</v>
      </c>
      <c r="AP29" s="80" t="str">
        <f t="shared" si="4"/>
        <v>DEUDASDeuda tarjeta 1</v>
      </c>
      <c r="AQ29" s="80" t="str">
        <f t="shared" si="3"/>
        <v>DEUDASDeuda tarjeta 1</v>
      </c>
    </row>
    <row r="30" spans="2:43" x14ac:dyDescent="0.2">
      <c r="B30" s="74"/>
      <c r="C30" s="77"/>
      <c r="D30" s="76"/>
      <c r="E30" s="77"/>
      <c r="F30" s="77"/>
      <c r="H30" s="78" t="str">
        <f t="shared" si="0"/>
        <v/>
      </c>
      <c r="I30" s="78" t="str">
        <f t="shared" si="1"/>
        <v>Error</v>
      </c>
      <c r="J30" s="79" t="str">
        <f t="shared" si="5"/>
        <v>Revisa tu subcategoria</v>
      </c>
      <c r="AN30" s="85" t="str">
        <f>Dec!$B$27</f>
        <v>DEUDAS</v>
      </c>
      <c r="AO30" s="86" t="str">
        <f>Dec!B30</f>
        <v>Deuda tarjeta 2</v>
      </c>
      <c r="AP30" s="80" t="str">
        <f t="shared" si="4"/>
        <v>DEUDASDeuda tarjeta 2</v>
      </c>
      <c r="AQ30" s="80" t="str">
        <f t="shared" si="3"/>
        <v>DEUDASDeuda tarjeta 2</v>
      </c>
    </row>
    <row r="31" spans="2:43" x14ac:dyDescent="0.2">
      <c r="B31" s="74"/>
      <c r="C31" s="77"/>
      <c r="D31" s="76"/>
      <c r="E31" s="77"/>
      <c r="F31" s="77"/>
      <c r="H31" s="78" t="str">
        <f t="shared" si="0"/>
        <v/>
      </c>
      <c r="I31" s="78" t="str">
        <f t="shared" si="1"/>
        <v>Error</v>
      </c>
      <c r="J31" s="79" t="str">
        <f t="shared" si="5"/>
        <v>Revisa tu subcategoria</v>
      </c>
      <c r="AN31" s="85" t="str">
        <f>Dec!$B$27</f>
        <v>DEUDAS</v>
      </c>
      <c r="AO31" s="86" t="str">
        <f>Dec!B31</f>
        <v xml:space="preserve">Deuda Estudio </v>
      </c>
      <c r="AP31" s="80" t="str">
        <f t="shared" si="4"/>
        <v xml:space="preserve">DEUDASDeuda Estudio </v>
      </c>
      <c r="AQ31" s="80" t="str">
        <f t="shared" si="3"/>
        <v xml:space="preserve">DEUDASDeuda Estudio </v>
      </c>
    </row>
    <row r="32" spans="2:43" x14ac:dyDescent="0.2">
      <c r="B32" s="74"/>
      <c r="C32" s="77"/>
      <c r="D32" s="76"/>
      <c r="E32" s="77"/>
      <c r="F32" s="77"/>
      <c r="H32" s="78" t="str">
        <f t="shared" si="0"/>
        <v/>
      </c>
      <c r="I32" s="78" t="str">
        <f t="shared" si="1"/>
        <v>Error</v>
      </c>
      <c r="J32" s="79" t="str">
        <f t="shared" si="5"/>
        <v>Revisa tu subcategoria</v>
      </c>
      <c r="AN32" s="85" t="str">
        <f>Dec!$B$27</f>
        <v>DEUDAS</v>
      </c>
      <c r="AO32" s="86" t="str">
        <f>Dec!B32</f>
        <v>Carro</v>
      </c>
      <c r="AP32" s="80" t="str">
        <f t="shared" si="4"/>
        <v>DEUDASCarro</v>
      </c>
      <c r="AQ32" s="80" t="str">
        <f t="shared" si="3"/>
        <v>DEUDASCarro</v>
      </c>
    </row>
    <row r="33" spans="2:43" x14ac:dyDescent="0.2">
      <c r="B33" s="74"/>
      <c r="C33" s="77"/>
      <c r="D33" s="76"/>
      <c r="E33" s="77"/>
      <c r="F33" s="77"/>
      <c r="H33" s="78" t="str">
        <f t="shared" si="0"/>
        <v/>
      </c>
      <c r="I33" s="78" t="str">
        <f t="shared" si="1"/>
        <v>Error</v>
      </c>
      <c r="J33" s="79" t="str">
        <f t="shared" si="5"/>
        <v>Revisa tu subcategoria</v>
      </c>
      <c r="AN33" s="85" t="str">
        <f>Dec!$B$27</f>
        <v>DEUDAS</v>
      </c>
      <c r="AO33" s="86">
        <f>Dec!B33</f>
        <v>0</v>
      </c>
      <c r="AP33" s="80" t="str">
        <f t="shared" si="4"/>
        <v>DEUDAS0</v>
      </c>
      <c r="AQ33" s="80" t="str">
        <f t="shared" si="3"/>
        <v>DEUDAS0</v>
      </c>
    </row>
    <row r="34" spans="2:43" x14ac:dyDescent="0.2">
      <c r="B34" s="74"/>
      <c r="C34" s="77"/>
      <c r="D34" s="76"/>
      <c r="E34" s="77"/>
      <c r="F34" s="77"/>
      <c r="H34" s="78" t="str">
        <f t="shared" si="0"/>
        <v/>
      </c>
      <c r="I34" s="78" t="str">
        <f t="shared" si="1"/>
        <v>Error</v>
      </c>
      <c r="J34" s="79" t="str">
        <f t="shared" si="5"/>
        <v>Revisa tu subcategoria</v>
      </c>
      <c r="AN34" s="85" t="str">
        <f>Dec!$B$27</f>
        <v>DEUDAS</v>
      </c>
      <c r="AO34" s="86">
        <f>Dec!B34</f>
        <v>0</v>
      </c>
      <c r="AP34" s="80" t="str">
        <f t="shared" si="4"/>
        <v>DEUDAS0</v>
      </c>
      <c r="AQ34" s="80" t="str">
        <f t="shared" si="3"/>
        <v>DEUDAS0</v>
      </c>
    </row>
    <row r="35" spans="2:43" ht="15" thickBot="1" x14ac:dyDescent="0.25">
      <c r="B35" s="74"/>
      <c r="C35" s="77"/>
      <c r="D35" s="76"/>
      <c r="E35" s="77"/>
      <c r="F35" s="77"/>
      <c r="H35" s="78" t="str">
        <f t="shared" si="0"/>
        <v/>
      </c>
      <c r="I35" s="78" t="str">
        <f t="shared" si="1"/>
        <v>Error</v>
      </c>
      <c r="J35" s="79" t="str">
        <f t="shared" si="5"/>
        <v>Revisa tu subcategoria</v>
      </c>
      <c r="AN35" s="87" t="str">
        <f>Dec!$B$27</f>
        <v>DEUDAS</v>
      </c>
      <c r="AO35" s="88">
        <f>Dec!B35</f>
        <v>0</v>
      </c>
      <c r="AP35" s="80" t="str">
        <f t="shared" si="4"/>
        <v>DEUDAS0</v>
      </c>
      <c r="AQ35" s="80" t="str">
        <f t="shared" si="3"/>
        <v>DEUDAS0</v>
      </c>
    </row>
    <row r="36" spans="2:43" x14ac:dyDescent="0.2">
      <c r="B36" s="74"/>
      <c r="C36" s="77"/>
      <c r="D36" s="76"/>
      <c r="E36" s="77"/>
      <c r="F36" s="77"/>
      <c r="H36" s="78" t="str">
        <f t="shared" si="0"/>
        <v/>
      </c>
      <c r="I36" s="78" t="str">
        <f t="shared" si="1"/>
        <v>Error</v>
      </c>
      <c r="J36" s="79" t="str">
        <f t="shared" si="5"/>
        <v>Revisa tu subcategoria</v>
      </c>
      <c r="AN36" s="83" t="str">
        <f>Dec!$H$27</f>
        <v>REGALOS/ CARIDAD</v>
      </c>
      <c r="AO36" s="84" t="str">
        <f>Dec!H28</f>
        <v>Regalos Navidad</v>
      </c>
      <c r="AP36" s="80" t="str">
        <f t="shared" si="4"/>
        <v>REGALOS/ CARIDADRegalos Navidad</v>
      </c>
      <c r="AQ36" s="80" t="str">
        <f t="shared" si="3"/>
        <v>REGALOS/ CARIDADRegalos Navidad</v>
      </c>
    </row>
    <row r="37" spans="2:43" x14ac:dyDescent="0.2">
      <c r="B37" s="74"/>
      <c r="C37" s="77"/>
      <c r="D37" s="76"/>
      <c r="E37" s="77"/>
      <c r="F37" s="77"/>
      <c r="H37" s="78" t="str">
        <f t="shared" si="0"/>
        <v/>
      </c>
      <c r="I37" s="78" t="str">
        <f t="shared" si="1"/>
        <v>Error</v>
      </c>
      <c r="J37" s="79" t="str">
        <f t="shared" si="5"/>
        <v>Revisa tu subcategoria</v>
      </c>
      <c r="AN37" s="85" t="str">
        <f>Dec!$H$27</f>
        <v>REGALOS/ CARIDAD</v>
      </c>
      <c r="AO37" s="86" t="str">
        <f>Dec!H29</f>
        <v>Regalos cumpleaños</v>
      </c>
      <c r="AP37" s="80" t="str">
        <f t="shared" si="4"/>
        <v>REGALOS/ CARIDADRegalos cumpleaños</v>
      </c>
      <c r="AQ37" s="80" t="str">
        <f t="shared" si="3"/>
        <v>REGALOS/ CARIDADRegalos cumpleaños</v>
      </c>
    </row>
    <row r="38" spans="2:43" x14ac:dyDescent="0.2">
      <c r="B38" s="74"/>
      <c r="C38" s="77"/>
      <c r="D38" s="76"/>
      <c r="E38" s="77"/>
      <c r="F38" s="77"/>
      <c r="H38" s="78" t="str">
        <f t="shared" si="0"/>
        <v/>
      </c>
      <c r="I38" s="78" t="str">
        <f t="shared" si="1"/>
        <v>Error</v>
      </c>
      <c r="J38" s="79" t="str">
        <f t="shared" si="5"/>
        <v>Revisa tu subcategoria</v>
      </c>
      <c r="AN38" s="85" t="str">
        <f>Dec!$H$27</f>
        <v>REGALOS/ CARIDAD</v>
      </c>
      <c r="AO38" s="86" t="str">
        <f>Dec!H30</f>
        <v>Caridad</v>
      </c>
      <c r="AP38" s="80" t="str">
        <f t="shared" si="4"/>
        <v>REGALOS/ CARIDADCaridad</v>
      </c>
      <c r="AQ38" s="80" t="str">
        <f t="shared" si="3"/>
        <v>REGALOS/ CARIDADCaridad</v>
      </c>
    </row>
    <row r="39" spans="2:43" x14ac:dyDescent="0.2">
      <c r="B39" s="74"/>
      <c r="C39" s="77"/>
      <c r="D39" s="76"/>
      <c r="E39" s="77"/>
      <c r="F39" s="77"/>
      <c r="H39" s="78" t="str">
        <f t="shared" si="0"/>
        <v/>
      </c>
      <c r="I39" s="78" t="str">
        <f t="shared" si="1"/>
        <v>Error</v>
      </c>
      <c r="J39" s="79" t="str">
        <f t="shared" si="5"/>
        <v>Revisa tu subcategoria</v>
      </c>
      <c r="AN39" s="85" t="str">
        <f>Dec!$H$27</f>
        <v>REGALOS/ CARIDAD</v>
      </c>
      <c r="AO39" s="86">
        <f>Dec!H31</f>
        <v>0</v>
      </c>
      <c r="AP39" s="80" t="str">
        <f t="shared" si="4"/>
        <v>REGALOS/ CARIDAD0</v>
      </c>
      <c r="AQ39" s="80" t="str">
        <f t="shared" si="3"/>
        <v>REGALOS/ CARIDAD0</v>
      </c>
    </row>
    <row r="40" spans="2:43" x14ac:dyDescent="0.2">
      <c r="B40" s="74"/>
      <c r="C40" s="77"/>
      <c r="D40" s="76"/>
      <c r="E40" s="77"/>
      <c r="F40" s="77"/>
      <c r="H40" s="78" t="str">
        <f t="shared" si="0"/>
        <v/>
      </c>
      <c r="I40" s="78" t="str">
        <f t="shared" si="1"/>
        <v>Error</v>
      </c>
      <c r="J40" s="79" t="str">
        <f t="shared" si="5"/>
        <v>Revisa tu subcategoria</v>
      </c>
      <c r="AN40" s="85" t="str">
        <f>Dec!$H$27</f>
        <v>REGALOS/ CARIDAD</v>
      </c>
      <c r="AO40" s="86">
        <f>Dec!H32</f>
        <v>0</v>
      </c>
      <c r="AP40" s="80" t="str">
        <f t="shared" si="4"/>
        <v>REGALOS/ CARIDAD0</v>
      </c>
      <c r="AQ40" s="80" t="str">
        <f t="shared" si="3"/>
        <v>REGALOS/ CARIDAD0</v>
      </c>
    </row>
    <row r="41" spans="2:43" x14ac:dyDescent="0.2">
      <c r="B41" s="74"/>
      <c r="C41" s="77"/>
      <c r="D41" s="76"/>
      <c r="E41" s="77"/>
      <c r="F41" s="77"/>
      <c r="H41" s="78" t="str">
        <f t="shared" si="0"/>
        <v/>
      </c>
      <c r="I41" s="78" t="str">
        <f t="shared" si="1"/>
        <v>Error</v>
      </c>
      <c r="J41" s="79" t="str">
        <f t="shared" si="5"/>
        <v>Revisa tu subcategoria</v>
      </c>
      <c r="AN41" s="85" t="str">
        <f>Dec!$H$27</f>
        <v>REGALOS/ CARIDAD</v>
      </c>
      <c r="AO41" s="86">
        <f>Dec!H33</f>
        <v>0</v>
      </c>
      <c r="AP41" s="80" t="str">
        <f t="shared" si="4"/>
        <v>REGALOS/ CARIDAD0</v>
      </c>
      <c r="AQ41" s="80" t="str">
        <f t="shared" si="3"/>
        <v>REGALOS/ CARIDAD0</v>
      </c>
    </row>
    <row r="42" spans="2:43" x14ac:dyDescent="0.2">
      <c r="B42" s="74"/>
      <c r="C42" s="77"/>
      <c r="D42" s="76"/>
      <c r="E42" s="77"/>
      <c r="F42" s="77"/>
      <c r="H42" s="78" t="str">
        <f t="shared" si="0"/>
        <v/>
      </c>
      <c r="I42" s="78" t="str">
        <f t="shared" si="1"/>
        <v>Error</v>
      </c>
      <c r="J42" s="79" t="str">
        <f t="shared" si="5"/>
        <v>Revisa tu subcategoria</v>
      </c>
      <c r="AN42" s="85" t="str">
        <f>Dec!$H$27</f>
        <v>REGALOS/ CARIDAD</v>
      </c>
      <c r="AO42" s="86">
        <f>Dec!H34</f>
        <v>0</v>
      </c>
      <c r="AP42" s="80" t="str">
        <f t="shared" si="4"/>
        <v>REGALOS/ CARIDAD0</v>
      </c>
      <c r="AQ42" s="80" t="str">
        <f t="shared" si="3"/>
        <v>REGALOS/ CARIDAD0</v>
      </c>
    </row>
    <row r="43" spans="2:43" ht="15" thickBot="1" x14ac:dyDescent="0.25">
      <c r="B43" s="74"/>
      <c r="C43" s="77"/>
      <c r="D43" s="76"/>
      <c r="E43" s="77"/>
      <c r="F43" s="77"/>
      <c r="H43" s="78" t="str">
        <f t="shared" si="0"/>
        <v/>
      </c>
      <c r="I43" s="78" t="str">
        <f t="shared" si="1"/>
        <v>Error</v>
      </c>
      <c r="J43" s="79" t="str">
        <f t="shared" si="5"/>
        <v>Revisa tu subcategoria</v>
      </c>
      <c r="AN43" s="87" t="str">
        <f>Dec!$H$27</f>
        <v>REGALOS/ CARIDAD</v>
      </c>
      <c r="AO43" s="88">
        <f>Dec!H35</f>
        <v>0</v>
      </c>
      <c r="AP43" s="80" t="str">
        <f t="shared" si="4"/>
        <v>REGALOS/ CARIDAD0</v>
      </c>
      <c r="AQ43" s="80" t="str">
        <f t="shared" si="3"/>
        <v>REGALOS/ CARIDAD0</v>
      </c>
    </row>
    <row r="44" spans="2:43" x14ac:dyDescent="0.2">
      <c r="B44" s="74"/>
      <c r="C44" s="77"/>
      <c r="D44" s="76"/>
      <c r="E44" s="77"/>
      <c r="F44" s="77"/>
      <c r="H44" s="78" t="str">
        <f t="shared" si="0"/>
        <v/>
      </c>
      <c r="I44" s="78" t="str">
        <f t="shared" si="1"/>
        <v>Error</v>
      </c>
      <c r="J44" s="79" t="str">
        <f t="shared" si="5"/>
        <v>Revisa tu subcategoria</v>
      </c>
      <c r="AN44" s="83" t="str">
        <f>Dec!$B$38</f>
        <v>CASA</v>
      </c>
      <c r="AO44" s="84" t="str">
        <f>Dec!B39</f>
        <v>Limpieza</v>
      </c>
      <c r="AP44" s="80" t="str">
        <f t="shared" si="4"/>
        <v>CASALimpieza</v>
      </c>
      <c r="AQ44" s="80" t="str">
        <f t="shared" si="3"/>
        <v>CASALimpieza</v>
      </c>
    </row>
    <row r="45" spans="2:43" x14ac:dyDescent="0.2">
      <c r="B45" s="74"/>
      <c r="C45" s="77"/>
      <c r="D45" s="76"/>
      <c r="E45" s="77"/>
      <c r="F45" s="77"/>
      <c r="H45" s="78" t="str">
        <f t="shared" si="0"/>
        <v/>
      </c>
      <c r="I45" s="78" t="str">
        <f t="shared" si="1"/>
        <v>Error</v>
      </c>
      <c r="J45" s="79" t="str">
        <f t="shared" si="5"/>
        <v>Revisa tu subcategoria</v>
      </c>
      <c r="AN45" s="85" t="str">
        <f>Dec!$B$38</f>
        <v>CASA</v>
      </c>
      <c r="AO45" s="86" t="str">
        <f>Dec!B40</f>
        <v>Mantenimiento</v>
      </c>
      <c r="AP45" s="80" t="str">
        <f t="shared" si="4"/>
        <v>CASAMantenimiento</v>
      </c>
      <c r="AQ45" s="80" t="str">
        <f t="shared" si="3"/>
        <v>CASAMantenimiento</v>
      </c>
    </row>
    <row r="46" spans="2:43" x14ac:dyDescent="0.2">
      <c r="B46" s="74"/>
      <c r="C46" s="77"/>
      <c r="D46" s="76"/>
      <c r="E46" s="77"/>
      <c r="F46" s="77"/>
      <c r="H46" s="78" t="str">
        <f t="shared" si="0"/>
        <v/>
      </c>
      <c r="I46" s="78" t="str">
        <f t="shared" si="1"/>
        <v>Error</v>
      </c>
      <c r="J46" s="79" t="str">
        <f t="shared" si="5"/>
        <v>Revisa tu subcategoria</v>
      </c>
      <c r="AN46" s="85" t="str">
        <f>Dec!$B$38</f>
        <v>CASA</v>
      </c>
      <c r="AO46" s="86" t="str">
        <f>Dec!B41</f>
        <v>Muebles</v>
      </c>
      <c r="AP46" s="80" t="str">
        <f t="shared" si="4"/>
        <v>CASAMuebles</v>
      </c>
      <c r="AQ46" s="80" t="str">
        <f t="shared" si="3"/>
        <v>CASAMuebles</v>
      </c>
    </row>
    <row r="47" spans="2:43" x14ac:dyDescent="0.2">
      <c r="B47" s="74"/>
      <c r="C47" s="77"/>
      <c r="D47" s="76"/>
      <c r="E47" s="77"/>
      <c r="F47" s="77"/>
      <c r="H47" s="78" t="str">
        <f t="shared" si="0"/>
        <v/>
      </c>
      <c r="I47" s="78" t="str">
        <f t="shared" si="1"/>
        <v>Error</v>
      </c>
      <c r="J47" s="79" t="str">
        <f t="shared" si="5"/>
        <v>Revisa tu subcategoria</v>
      </c>
      <c r="AN47" s="85" t="str">
        <f>Dec!$B$38</f>
        <v>CASA</v>
      </c>
      <c r="AO47" s="86" t="str">
        <f>Dec!B42</f>
        <v>Impuestos</v>
      </c>
      <c r="AP47" s="80" t="str">
        <f t="shared" si="4"/>
        <v>CASAImpuestos</v>
      </c>
      <c r="AQ47" s="80" t="str">
        <f t="shared" si="3"/>
        <v>CASAImpuestos</v>
      </c>
    </row>
    <row r="48" spans="2:43" x14ac:dyDescent="0.2">
      <c r="B48" s="74"/>
      <c r="C48" s="77"/>
      <c r="D48" s="76"/>
      <c r="E48" s="77"/>
      <c r="F48" s="77"/>
      <c r="H48" s="78" t="str">
        <f t="shared" si="0"/>
        <v/>
      </c>
      <c r="I48" s="78" t="str">
        <f t="shared" si="1"/>
        <v>Error</v>
      </c>
      <c r="J48" s="79" t="str">
        <f t="shared" si="5"/>
        <v>Revisa tu subcategoria</v>
      </c>
      <c r="AN48" s="85" t="str">
        <f>Dec!$B$38</f>
        <v>CASA</v>
      </c>
      <c r="AO48" s="86">
        <f>Dec!B43</f>
        <v>0</v>
      </c>
      <c r="AP48" s="80" t="str">
        <f t="shared" si="4"/>
        <v>CASA0</v>
      </c>
      <c r="AQ48" s="80" t="str">
        <f t="shared" si="3"/>
        <v>CASA0</v>
      </c>
    </row>
    <row r="49" spans="2:43" x14ac:dyDescent="0.2">
      <c r="B49" s="74"/>
      <c r="C49" s="77"/>
      <c r="D49" s="76"/>
      <c r="E49" s="77"/>
      <c r="F49" s="77"/>
      <c r="H49" s="78" t="str">
        <f t="shared" si="0"/>
        <v/>
      </c>
      <c r="I49" s="78" t="str">
        <f t="shared" si="1"/>
        <v>Error</v>
      </c>
      <c r="J49" s="79" t="str">
        <f t="shared" si="5"/>
        <v>Revisa tu subcategoria</v>
      </c>
      <c r="AN49" s="85" t="str">
        <f>Dec!$B$38</f>
        <v>CASA</v>
      </c>
      <c r="AO49" s="86">
        <f>Dec!B44</f>
        <v>0</v>
      </c>
      <c r="AP49" s="80" t="str">
        <f t="shared" si="4"/>
        <v>CASA0</v>
      </c>
      <c r="AQ49" s="80" t="str">
        <f t="shared" si="3"/>
        <v>CASA0</v>
      </c>
    </row>
    <row r="50" spans="2:43" ht="15" thickBot="1" x14ac:dyDescent="0.25">
      <c r="B50" s="74"/>
      <c r="C50" s="77"/>
      <c r="D50" s="76"/>
      <c r="E50" s="77"/>
      <c r="F50" s="77"/>
      <c r="H50" s="78" t="str">
        <f t="shared" si="0"/>
        <v/>
      </c>
      <c r="I50" s="78" t="str">
        <f t="shared" si="1"/>
        <v>Error</v>
      </c>
      <c r="J50" s="79" t="str">
        <f t="shared" si="5"/>
        <v>Revisa tu subcategoria</v>
      </c>
      <c r="AN50" s="87" t="str">
        <f>Dec!$B$38</f>
        <v>CASA</v>
      </c>
      <c r="AO50" s="88">
        <f>Dec!B45</f>
        <v>0</v>
      </c>
      <c r="AP50" s="80" t="str">
        <f t="shared" si="4"/>
        <v>CASA0</v>
      </c>
      <c r="AQ50" s="80" t="str">
        <f t="shared" si="3"/>
        <v>CASA0</v>
      </c>
    </row>
    <row r="51" spans="2:43" x14ac:dyDescent="0.2">
      <c r="B51" s="74"/>
      <c r="C51" s="77"/>
      <c r="D51" s="76"/>
      <c r="E51" s="77"/>
      <c r="F51" s="77"/>
      <c r="H51" s="78" t="str">
        <f t="shared" si="0"/>
        <v/>
      </c>
      <c r="I51" s="78" t="str">
        <f t="shared" si="1"/>
        <v>Error</v>
      </c>
      <c r="J51" s="79" t="str">
        <f t="shared" si="5"/>
        <v>Revisa tu subcategoria</v>
      </c>
      <c r="AN51" s="83" t="str">
        <f>Dec!$H$38</f>
        <v>TRANSPORTE</v>
      </c>
      <c r="AO51" s="84" t="str">
        <f>Dec!H39</f>
        <v>Uber/taxi</v>
      </c>
      <c r="AP51" s="80" t="str">
        <f>AN51&amp;AO51</f>
        <v>TRANSPORTEUber/taxi</v>
      </c>
      <c r="AQ51" s="80" t="str">
        <f t="shared" si="3"/>
        <v>TRANSPORTEUber/taxi</v>
      </c>
    </row>
    <row r="52" spans="2:43" x14ac:dyDescent="0.2">
      <c r="B52" s="74"/>
      <c r="C52" s="77"/>
      <c r="D52" s="76"/>
      <c r="E52" s="77"/>
      <c r="F52" s="77"/>
      <c r="H52" s="78" t="str">
        <f t="shared" si="0"/>
        <v/>
      </c>
      <c r="I52" s="78" t="str">
        <f t="shared" si="1"/>
        <v>Error</v>
      </c>
      <c r="J52" s="79" t="str">
        <f t="shared" si="5"/>
        <v>Revisa tu subcategoria</v>
      </c>
      <c r="AN52" s="85" t="str">
        <f>Dec!$H$38</f>
        <v>TRANSPORTE</v>
      </c>
      <c r="AO52" s="86" t="str">
        <f>Dec!H40</f>
        <v>Estacionamiento</v>
      </c>
      <c r="AP52" s="80" t="str">
        <f>AN52&amp;AO52</f>
        <v>TRANSPORTEEstacionamiento</v>
      </c>
      <c r="AQ52" s="80" t="str">
        <f t="shared" si="3"/>
        <v>TRANSPORTEEstacionamiento</v>
      </c>
    </row>
    <row r="53" spans="2:43" x14ac:dyDescent="0.2">
      <c r="B53" s="74"/>
      <c r="C53" s="77"/>
      <c r="D53" s="76"/>
      <c r="E53" s="77"/>
      <c r="F53" s="77"/>
      <c r="H53" s="78" t="str">
        <f t="shared" si="0"/>
        <v/>
      </c>
      <c r="I53" s="78" t="str">
        <f t="shared" si="1"/>
        <v>Error</v>
      </c>
      <c r="J53" s="79" t="str">
        <f t="shared" si="5"/>
        <v>Revisa tu subcategoria</v>
      </c>
      <c r="AN53" s="85" t="str">
        <f>Dec!$H$38</f>
        <v>TRANSPORTE</v>
      </c>
      <c r="AO53" s="86" t="str">
        <f>Dec!H41</f>
        <v>Mantenimiento</v>
      </c>
      <c r="AP53" s="80" t="str">
        <f t="shared" si="4"/>
        <v>TRANSPORTEMantenimiento</v>
      </c>
      <c r="AQ53" s="80" t="str">
        <f t="shared" si="3"/>
        <v>TRANSPORTEMantenimiento</v>
      </c>
    </row>
    <row r="54" spans="2:43" x14ac:dyDescent="0.2">
      <c r="B54" s="74"/>
      <c r="C54" s="77"/>
      <c r="D54" s="76"/>
      <c r="E54" s="77"/>
      <c r="F54" s="77"/>
      <c r="H54" s="78" t="str">
        <f t="shared" si="0"/>
        <v/>
      </c>
      <c r="I54" s="78" t="str">
        <f t="shared" si="1"/>
        <v>Error</v>
      </c>
      <c r="J54" s="79" t="str">
        <f t="shared" si="5"/>
        <v>Revisa tu subcategoria</v>
      </c>
      <c r="AN54" s="85" t="str">
        <f>Dec!$H$38</f>
        <v>TRANSPORTE</v>
      </c>
      <c r="AO54" s="86" t="str">
        <f>Dec!H42</f>
        <v>Impuestos</v>
      </c>
      <c r="AP54" s="80" t="str">
        <f t="shared" si="4"/>
        <v>TRANSPORTEImpuestos</v>
      </c>
      <c r="AQ54" s="80" t="str">
        <f t="shared" si="3"/>
        <v>TRANSPORTEImpuestos</v>
      </c>
    </row>
    <row r="55" spans="2:43" x14ac:dyDescent="0.2">
      <c r="B55" s="74"/>
      <c r="C55" s="77"/>
      <c r="D55" s="76"/>
      <c r="E55" s="77"/>
      <c r="F55" s="77"/>
      <c r="H55" s="78" t="str">
        <f t="shared" si="0"/>
        <v/>
      </c>
      <c r="I55" s="78" t="str">
        <f t="shared" si="1"/>
        <v>Error</v>
      </c>
      <c r="J55" s="79" t="str">
        <f t="shared" si="5"/>
        <v>Revisa tu subcategoria</v>
      </c>
      <c r="AN55" s="85" t="str">
        <f>Dec!$H$38</f>
        <v>TRANSPORTE</v>
      </c>
      <c r="AO55" s="86" t="str">
        <f>Dec!H43</f>
        <v>Panapass/Peaje</v>
      </c>
      <c r="AP55" s="80" t="str">
        <f t="shared" si="4"/>
        <v>TRANSPORTEPanapass/Peaje</v>
      </c>
      <c r="AQ55" s="80" t="str">
        <f t="shared" si="3"/>
        <v>TRANSPORTEPanapass/Peaje</v>
      </c>
    </row>
    <row r="56" spans="2:43" x14ac:dyDescent="0.2">
      <c r="B56" s="74"/>
      <c r="C56" s="77"/>
      <c r="D56" s="76"/>
      <c r="E56" s="77"/>
      <c r="F56" s="77"/>
      <c r="H56" s="78" t="str">
        <f t="shared" si="0"/>
        <v/>
      </c>
      <c r="I56" s="78" t="str">
        <f t="shared" si="1"/>
        <v>Error</v>
      </c>
      <c r="J56" s="79" t="str">
        <f t="shared" si="5"/>
        <v>Revisa tu subcategoria</v>
      </c>
      <c r="AN56" s="85" t="str">
        <f>Dec!$H$38</f>
        <v>TRANSPORTE</v>
      </c>
      <c r="AO56" s="86">
        <f>Dec!H44</f>
        <v>0</v>
      </c>
      <c r="AP56" s="80" t="str">
        <f t="shared" si="4"/>
        <v>TRANSPORTE0</v>
      </c>
      <c r="AQ56" s="80" t="str">
        <f t="shared" si="3"/>
        <v>TRANSPORTE0</v>
      </c>
    </row>
    <row r="57" spans="2:43" ht="15" thickBot="1" x14ac:dyDescent="0.25">
      <c r="B57" s="74"/>
      <c r="C57" s="77"/>
      <c r="D57" s="76"/>
      <c r="E57" s="77"/>
      <c r="F57" s="77"/>
      <c r="H57" s="78" t="str">
        <f t="shared" si="0"/>
        <v/>
      </c>
      <c r="I57" s="78" t="str">
        <f t="shared" si="1"/>
        <v>Error</v>
      </c>
      <c r="J57" s="79" t="str">
        <f t="shared" si="5"/>
        <v>Revisa tu subcategoria</v>
      </c>
      <c r="AN57" s="87" t="str">
        <f>Dec!$H$38</f>
        <v>TRANSPORTE</v>
      </c>
      <c r="AO57" s="88">
        <f>Dec!H45</f>
        <v>0</v>
      </c>
      <c r="AP57" s="80" t="str">
        <f t="shared" si="4"/>
        <v>TRANSPORTE0</v>
      </c>
      <c r="AQ57" s="80" t="str">
        <f t="shared" si="3"/>
        <v>TRANSPORTE0</v>
      </c>
    </row>
    <row r="58" spans="2:43" x14ac:dyDescent="0.2">
      <c r="B58" s="74"/>
      <c r="C58" s="77"/>
      <c r="D58" s="76"/>
      <c r="E58" s="77"/>
      <c r="F58" s="77"/>
      <c r="H58" s="78" t="str">
        <f t="shared" si="0"/>
        <v/>
      </c>
      <c r="I58" s="78" t="str">
        <f t="shared" si="1"/>
        <v>Error</v>
      </c>
      <c r="J58" s="79" t="str">
        <f t="shared" si="5"/>
        <v>Revisa tu subcategoria</v>
      </c>
      <c r="AN58" s="83" t="str">
        <f>Dec!$B$48</f>
        <v>ALIMENTACIÓN</v>
      </c>
      <c r="AO58" s="84" t="str">
        <f>Dec!B49</f>
        <v>Restaurantes</v>
      </c>
      <c r="AP58" s="80" t="str">
        <f t="shared" si="4"/>
        <v>ALIMENTACIÓNRestaurantes</v>
      </c>
      <c r="AQ58" s="80" t="str">
        <f t="shared" si="3"/>
        <v>ALIMENTACIÓNRestaurantes</v>
      </c>
    </row>
    <row r="59" spans="2:43" x14ac:dyDescent="0.2">
      <c r="B59" s="74"/>
      <c r="C59" s="77"/>
      <c r="D59" s="76"/>
      <c r="E59" s="77"/>
      <c r="F59" s="77"/>
      <c r="H59" s="78" t="str">
        <f t="shared" si="0"/>
        <v/>
      </c>
      <c r="I59" s="78" t="str">
        <f t="shared" si="1"/>
        <v>Error</v>
      </c>
      <c r="J59" s="79" t="str">
        <f t="shared" si="5"/>
        <v>Revisa tu subcategoria</v>
      </c>
      <c r="AN59" s="85" t="str">
        <f>Dec!$B$48</f>
        <v>ALIMENTACIÓN</v>
      </c>
      <c r="AO59" s="86" t="str">
        <f>Dec!B50</f>
        <v>Café/ Snacks</v>
      </c>
      <c r="AP59" s="80" t="str">
        <f t="shared" si="4"/>
        <v>ALIMENTACIÓNCafé/ Snacks</v>
      </c>
      <c r="AQ59" s="80" t="str">
        <f t="shared" si="3"/>
        <v>ALIMENTACIÓNCafé/ Snacks</v>
      </c>
    </row>
    <row r="60" spans="2:43" x14ac:dyDescent="0.2">
      <c r="B60" s="74"/>
      <c r="C60" s="77"/>
      <c r="D60" s="76"/>
      <c r="E60" s="77"/>
      <c r="F60" s="77"/>
      <c r="H60" s="78" t="str">
        <f t="shared" si="0"/>
        <v/>
      </c>
      <c r="I60" s="78" t="str">
        <f t="shared" si="1"/>
        <v>Error</v>
      </c>
      <c r="J60" s="79" t="str">
        <f t="shared" si="5"/>
        <v>Revisa tu subcategoria</v>
      </c>
      <c r="AN60" s="85" t="str">
        <f>Dec!$B$48</f>
        <v>ALIMENTACIÓN</v>
      </c>
      <c r="AO60" s="86">
        <f>Dec!B51</f>
        <v>0</v>
      </c>
      <c r="AP60" s="80" t="str">
        <f t="shared" si="4"/>
        <v>ALIMENTACIÓN0</v>
      </c>
      <c r="AQ60" s="80" t="str">
        <f t="shared" si="3"/>
        <v>ALIMENTACIÓN0</v>
      </c>
    </row>
    <row r="61" spans="2:43" x14ac:dyDescent="0.2">
      <c r="B61" s="74"/>
      <c r="C61" s="77"/>
      <c r="D61" s="76"/>
      <c r="E61" s="77"/>
      <c r="F61" s="77"/>
      <c r="H61" s="78" t="str">
        <f t="shared" si="0"/>
        <v/>
      </c>
      <c r="I61" s="78" t="str">
        <f t="shared" si="1"/>
        <v>Error</v>
      </c>
      <c r="J61" s="79" t="str">
        <f t="shared" si="5"/>
        <v>Revisa tu subcategoria</v>
      </c>
      <c r="AN61" s="85" t="str">
        <f>Dec!$B$48</f>
        <v>ALIMENTACIÓN</v>
      </c>
      <c r="AO61" s="86">
        <f>Dec!B52</f>
        <v>0</v>
      </c>
      <c r="AP61" s="80" t="str">
        <f t="shared" si="4"/>
        <v>ALIMENTACIÓN0</v>
      </c>
      <c r="AQ61" s="80" t="str">
        <f t="shared" si="3"/>
        <v>ALIMENTACIÓN0</v>
      </c>
    </row>
    <row r="62" spans="2:43" x14ac:dyDescent="0.2">
      <c r="B62" s="74"/>
      <c r="C62" s="77"/>
      <c r="D62" s="76"/>
      <c r="E62" s="77"/>
      <c r="F62" s="77"/>
      <c r="H62" s="78" t="str">
        <f t="shared" si="0"/>
        <v/>
      </c>
      <c r="I62" s="78" t="str">
        <f t="shared" si="1"/>
        <v>Error</v>
      </c>
      <c r="J62" s="79" t="str">
        <f t="shared" si="5"/>
        <v>Revisa tu subcategoria</v>
      </c>
      <c r="AN62" s="85" t="str">
        <f>Dec!$B$48</f>
        <v>ALIMENTACIÓN</v>
      </c>
      <c r="AO62" s="86">
        <f>Dec!B53</f>
        <v>0</v>
      </c>
      <c r="AP62" s="80" t="str">
        <f t="shared" si="4"/>
        <v>ALIMENTACIÓN0</v>
      </c>
      <c r="AQ62" s="80" t="str">
        <f t="shared" si="3"/>
        <v>ALIMENTACIÓN0</v>
      </c>
    </row>
    <row r="63" spans="2:43" ht="15" thickBot="1" x14ac:dyDescent="0.25">
      <c r="B63" s="74"/>
      <c r="C63" s="77"/>
      <c r="D63" s="76"/>
      <c r="E63" s="77"/>
      <c r="F63" s="77"/>
      <c r="H63" s="78" t="str">
        <f t="shared" si="0"/>
        <v/>
      </c>
      <c r="I63" s="78" t="str">
        <f t="shared" si="1"/>
        <v>Error</v>
      </c>
      <c r="J63" s="79" t="str">
        <f t="shared" si="5"/>
        <v>Revisa tu subcategoria</v>
      </c>
      <c r="AN63" s="87" t="str">
        <f>Dec!$B$48</f>
        <v>ALIMENTACIÓN</v>
      </c>
      <c r="AO63" s="88">
        <f>Dec!B54</f>
        <v>0</v>
      </c>
      <c r="AP63" s="80" t="str">
        <f t="shared" si="4"/>
        <v>ALIMENTACIÓN0</v>
      </c>
      <c r="AQ63" s="80" t="str">
        <f t="shared" si="3"/>
        <v>ALIMENTACIÓN0</v>
      </c>
    </row>
    <row r="64" spans="2:43" x14ac:dyDescent="0.2">
      <c r="B64" s="74"/>
      <c r="C64" s="77"/>
      <c r="D64" s="76"/>
      <c r="E64" s="77"/>
      <c r="F64" s="77"/>
      <c r="H64" s="78" t="str">
        <f t="shared" si="0"/>
        <v/>
      </c>
      <c r="I64" s="78" t="str">
        <f t="shared" si="1"/>
        <v>Error</v>
      </c>
      <c r="J64" s="79" t="str">
        <f t="shared" si="5"/>
        <v>Revisa tu subcategoria</v>
      </c>
      <c r="AN64" s="83" t="str">
        <f>Dec!$H$48</f>
        <v>SEGUROS</v>
      </c>
      <c r="AO64" s="84" t="str">
        <f>Dec!H49</f>
        <v>Carro</v>
      </c>
      <c r="AP64" s="80" t="str">
        <f t="shared" si="4"/>
        <v>SEGUROSCarro</v>
      </c>
      <c r="AQ64" s="80" t="str">
        <f t="shared" si="3"/>
        <v>SEGUROSCarro</v>
      </c>
    </row>
    <row r="65" spans="2:43" x14ac:dyDescent="0.2">
      <c r="B65" s="74"/>
      <c r="C65" s="77"/>
      <c r="D65" s="76"/>
      <c r="E65" s="77"/>
      <c r="F65" s="77"/>
      <c r="H65" s="78" t="str">
        <f t="shared" si="0"/>
        <v/>
      </c>
      <c r="I65" s="78" t="str">
        <f t="shared" si="1"/>
        <v>Error</v>
      </c>
      <c r="J65" s="79" t="str">
        <f t="shared" si="5"/>
        <v>Revisa tu subcategoria</v>
      </c>
      <c r="AN65" s="85" t="str">
        <f>Dec!$H$48</f>
        <v>SEGUROS</v>
      </c>
      <c r="AO65" s="86" t="str">
        <f>Dec!H50</f>
        <v>Vida</v>
      </c>
      <c r="AP65" s="80" t="str">
        <f t="shared" si="4"/>
        <v>SEGUROSVida</v>
      </c>
      <c r="AQ65" s="80" t="str">
        <f t="shared" si="3"/>
        <v>SEGUROSVida</v>
      </c>
    </row>
    <row r="66" spans="2:43" x14ac:dyDescent="0.2">
      <c r="B66" s="74"/>
      <c r="C66" s="77"/>
      <c r="D66" s="76"/>
      <c r="E66" s="77"/>
      <c r="F66" s="77"/>
      <c r="H66" s="78" t="str">
        <f t="shared" si="0"/>
        <v/>
      </c>
      <c r="I66" s="78" t="str">
        <f t="shared" si="1"/>
        <v>Error</v>
      </c>
      <c r="J66" s="79" t="str">
        <f t="shared" si="5"/>
        <v>Revisa tu subcategoria</v>
      </c>
      <c r="AN66" s="85" t="str">
        <f>Dec!$H$48</f>
        <v>SEGUROS</v>
      </c>
      <c r="AO66" s="86" t="str">
        <f>Dec!H51</f>
        <v>Casa</v>
      </c>
      <c r="AP66" s="80" t="str">
        <f t="shared" si="4"/>
        <v>SEGUROSCasa</v>
      </c>
      <c r="AQ66" s="80" t="str">
        <f t="shared" si="3"/>
        <v>SEGUROSCasa</v>
      </c>
    </row>
    <row r="67" spans="2:43" x14ac:dyDescent="0.2">
      <c r="B67" s="74"/>
      <c r="C67" s="77"/>
      <c r="D67" s="76"/>
      <c r="E67" s="77"/>
      <c r="F67" s="77"/>
      <c r="H67" s="78" t="str">
        <f t="shared" ref="H67:H130" si="6">E67&amp;F67</f>
        <v/>
      </c>
      <c r="I67" s="78" t="str">
        <f t="shared" ref="I67:I130" si="7">IFERROR(VLOOKUP(H67,$AP:$AQ,2,FALSE),"Error")</f>
        <v>Error</v>
      </c>
      <c r="J67" s="79" t="str">
        <f t="shared" si="5"/>
        <v>Revisa tu subcategoria</v>
      </c>
      <c r="AN67" s="85" t="str">
        <f>Dec!$H$48</f>
        <v>SEGUROS</v>
      </c>
      <c r="AO67" s="86" t="str">
        <f>Dec!H52</f>
        <v>Salud</v>
      </c>
      <c r="AP67" s="80" t="str">
        <f t="shared" si="4"/>
        <v>SEGUROSSalud</v>
      </c>
      <c r="AQ67" s="80" t="str">
        <f t="shared" si="3"/>
        <v>SEGUROSSalud</v>
      </c>
    </row>
    <row r="68" spans="2:43" x14ac:dyDescent="0.2">
      <c r="B68" s="74"/>
      <c r="C68" s="77"/>
      <c r="D68" s="76"/>
      <c r="E68" s="77"/>
      <c r="F68" s="77"/>
      <c r="H68" s="78" t="str">
        <f t="shared" si="6"/>
        <v/>
      </c>
      <c r="I68" s="78" t="str">
        <f t="shared" si="7"/>
        <v>Error</v>
      </c>
      <c r="J68" s="79" t="str">
        <f t="shared" si="5"/>
        <v>Revisa tu subcategoria</v>
      </c>
      <c r="AN68" s="85" t="str">
        <f>Dec!$H$48</f>
        <v>SEGUROS</v>
      </c>
      <c r="AO68" s="86">
        <f>Dec!H53</f>
        <v>0</v>
      </c>
      <c r="AP68" s="80" t="str">
        <f t="shared" si="4"/>
        <v>SEGUROS0</v>
      </c>
      <c r="AQ68" s="80" t="str">
        <f t="shared" si="3"/>
        <v>SEGUROS0</v>
      </c>
    </row>
    <row r="69" spans="2:43" ht="15" thickBot="1" x14ac:dyDescent="0.25">
      <c r="B69" s="74"/>
      <c r="C69" s="77"/>
      <c r="D69" s="76"/>
      <c r="E69" s="77"/>
      <c r="F69" s="77"/>
      <c r="H69" s="78" t="str">
        <f t="shared" si="6"/>
        <v/>
      </c>
      <c r="I69" s="78" t="str">
        <f t="shared" si="7"/>
        <v>Error</v>
      </c>
      <c r="J69" s="79" t="str">
        <f t="shared" si="5"/>
        <v>Revisa tu subcategoria</v>
      </c>
      <c r="AN69" s="87" t="str">
        <f>Dec!$H$48</f>
        <v>SEGUROS</v>
      </c>
      <c r="AO69" s="88">
        <f>Dec!H54</f>
        <v>0</v>
      </c>
      <c r="AP69" s="80" t="str">
        <f t="shared" si="4"/>
        <v>SEGUROS0</v>
      </c>
      <c r="AQ69" s="80" t="str">
        <f t="shared" ref="AQ69:AQ132" si="8">AP69</f>
        <v>SEGUROS0</v>
      </c>
    </row>
    <row r="70" spans="2:43" x14ac:dyDescent="0.2">
      <c r="B70" s="74"/>
      <c r="C70" s="77"/>
      <c r="D70" s="76"/>
      <c r="E70" s="77"/>
      <c r="F70" s="77"/>
      <c r="H70" s="78" t="str">
        <f t="shared" si="6"/>
        <v/>
      </c>
      <c r="I70" s="78" t="str">
        <f t="shared" si="7"/>
        <v>Error</v>
      </c>
      <c r="J70" s="79" t="str">
        <f t="shared" si="5"/>
        <v>Revisa tu subcategoria</v>
      </c>
      <c r="AN70" s="83" t="str">
        <f>Dec!$B$57</f>
        <v>SALUD</v>
      </c>
      <c r="AO70" s="84" t="str">
        <f>Dec!B58</f>
        <v>Medicinas</v>
      </c>
      <c r="AP70" s="80" t="str">
        <f t="shared" ref="AP70:AP133" si="9">AN70&amp;AO70</f>
        <v>SALUDMedicinas</v>
      </c>
      <c r="AQ70" s="80" t="str">
        <f t="shared" si="8"/>
        <v>SALUDMedicinas</v>
      </c>
    </row>
    <row r="71" spans="2:43" x14ac:dyDescent="0.2">
      <c r="B71" s="74"/>
      <c r="C71" s="77"/>
      <c r="D71" s="76"/>
      <c r="E71" s="77"/>
      <c r="F71" s="77"/>
      <c r="H71" s="78" t="str">
        <f t="shared" si="6"/>
        <v/>
      </c>
      <c r="I71" s="78" t="str">
        <f t="shared" si="7"/>
        <v>Error</v>
      </c>
      <c r="J71" s="79" t="str">
        <f t="shared" si="5"/>
        <v>Revisa tu subcategoria</v>
      </c>
      <c r="AN71" s="85" t="str">
        <f>Dec!$B$57</f>
        <v>SALUD</v>
      </c>
      <c r="AO71" s="86" t="str">
        <f>Dec!B59</f>
        <v>Dentista</v>
      </c>
      <c r="AP71" s="80" t="str">
        <f t="shared" si="9"/>
        <v>SALUDDentista</v>
      </c>
      <c r="AQ71" s="80" t="str">
        <f t="shared" si="8"/>
        <v>SALUDDentista</v>
      </c>
    </row>
    <row r="72" spans="2:43" x14ac:dyDescent="0.2">
      <c r="B72" s="74"/>
      <c r="C72" s="77"/>
      <c r="D72" s="76"/>
      <c r="E72" s="77"/>
      <c r="F72" s="77"/>
      <c r="H72" s="78" t="str">
        <f t="shared" si="6"/>
        <v/>
      </c>
      <c r="I72" s="78" t="str">
        <f t="shared" si="7"/>
        <v>Error</v>
      </c>
      <c r="J72" s="79" t="str">
        <f t="shared" ref="J72:J135" si="10">IF(H72=I72,"Es correcto","Revisa tu subcategoria")</f>
        <v>Revisa tu subcategoria</v>
      </c>
      <c r="AN72" s="85" t="str">
        <f>Dec!$B$57</f>
        <v>SALUD</v>
      </c>
      <c r="AO72" s="86" t="str">
        <f>Dec!B60</f>
        <v>Tratamientos</v>
      </c>
      <c r="AP72" s="80" t="str">
        <f t="shared" si="9"/>
        <v>SALUDTratamientos</v>
      </c>
      <c r="AQ72" s="80" t="str">
        <f t="shared" si="8"/>
        <v>SALUDTratamientos</v>
      </c>
    </row>
    <row r="73" spans="2:43" x14ac:dyDescent="0.2">
      <c r="B73" s="74"/>
      <c r="C73" s="77"/>
      <c r="D73" s="76"/>
      <c r="E73" s="77"/>
      <c r="F73" s="77"/>
      <c r="H73" s="78" t="str">
        <f t="shared" si="6"/>
        <v/>
      </c>
      <c r="I73" s="78" t="str">
        <f t="shared" si="7"/>
        <v>Error</v>
      </c>
      <c r="J73" s="79" t="str">
        <f t="shared" si="10"/>
        <v>Revisa tu subcategoria</v>
      </c>
      <c r="AN73" s="85" t="str">
        <f>Dec!$B$57</f>
        <v>SALUD</v>
      </c>
      <c r="AO73" s="86">
        <f>Dec!B61</f>
        <v>0</v>
      </c>
      <c r="AP73" s="80" t="str">
        <f t="shared" si="9"/>
        <v>SALUD0</v>
      </c>
      <c r="AQ73" s="80" t="str">
        <f t="shared" si="8"/>
        <v>SALUD0</v>
      </c>
    </row>
    <row r="74" spans="2:43" x14ac:dyDescent="0.2">
      <c r="B74" s="74"/>
      <c r="C74" s="77"/>
      <c r="D74" s="76"/>
      <c r="E74" s="77"/>
      <c r="F74" s="77"/>
      <c r="H74" s="78" t="str">
        <f t="shared" si="6"/>
        <v/>
      </c>
      <c r="I74" s="78" t="str">
        <f t="shared" si="7"/>
        <v>Error</v>
      </c>
      <c r="J74" s="79" t="str">
        <f t="shared" si="10"/>
        <v>Revisa tu subcategoria</v>
      </c>
      <c r="AN74" s="85" t="str">
        <f>Dec!$B$57</f>
        <v>SALUD</v>
      </c>
      <c r="AO74" s="86">
        <f>Dec!B62</f>
        <v>0</v>
      </c>
      <c r="AP74" s="80" t="str">
        <f t="shared" si="9"/>
        <v>SALUD0</v>
      </c>
      <c r="AQ74" s="80" t="str">
        <f t="shared" si="8"/>
        <v>SALUD0</v>
      </c>
    </row>
    <row r="75" spans="2:43" x14ac:dyDescent="0.2">
      <c r="B75" s="74"/>
      <c r="C75" s="77"/>
      <c r="D75" s="76"/>
      <c r="E75" s="77"/>
      <c r="F75" s="77"/>
      <c r="H75" s="78" t="str">
        <f t="shared" si="6"/>
        <v/>
      </c>
      <c r="I75" s="78" t="str">
        <f t="shared" si="7"/>
        <v>Error</v>
      </c>
      <c r="J75" s="79" t="str">
        <f t="shared" si="10"/>
        <v>Revisa tu subcategoria</v>
      </c>
      <c r="AN75" s="85" t="str">
        <f>Dec!$B$57</f>
        <v>SALUD</v>
      </c>
      <c r="AO75" s="86">
        <f>Dec!B63</f>
        <v>0</v>
      </c>
      <c r="AP75" s="80" t="str">
        <f t="shared" si="9"/>
        <v>SALUD0</v>
      </c>
      <c r="AQ75" s="80" t="str">
        <f t="shared" si="8"/>
        <v>SALUD0</v>
      </c>
    </row>
    <row r="76" spans="2:43" ht="15" thickBot="1" x14ac:dyDescent="0.25">
      <c r="B76" s="74"/>
      <c r="C76" s="77"/>
      <c r="D76" s="76"/>
      <c r="E76" s="77"/>
      <c r="F76" s="77"/>
      <c r="H76" s="78" t="str">
        <f t="shared" si="6"/>
        <v/>
      </c>
      <c r="I76" s="78" t="str">
        <f t="shared" si="7"/>
        <v>Error</v>
      </c>
      <c r="J76" s="79" t="str">
        <f t="shared" si="10"/>
        <v>Revisa tu subcategoria</v>
      </c>
      <c r="AN76" s="87" t="str">
        <f>Dec!$B$57</f>
        <v>SALUD</v>
      </c>
      <c r="AO76" s="88">
        <f>Dec!B64</f>
        <v>0</v>
      </c>
      <c r="AP76" s="80" t="str">
        <f t="shared" si="9"/>
        <v>SALUD0</v>
      </c>
      <c r="AQ76" s="80" t="str">
        <f t="shared" si="8"/>
        <v>SALUD0</v>
      </c>
    </row>
    <row r="77" spans="2:43" x14ac:dyDescent="0.2">
      <c r="B77" s="74"/>
      <c r="C77" s="77"/>
      <c r="D77" s="76"/>
      <c r="E77" s="77"/>
      <c r="F77" s="77"/>
      <c r="H77" s="78" t="str">
        <f t="shared" si="6"/>
        <v/>
      </c>
      <c r="I77" s="78" t="str">
        <f t="shared" si="7"/>
        <v>Error</v>
      </c>
      <c r="J77" s="79" t="str">
        <f t="shared" si="10"/>
        <v>Revisa tu subcategoria</v>
      </c>
      <c r="AN77" s="83" t="str">
        <f>Dec!$H$57</f>
        <v>CUIDADO PERSONAL</v>
      </c>
      <c r="AO77" s="84" t="str">
        <f>Dec!H58</f>
        <v>Ropa</v>
      </c>
      <c r="AP77" s="80" t="str">
        <f t="shared" si="9"/>
        <v>CUIDADO PERSONALRopa</v>
      </c>
      <c r="AQ77" s="80" t="str">
        <f t="shared" si="8"/>
        <v>CUIDADO PERSONALRopa</v>
      </c>
    </row>
    <row r="78" spans="2:43" x14ac:dyDescent="0.2">
      <c r="B78" s="74"/>
      <c r="C78" s="77"/>
      <c r="D78" s="76"/>
      <c r="E78" s="77"/>
      <c r="F78" s="77"/>
      <c r="H78" s="78" t="str">
        <f t="shared" si="6"/>
        <v/>
      </c>
      <c r="I78" s="78" t="str">
        <f t="shared" si="7"/>
        <v>Error</v>
      </c>
      <c r="J78" s="79" t="str">
        <f t="shared" si="10"/>
        <v>Revisa tu subcategoria</v>
      </c>
      <c r="AN78" s="85" t="str">
        <f>Dec!$H$57</f>
        <v>CUIDADO PERSONAL</v>
      </c>
      <c r="AO78" s="86" t="str">
        <f>Dec!H59</f>
        <v>Belleza</v>
      </c>
      <c r="AP78" s="80" t="str">
        <f t="shared" si="9"/>
        <v>CUIDADO PERSONALBelleza</v>
      </c>
      <c r="AQ78" s="80" t="str">
        <f t="shared" si="8"/>
        <v>CUIDADO PERSONALBelleza</v>
      </c>
    </row>
    <row r="79" spans="2:43" x14ac:dyDescent="0.2">
      <c r="B79" s="74"/>
      <c r="C79" s="77"/>
      <c r="D79" s="76"/>
      <c r="E79" s="77"/>
      <c r="F79" s="77"/>
      <c r="H79" s="78" t="str">
        <f t="shared" si="6"/>
        <v/>
      </c>
      <c r="I79" s="78" t="str">
        <f t="shared" si="7"/>
        <v>Error</v>
      </c>
      <c r="J79" s="79" t="str">
        <f t="shared" si="10"/>
        <v>Revisa tu subcategoria</v>
      </c>
      <c r="AN79" s="85" t="str">
        <f>Dec!$H$57</f>
        <v>CUIDADO PERSONAL</v>
      </c>
      <c r="AO79" s="86" t="str">
        <f>Dec!H60</f>
        <v>Peluquería</v>
      </c>
      <c r="AP79" s="80" t="str">
        <f t="shared" si="9"/>
        <v>CUIDADO PERSONALPeluquería</v>
      </c>
      <c r="AQ79" s="80" t="str">
        <f t="shared" si="8"/>
        <v>CUIDADO PERSONALPeluquería</v>
      </c>
    </row>
    <row r="80" spans="2:43" x14ac:dyDescent="0.2">
      <c r="B80" s="74"/>
      <c r="C80" s="77"/>
      <c r="D80" s="76"/>
      <c r="E80" s="77"/>
      <c r="F80" s="77"/>
      <c r="H80" s="78" t="str">
        <f t="shared" si="6"/>
        <v/>
      </c>
      <c r="I80" s="78" t="str">
        <f t="shared" si="7"/>
        <v>Error</v>
      </c>
      <c r="J80" s="79" t="str">
        <f t="shared" si="10"/>
        <v>Revisa tu subcategoria</v>
      </c>
      <c r="AN80" s="85" t="str">
        <f>Dec!$H$57</f>
        <v>CUIDADO PERSONAL</v>
      </c>
      <c r="AO80" s="86" t="str">
        <f>Dec!H61</f>
        <v>Sastre</v>
      </c>
      <c r="AP80" s="80" t="str">
        <f t="shared" si="9"/>
        <v>CUIDADO PERSONALSastre</v>
      </c>
      <c r="AQ80" s="80" t="str">
        <f t="shared" si="8"/>
        <v>CUIDADO PERSONALSastre</v>
      </c>
    </row>
    <row r="81" spans="2:43" x14ac:dyDescent="0.2">
      <c r="B81" s="74"/>
      <c r="C81" s="77"/>
      <c r="D81" s="76"/>
      <c r="E81" s="77"/>
      <c r="F81" s="77"/>
      <c r="H81" s="78" t="str">
        <f t="shared" si="6"/>
        <v/>
      </c>
      <c r="I81" s="78" t="str">
        <f t="shared" si="7"/>
        <v>Error</v>
      </c>
      <c r="J81" s="79" t="str">
        <f t="shared" si="10"/>
        <v>Revisa tu subcategoria</v>
      </c>
      <c r="AN81" s="85" t="str">
        <f>Dec!$H$57</f>
        <v>CUIDADO PERSONAL</v>
      </c>
      <c r="AO81" s="86" t="str">
        <f>Dec!H62</f>
        <v>Tintorería</v>
      </c>
      <c r="AP81" s="80" t="str">
        <f t="shared" si="9"/>
        <v>CUIDADO PERSONALTintorería</v>
      </c>
      <c r="AQ81" s="80" t="str">
        <f t="shared" si="8"/>
        <v>CUIDADO PERSONALTintorería</v>
      </c>
    </row>
    <row r="82" spans="2:43" x14ac:dyDescent="0.2">
      <c r="B82" s="74"/>
      <c r="C82" s="77"/>
      <c r="D82" s="76"/>
      <c r="E82" s="77"/>
      <c r="F82" s="77"/>
      <c r="H82" s="78" t="str">
        <f t="shared" si="6"/>
        <v/>
      </c>
      <c r="I82" s="78" t="str">
        <f t="shared" si="7"/>
        <v>Error</v>
      </c>
      <c r="J82" s="79" t="str">
        <f t="shared" si="10"/>
        <v>Revisa tu subcategoria</v>
      </c>
      <c r="AN82" s="85" t="str">
        <f>Dec!$H$57</f>
        <v>CUIDADO PERSONAL</v>
      </c>
      <c r="AO82" s="86">
        <f>Dec!H63</f>
        <v>0</v>
      </c>
      <c r="AP82" s="80" t="str">
        <f t="shared" si="9"/>
        <v>CUIDADO PERSONAL0</v>
      </c>
      <c r="AQ82" s="80" t="str">
        <f t="shared" si="8"/>
        <v>CUIDADO PERSONAL0</v>
      </c>
    </row>
    <row r="83" spans="2:43" ht="15" thickBot="1" x14ac:dyDescent="0.25">
      <c r="B83" s="74"/>
      <c r="C83" s="77"/>
      <c r="D83" s="76"/>
      <c r="E83" s="77"/>
      <c r="F83" s="77"/>
      <c r="H83" s="78" t="str">
        <f t="shared" si="6"/>
        <v/>
      </c>
      <c r="I83" s="78" t="str">
        <f t="shared" si="7"/>
        <v>Error</v>
      </c>
      <c r="J83" s="79" t="str">
        <f t="shared" si="10"/>
        <v>Revisa tu subcategoria</v>
      </c>
      <c r="AN83" s="87" t="str">
        <f>Dec!$H$57</f>
        <v>CUIDADO PERSONAL</v>
      </c>
      <c r="AO83" s="88">
        <f>Dec!H64</f>
        <v>0</v>
      </c>
      <c r="AP83" s="80" t="str">
        <f t="shared" si="9"/>
        <v>CUIDADO PERSONAL0</v>
      </c>
      <c r="AQ83" s="80" t="str">
        <f t="shared" si="8"/>
        <v>CUIDADO PERSONAL0</v>
      </c>
    </row>
    <row r="84" spans="2:43" x14ac:dyDescent="0.2">
      <c r="B84" s="74"/>
      <c r="C84" s="77"/>
      <c r="D84" s="76"/>
      <c r="E84" s="77"/>
      <c r="F84" s="77"/>
      <c r="H84" s="78" t="str">
        <f t="shared" si="6"/>
        <v/>
      </c>
      <c r="I84" s="78" t="str">
        <f t="shared" si="7"/>
        <v>Error</v>
      </c>
      <c r="J84" s="79" t="str">
        <f t="shared" si="10"/>
        <v>Revisa tu subcategoria</v>
      </c>
      <c r="AN84" s="83" t="str">
        <f>Dec!$B$67</f>
        <v>ENTRETENIMIENTO</v>
      </c>
      <c r="AO84" s="84" t="str">
        <f>Dec!B68</f>
        <v>Vacaciones</v>
      </c>
      <c r="AP84" s="80" t="str">
        <f t="shared" si="9"/>
        <v>ENTRETENIMIENTOVacaciones</v>
      </c>
      <c r="AQ84" s="80" t="str">
        <f t="shared" si="8"/>
        <v>ENTRETENIMIENTOVacaciones</v>
      </c>
    </row>
    <row r="85" spans="2:43" x14ac:dyDescent="0.2">
      <c r="B85" s="74"/>
      <c r="C85" s="77"/>
      <c r="D85" s="76"/>
      <c r="E85" s="77"/>
      <c r="F85" s="77"/>
      <c r="H85" s="78" t="str">
        <f t="shared" si="6"/>
        <v/>
      </c>
      <c r="I85" s="78" t="str">
        <f t="shared" si="7"/>
        <v>Error</v>
      </c>
      <c r="J85" s="79" t="str">
        <f t="shared" si="10"/>
        <v>Revisa tu subcategoria</v>
      </c>
      <c r="AN85" s="85" t="str">
        <f>Dec!$B$67</f>
        <v>ENTRETENIMIENTO</v>
      </c>
      <c r="AO85" s="86" t="str">
        <f>Dec!B69</f>
        <v>Rumba</v>
      </c>
      <c r="AP85" s="80" t="str">
        <f t="shared" si="9"/>
        <v>ENTRETENIMIENTORumba</v>
      </c>
      <c r="AQ85" s="80" t="str">
        <f t="shared" si="8"/>
        <v>ENTRETENIMIENTORumba</v>
      </c>
    </row>
    <row r="86" spans="2:43" x14ac:dyDescent="0.2">
      <c r="B86" s="74"/>
      <c r="C86" s="77"/>
      <c r="D86" s="76"/>
      <c r="E86" s="77"/>
      <c r="F86" s="77"/>
      <c r="H86" s="78" t="str">
        <f t="shared" si="6"/>
        <v/>
      </c>
      <c r="I86" s="78" t="str">
        <f t="shared" si="7"/>
        <v>Error</v>
      </c>
      <c r="J86" s="79" t="str">
        <f t="shared" si="10"/>
        <v>Revisa tu subcategoria</v>
      </c>
      <c r="AN86" s="85" t="str">
        <f>Dec!$B$67</f>
        <v>ENTRETENIMIENTO</v>
      </c>
      <c r="AO86" s="86" t="str">
        <f>Dec!B70</f>
        <v>Citas</v>
      </c>
      <c r="AP86" s="80" t="str">
        <f t="shared" si="9"/>
        <v>ENTRETENIMIENTOCitas</v>
      </c>
      <c r="AQ86" s="80" t="str">
        <f t="shared" si="8"/>
        <v>ENTRETENIMIENTOCitas</v>
      </c>
    </row>
    <row r="87" spans="2:43" x14ac:dyDescent="0.2">
      <c r="B87" s="74"/>
      <c r="C87" s="77"/>
      <c r="D87" s="76"/>
      <c r="E87" s="77"/>
      <c r="F87" s="77"/>
      <c r="H87" s="78" t="str">
        <f t="shared" si="6"/>
        <v/>
      </c>
      <c r="I87" s="78" t="str">
        <f t="shared" si="7"/>
        <v>Error</v>
      </c>
      <c r="J87" s="79" t="str">
        <f t="shared" si="10"/>
        <v>Revisa tu subcategoria</v>
      </c>
      <c r="AN87" s="85" t="str">
        <f>Dec!$B$67</f>
        <v>ENTRETENIMIENTO</v>
      </c>
      <c r="AO87" s="86" t="str">
        <f>Dec!B71</f>
        <v>Cine</v>
      </c>
      <c r="AP87" s="80" t="str">
        <f t="shared" si="9"/>
        <v>ENTRETENIMIENTOCine</v>
      </c>
      <c r="AQ87" s="80" t="str">
        <f t="shared" si="8"/>
        <v>ENTRETENIMIENTOCine</v>
      </c>
    </row>
    <row r="88" spans="2:43" x14ac:dyDescent="0.2">
      <c r="B88" s="74"/>
      <c r="C88" s="77"/>
      <c r="D88" s="76"/>
      <c r="E88" s="77"/>
      <c r="F88" s="77"/>
      <c r="H88" s="78" t="str">
        <f t="shared" si="6"/>
        <v/>
      </c>
      <c r="I88" s="78" t="str">
        <f t="shared" si="7"/>
        <v>Error</v>
      </c>
      <c r="J88" s="79" t="str">
        <f t="shared" si="10"/>
        <v>Revisa tu subcategoria</v>
      </c>
      <c r="AN88" s="85" t="str">
        <f>Dec!$B$67</f>
        <v>ENTRETENIMIENTO</v>
      </c>
      <c r="AO88" s="86" t="str">
        <f>Dec!B72</f>
        <v>Deporte</v>
      </c>
      <c r="AP88" s="80" t="str">
        <f t="shared" si="9"/>
        <v>ENTRETENIMIENTODeporte</v>
      </c>
      <c r="AQ88" s="80" t="str">
        <f t="shared" si="8"/>
        <v>ENTRETENIMIENTODeporte</v>
      </c>
    </row>
    <row r="89" spans="2:43" x14ac:dyDescent="0.2">
      <c r="B89" s="74"/>
      <c r="C89" s="77"/>
      <c r="D89" s="76"/>
      <c r="E89" s="77"/>
      <c r="F89" s="77"/>
      <c r="H89" s="78" t="str">
        <f t="shared" si="6"/>
        <v/>
      </c>
      <c r="I89" s="78" t="str">
        <f t="shared" si="7"/>
        <v>Error</v>
      </c>
      <c r="J89" s="79" t="str">
        <f t="shared" si="10"/>
        <v>Revisa tu subcategoria</v>
      </c>
      <c r="AN89" s="85" t="str">
        <f>Dec!$B$67</f>
        <v>ENTRETENIMIENTO</v>
      </c>
      <c r="AO89" s="86" t="str">
        <f>Dec!B73</f>
        <v>Netflix</v>
      </c>
      <c r="AP89" s="80" t="str">
        <f t="shared" si="9"/>
        <v>ENTRETENIMIENTONetflix</v>
      </c>
      <c r="AQ89" s="80" t="str">
        <f t="shared" si="8"/>
        <v>ENTRETENIMIENTONetflix</v>
      </c>
    </row>
    <row r="90" spans="2:43" x14ac:dyDescent="0.2">
      <c r="B90" s="74"/>
      <c r="C90" s="77"/>
      <c r="D90" s="76"/>
      <c r="E90" s="77"/>
      <c r="F90" s="77"/>
      <c r="H90" s="78" t="str">
        <f t="shared" si="6"/>
        <v/>
      </c>
      <c r="I90" s="78" t="str">
        <f t="shared" si="7"/>
        <v>Error</v>
      </c>
      <c r="J90" s="79" t="str">
        <f t="shared" si="10"/>
        <v>Revisa tu subcategoria</v>
      </c>
      <c r="AN90" s="85" t="str">
        <f>Dec!$B$67</f>
        <v>ENTRETENIMIENTO</v>
      </c>
      <c r="AO90" s="86" t="str">
        <f>Dec!B74</f>
        <v xml:space="preserve">Spotify </v>
      </c>
      <c r="AP90" s="80" t="str">
        <f t="shared" si="9"/>
        <v xml:space="preserve">ENTRETENIMIENTOSpotify </v>
      </c>
      <c r="AQ90" s="80" t="str">
        <f t="shared" si="8"/>
        <v xml:space="preserve">ENTRETENIMIENTOSpotify </v>
      </c>
    </row>
    <row r="91" spans="2:43" x14ac:dyDescent="0.2">
      <c r="B91" s="74"/>
      <c r="C91" s="77"/>
      <c r="D91" s="76"/>
      <c r="E91" s="77"/>
      <c r="F91" s="77"/>
      <c r="H91" s="78" t="str">
        <f t="shared" si="6"/>
        <v/>
      </c>
      <c r="I91" s="78" t="str">
        <f t="shared" si="7"/>
        <v>Error</v>
      </c>
      <c r="J91" s="79" t="str">
        <f t="shared" si="10"/>
        <v>Revisa tu subcategoria</v>
      </c>
      <c r="AN91" s="85" t="str">
        <f>Dec!$B$67</f>
        <v>ENTRETENIMIENTO</v>
      </c>
      <c r="AO91" s="86">
        <f>Dec!B75</f>
        <v>0</v>
      </c>
      <c r="AP91" s="80" t="str">
        <f t="shared" si="9"/>
        <v>ENTRETENIMIENTO0</v>
      </c>
      <c r="AQ91" s="80" t="str">
        <f t="shared" si="8"/>
        <v>ENTRETENIMIENTO0</v>
      </c>
    </row>
    <row r="92" spans="2:43" x14ac:dyDescent="0.2">
      <c r="B92" s="74"/>
      <c r="C92" s="77"/>
      <c r="D92" s="76"/>
      <c r="E92" s="77"/>
      <c r="F92" s="77"/>
      <c r="H92" s="78" t="str">
        <f t="shared" si="6"/>
        <v/>
      </c>
      <c r="I92" s="78" t="str">
        <f t="shared" si="7"/>
        <v>Error</v>
      </c>
      <c r="J92" s="79" t="str">
        <f t="shared" si="10"/>
        <v>Revisa tu subcategoria</v>
      </c>
      <c r="AN92" s="85" t="str">
        <f>Dec!$B$67</f>
        <v>ENTRETENIMIENTO</v>
      </c>
      <c r="AO92" s="86">
        <f>Dec!B76</f>
        <v>0</v>
      </c>
      <c r="AP92" s="80" t="str">
        <f t="shared" si="9"/>
        <v>ENTRETENIMIENTO0</v>
      </c>
      <c r="AQ92" s="80" t="str">
        <f t="shared" si="8"/>
        <v>ENTRETENIMIENTO0</v>
      </c>
    </row>
    <row r="93" spans="2:43" x14ac:dyDescent="0.2">
      <c r="B93" s="74"/>
      <c r="C93" s="77"/>
      <c r="D93" s="76"/>
      <c r="E93" s="77"/>
      <c r="F93" s="77"/>
      <c r="H93" s="78" t="str">
        <f t="shared" si="6"/>
        <v/>
      </c>
      <c r="I93" s="78" t="str">
        <f t="shared" si="7"/>
        <v>Error</v>
      </c>
      <c r="J93" s="79" t="str">
        <f t="shared" si="10"/>
        <v>Revisa tu subcategoria</v>
      </c>
      <c r="AN93" s="85" t="str">
        <f>Dec!$B$67</f>
        <v>ENTRETENIMIENTO</v>
      </c>
      <c r="AO93" s="86">
        <f>Dec!B77</f>
        <v>0</v>
      </c>
      <c r="AP93" s="80" t="str">
        <f t="shared" si="9"/>
        <v>ENTRETENIMIENTO0</v>
      </c>
      <c r="AQ93" s="80" t="str">
        <f t="shared" si="8"/>
        <v>ENTRETENIMIENTO0</v>
      </c>
    </row>
    <row r="94" spans="2:43" ht="15" thickBot="1" x14ac:dyDescent="0.25">
      <c r="B94" s="74"/>
      <c r="C94" s="77"/>
      <c r="D94" s="76"/>
      <c r="E94" s="77"/>
      <c r="F94" s="77"/>
      <c r="H94" s="78" t="str">
        <f t="shared" si="6"/>
        <v/>
      </c>
      <c r="I94" s="78" t="str">
        <f t="shared" si="7"/>
        <v>Error</v>
      </c>
      <c r="J94" s="79" t="str">
        <f t="shared" si="10"/>
        <v>Revisa tu subcategoria</v>
      </c>
      <c r="AN94" s="87" t="str">
        <f>Dec!$B$67</f>
        <v>ENTRETENIMIENTO</v>
      </c>
      <c r="AO94" s="88">
        <f>Dec!B78</f>
        <v>0</v>
      </c>
      <c r="AP94" s="80" t="str">
        <f t="shared" si="9"/>
        <v>ENTRETENIMIENTO0</v>
      </c>
      <c r="AQ94" s="80" t="str">
        <f t="shared" si="8"/>
        <v>ENTRETENIMIENTO0</v>
      </c>
    </row>
    <row r="95" spans="2:43" x14ac:dyDescent="0.2">
      <c r="B95" s="74"/>
      <c r="C95" s="77"/>
      <c r="D95" s="76"/>
      <c r="E95" s="77"/>
      <c r="F95" s="77"/>
      <c r="H95" s="78" t="str">
        <f t="shared" si="6"/>
        <v/>
      </c>
      <c r="I95" s="78" t="str">
        <f t="shared" si="7"/>
        <v>Error</v>
      </c>
      <c r="J95" s="79" t="str">
        <f t="shared" si="10"/>
        <v>Revisa tu subcategoria</v>
      </c>
      <c r="AN95" s="83" t="str">
        <f>Dec!$H$67</f>
        <v>HIJOS</v>
      </c>
      <c r="AO95" s="84" t="str">
        <f>Dec!H68</f>
        <v>Ropa</v>
      </c>
      <c r="AP95" s="80" t="str">
        <f t="shared" si="9"/>
        <v>HIJOSRopa</v>
      </c>
      <c r="AQ95" s="80" t="str">
        <f t="shared" si="8"/>
        <v>HIJOSRopa</v>
      </c>
    </row>
    <row r="96" spans="2:43" x14ac:dyDescent="0.2">
      <c r="B96" s="74"/>
      <c r="C96" s="77"/>
      <c r="D96" s="76"/>
      <c r="E96" s="77"/>
      <c r="F96" s="77"/>
      <c r="H96" s="78" t="str">
        <f t="shared" si="6"/>
        <v/>
      </c>
      <c r="I96" s="78" t="str">
        <f t="shared" si="7"/>
        <v>Error</v>
      </c>
      <c r="J96" s="79" t="str">
        <f t="shared" si="10"/>
        <v>Revisa tu subcategoria</v>
      </c>
      <c r="AN96" s="85" t="str">
        <f>Dec!$H$67</f>
        <v>HIJOS</v>
      </c>
      <c r="AO96" s="86" t="str">
        <f>Dec!H69</f>
        <v xml:space="preserve">Estudio </v>
      </c>
      <c r="AP96" s="80" t="str">
        <f t="shared" si="9"/>
        <v xml:space="preserve">HIJOSEstudio </v>
      </c>
      <c r="AQ96" s="80" t="str">
        <f t="shared" si="8"/>
        <v xml:space="preserve">HIJOSEstudio </v>
      </c>
    </row>
    <row r="97" spans="2:43" x14ac:dyDescent="0.2">
      <c r="B97" s="74"/>
      <c r="C97" s="77"/>
      <c r="D97" s="76"/>
      <c r="E97" s="77"/>
      <c r="F97" s="77"/>
      <c r="H97" s="78" t="str">
        <f t="shared" si="6"/>
        <v/>
      </c>
      <c r="I97" s="78" t="str">
        <f t="shared" si="7"/>
        <v>Error</v>
      </c>
      <c r="J97" s="79" t="str">
        <f t="shared" si="10"/>
        <v>Revisa tu subcategoria</v>
      </c>
      <c r="AN97" s="85" t="str">
        <f>Dec!$H$67</f>
        <v>HIJOS</v>
      </c>
      <c r="AO97" s="86" t="str">
        <f>Dec!H70</f>
        <v>Utiles Escolares</v>
      </c>
      <c r="AP97" s="80" t="str">
        <f t="shared" si="9"/>
        <v>HIJOSUtiles Escolares</v>
      </c>
      <c r="AQ97" s="80" t="str">
        <f t="shared" si="8"/>
        <v>HIJOSUtiles Escolares</v>
      </c>
    </row>
    <row r="98" spans="2:43" x14ac:dyDescent="0.2">
      <c r="B98" s="74"/>
      <c r="C98" s="77"/>
      <c r="D98" s="76"/>
      <c r="E98" s="77"/>
      <c r="F98" s="77"/>
      <c r="H98" s="78" t="str">
        <f t="shared" si="6"/>
        <v/>
      </c>
      <c r="I98" s="78" t="str">
        <f t="shared" si="7"/>
        <v>Error</v>
      </c>
      <c r="J98" s="79" t="str">
        <f t="shared" si="10"/>
        <v>Revisa tu subcategoria</v>
      </c>
      <c r="AN98" s="85" t="str">
        <f>Dec!$H$67</f>
        <v>HIJOS</v>
      </c>
      <c r="AO98" s="86" t="str">
        <f>Dec!H71</f>
        <v>Niñera</v>
      </c>
      <c r="AP98" s="80" t="str">
        <f t="shared" si="9"/>
        <v>HIJOSNiñera</v>
      </c>
      <c r="AQ98" s="80" t="str">
        <f t="shared" si="8"/>
        <v>HIJOSNiñera</v>
      </c>
    </row>
    <row r="99" spans="2:43" x14ac:dyDescent="0.2">
      <c r="B99" s="74"/>
      <c r="C99" s="77"/>
      <c r="D99" s="76"/>
      <c r="E99" s="77"/>
      <c r="F99" s="77"/>
      <c r="H99" s="78" t="str">
        <f t="shared" si="6"/>
        <v/>
      </c>
      <c r="I99" s="78" t="str">
        <f t="shared" si="7"/>
        <v>Error</v>
      </c>
      <c r="J99" s="79" t="str">
        <f t="shared" si="10"/>
        <v>Revisa tu subcategoria</v>
      </c>
      <c r="AN99" s="85" t="str">
        <f>Dec!$H$67</f>
        <v>HIJOS</v>
      </c>
      <c r="AO99" s="86">
        <f>Dec!H72</f>
        <v>0</v>
      </c>
      <c r="AP99" s="80" t="str">
        <f t="shared" si="9"/>
        <v>HIJOS0</v>
      </c>
      <c r="AQ99" s="80" t="str">
        <f t="shared" si="8"/>
        <v>HIJOS0</v>
      </c>
    </row>
    <row r="100" spans="2:43" x14ac:dyDescent="0.2">
      <c r="B100" s="74"/>
      <c r="C100" s="77"/>
      <c r="D100" s="76"/>
      <c r="E100" s="77"/>
      <c r="F100" s="77"/>
      <c r="H100" s="78" t="str">
        <f t="shared" si="6"/>
        <v/>
      </c>
      <c r="I100" s="78" t="str">
        <f t="shared" si="7"/>
        <v>Error</v>
      </c>
      <c r="J100" s="79" t="str">
        <f t="shared" si="10"/>
        <v>Revisa tu subcategoria</v>
      </c>
      <c r="AN100" s="85" t="str">
        <f>Dec!$H$67</f>
        <v>HIJOS</v>
      </c>
      <c r="AO100" s="86">
        <f>Dec!H73</f>
        <v>0</v>
      </c>
      <c r="AP100" s="80" t="str">
        <f t="shared" si="9"/>
        <v>HIJOS0</v>
      </c>
      <c r="AQ100" s="80" t="str">
        <f t="shared" si="8"/>
        <v>HIJOS0</v>
      </c>
    </row>
    <row r="101" spans="2:43" x14ac:dyDescent="0.2">
      <c r="B101" s="74"/>
      <c r="C101" s="77"/>
      <c r="D101" s="76"/>
      <c r="E101" s="77"/>
      <c r="F101" s="77"/>
      <c r="H101" s="78" t="str">
        <f t="shared" si="6"/>
        <v/>
      </c>
      <c r="I101" s="78" t="str">
        <f t="shared" si="7"/>
        <v>Error</v>
      </c>
      <c r="J101" s="79" t="str">
        <f t="shared" si="10"/>
        <v>Revisa tu subcategoria</v>
      </c>
      <c r="AN101" s="85" t="str">
        <f>Dec!$H$67</f>
        <v>HIJOS</v>
      </c>
      <c r="AO101" s="86">
        <f>Dec!H74</f>
        <v>0</v>
      </c>
      <c r="AP101" s="80" t="str">
        <f t="shared" si="9"/>
        <v>HIJOS0</v>
      </c>
      <c r="AQ101" s="80" t="str">
        <f t="shared" si="8"/>
        <v>HIJOS0</v>
      </c>
    </row>
    <row r="102" spans="2:43" x14ac:dyDescent="0.2">
      <c r="B102" s="74"/>
      <c r="C102" s="77"/>
      <c r="D102" s="76"/>
      <c r="E102" s="77"/>
      <c r="F102" s="77"/>
      <c r="H102" s="78" t="str">
        <f t="shared" si="6"/>
        <v/>
      </c>
      <c r="I102" s="78" t="str">
        <f t="shared" si="7"/>
        <v>Error</v>
      </c>
      <c r="J102" s="79" t="str">
        <f t="shared" si="10"/>
        <v>Revisa tu subcategoria</v>
      </c>
      <c r="AN102" s="85" t="str">
        <f>Dec!$H$67</f>
        <v>HIJOS</v>
      </c>
      <c r="AO102" s="86">
        <f>Dec!H75</f>
        <v>0</v>
      </c>
      <c r="AP102" s="80" t="str">
        <f t="shared" si="9"/>
        <v>HIJOS0</v>
      </c>
      <c r="AQ102" s="80" t="str">
        <f t="shared" si="8"/>
        <v>HIJOS0</v>
      </c>
    </row>
    <row r="103" spans="2:43" x14ac:dyDescent="0.2">
      <c r="B103" s="74"/>
      <c r="C103" s="77"/>
      <c r="D103" s="76"/>
      <c r="E103" s="77"/>
      <c r="F103" s="77"/>
      <c r="H103" s="78" t="str">
        <f t="shared" si="6"/>
        <v/>
      </c>
      <c r="I103" s="78" t="str">
        <f t="shared" si="7"/>
        <v>Error</v>
      </c>
      <c r="J103" s="79" t="str">
        <f t="shared" si="10"/>
        <v>Revisa tu subcategoria</v>
      </c>
      <c r="AN103" s="85" t="str">
        <f>Dec!$H$67</f>
        <v>HIJOS</v>
      </c>
      <c r="AO103" s="86">
        <f>Dec!H76</f>
        <v>0</v>
      </c>
      <c r="AP103" s="80" t="str">
        <f t="shared" si="9"/>
        <v>HIJOS0</v>
      </c>
      <c r="AQ103" s="80" t="str">
        <f t="shared" si="8"/>
        <v>HIJOS0</v>
      </c>
    </row>
    <row r="104" spans="2:43" x14ac:dyDescent="0.2">
      <c r="B104" s="74"/>
      <c r="C104" s="77"/>
      <c r="D104" s="76"/>
      <c r="E104" s="77"/>
      <c r="F104" s="77"/>
      <c r="H104" s="78" t="str">
        <f t="shared" si="6"/>
        <v/>
      </c>
      <c r="I104" s="78" t="str">
        <f t="shared" si="7"/>
        <v>Error</v>
      </c>
      <c r="J104" s="79" t="str">
        <f t="shared" si="10"/>
        <v>Revisa tu subcategoria</v>
      </c>
      <c r="AN104" s="85" t="str">
        <f>Dec!$H$67</f>
        <v>HIJOS</v>
      </c>
      <c r="AO104" s="86">
        <f>Dec!H77</f>
        <v>0</v>
      </c>
      <c r="AP104" s="80" t="str">
        <f t="shared" si="9"/>
        <v>HIJOS0</v>
      </c>
      <c r="AQ104" s="80" t="str">
        <f t="shared" si="8"/>
        <v>HIJOS0</v>
      </c>
    </row>
    <row r="105" spans="2:43" ht="15" thickBot="1" x14ac:dyDescent="0.25">
      <c r="B105" s="74"/>
      <c r="C105" s="77"/>
      <c r="D105" s="76"/>
      <c r="E105" s="77"/>
      <c r="F105" s="77"/>
      <c r="H105" s="78" t="str">
        <f t="shared" si="6"/>
        <v/>
      </c>
      <c r="I105" s="78" t="str">
        <f t="shared" si="7"/>
        <v>Error</v>
      </c>
      <c r="J105" s="79" t="str">
        <f t="shared" si="10"/>
        <v>Revisa tu subcategoria</v>
      </c>
      <c r="AN105" s="87" t="str">
        <f>Dec!$H$67</f>
        <v>HIJOS</v>
      </c>
      <c r="AO105" s="88">
        <f>Dec!H78</f>
        <v>0</v>
      </c>
      <c r="AP105" s="80" t="str">
        <f t="shared" si="9"/>
        <v>HIJOS0</v>
      </c>
      <c r="AQ105" s="80" t="str">
        <f t="shared" si="8"/>
        <v>HIJOS0</v>
      </c>
    </row>
    <row r="106" spans="2:43" x14ac:dyDescent="0.2">
      <c r="B106" s="74"/>
      <c r="C106" s="77"/>
      <c r="D106" s="76"/>
      <c r="E106" s="77"/>
      <c r="F106" s="77"/>
      <c r="H106" s="78" t="str">
        <f t="shared" si="6"/>
        <v/>
      </c>
      <c r="I106" s="78" t="str">
        <f t="shared" si="7"/>
        <v>Error</v>
      </c>
      <c r="J106" s="79" t="str">
        <f t="shared" si="10"/>
        <v>Revisa tu subcategoria</v>
      </c>
      <c r="AN106" s="83" t="str">
        <f>Dec!$B$81</f>
        <v>MASCOTA</v>
      </c>
      <c r="AO106" s="84" t="str">
        <f>Dec!B82</f>
        <v>Comida</v>
      </c>
      <c r="AP106" s="80" t="str">
        <f t="shared" si="9"/>
        <v>MASCOTAComida</v>
      </c>
      <c r="AQ106" s="80" t="str">
        <f t="shared" si="8"/>
        <v>MASCOTAComida</v>
      </c>
    </row>
    <row r="107" spans="2:43" x14ac:dyDescent="0.2">
      <c r="B107" s="74"/>
      <c r="C107" s="77"/>
      <c r="D107" s="76"/>
      <c r="E107" s="77"/>
      <c r="F107" s="77"/>
      <c r="H107" s="78" t="str">
        <f t="shared" si="6"/>
        <v/>
      </c>
      <c r="I107" s="78" t="str">
        <f t="shared" si="7"/>
        <v>Error</v>
      </c>
      <c r="J107" s="79" t="str">
        <f t="shared" si="10"/>
        <v>Revisa tu subcategoria</v>
      </c>
      <c r="AN107" s="85" t="str">
        <f>Dec!$B$81</f>
        <v>MASCOTA</v>
      </c>
      <c r="AO107" s="86" t="str">
        <f>Dec!B83</f>
        <v>Veterinario</v>
      </c>
      <c r="AP107" s="80" t="str">
        <f t="shared" si="9"/>
        <v>MASCOTAVeterinario</v>
      </c>
      <c r="AQ107" s="80" t="str">
        <f t="shared" si="8"/>
        <v>MASCOTAVeterinario</v>
      </c>
    </row>
    <row r="108" spans="2:43" x14ac:dyDescent="0.2">
      <c r="B108" s="74"/>
      <c r="C108" s="77"/>
      <c r="D108" s="76"/>
      <c r="E108" s="77"/>
      <c r="F108" s="77"/>
      <c r="H108" s="78" t="str">
        <f t="shared" si="6"/>
        <v/>
      </c>
      <c r="I108" s="78" t="str">
        <f t="shared" si="7"/>
        <v>Error</v>
      </c>
      <c r="J108" s="79" t="str">
        <f t="shared" si="10"/>
        <v>Revisa tu subcategoria</v>
      </c>
      <c r="AN108" s="85" t="str">
        <f>Dec!$B$81</f>
        <v>MASCOTA</v>
      </c>
      <c r="AO108" s="86" t="str">
        <f>Dec!B84</f>
        <v>Juguetes</v>
      </c>
      <c r="AP108" s="80" t="str">
        <f t="shared" si="9"/>
        <v>MASCOTAJuguetes</v>
      </c>
      <c r="AQ108" s="80" t="str">
        <f t="shared" si="8"/>
        <v>MASCOTAJuguetes</v>
      </c>
    </row>
    <row r="109" spans="2:43" x14ac:dyDescent="0.2">
      <c r="B109" s="74"/>
      <c r="C109" s="77"/>
      <c r="D109" s="76"/>
      <c r="E109" s="77"/>
      <c r="F109" s="77"/>
      <c r="H109" s="78" t="str">
        <f t="shared" si="6"/>
        <v/>
      </c>
      <c r="I109" s="78" t="str">
        <f t="shared" si="7"/>
        <v>Error</v>
      </c>
      <c r="J109" s="79" t="str">
        <f t="shared" si="10"/>
        <v>Revisa tu subcategoria</v>
      </c>
      <c r="AN109" s="85" t="str">
        <f>Dec!$B$81</f>
        <v>MASCOTA</v>
      </c>
      <c r="AO109" s="86" t="str">
        <f>Dec!B85</f>
        <v>Medicinas</v>
      </c>
      <c r="AP109" s="80" t="str">
        <f t="shared" si="9"/>
        <v>MASCOTAMedicinas</v>
      </c>
      <c r="AQ109" s="80" t="str">
        <f t="shared" si="8"/>
        <v>MASCOTAMedicinas</v>
      </c>
    </row>
    <row r="110" spans="2:43" x14ac:dyDescent="0.2">
      <c r="B110" s="74"/>
      <c r="C110" s="77"/>
      <c r="D110" s="76"/>
      <c r="E110" s="77"/>
      <c r="F110" s="77"/>
      <c r="H110" s="78" t="str">
        <f t="shared" si="6"/>
        <v/>
      </c>
      <c r="I110" s="78" t="str">
        <f t="shared" si="7"/>
        <v>Error</v>
      </c>
      <c r="J110" s="79" t="str">
        <f t="shared" si="10"/>
        <v>Revisa tu subcategoria</v>
      </c>
      <c r="AN110" s="85" t="str">
        <f>Dec!$B$81</f>
        <v>MASCOTA</v>
      </c>
      <c r="AO110" s="86">
        <f>Dec!B86</f>
        <v>0</v>
      </c>
      <c r="AP110" s="80" t="str">
        <f t="shared" si="9"/>
        <v>MASCOTA0</v>
      </c>
      <c r="AQ110" s="80" t="str">
        <f t="shared" si="8"/>
        <v>MASCOTA0</v>
      </c>
    </row>
    <row r="111" spans="2:43" ht="15" thickBot="1" x14ac:dyDescent="0.25">
      <c r="B111" s="74"/>
      <c r="C111" s="77"/>
      <c r="D111" s="76"/>
      <c r="E111" s="77"/>
      <c r="F111" s="77"/>
      <c r="H111" s="78" t="str">
        <f t="shared" si="6"/>
        <v/>
      </c>
      <c r="I111" s="78" t="str">
        <f t="shared" si="7"/>
        <v>Error</v>
      </c>
      <c r="J111" s="79" t="str">
        <f t="shared" si="10"/>
        <v>Revisa tu subcategoria</v>
      </c>
      <c r="AN111" s="87" t="str">
        <f>Dec!$B$81</f>
        <v>MASCOTA</v>
      </c>
      <c r="AO111" s="88">
        <f>Dec!B87</f>
        <v>0</v>
      </c>
      <c r="AP111" s="80" t="str">
        <f t="shared" si="9"/>
        <v>MASCOTA0</v>
      </c>
      <c r="AQ111" s="80" t="str">
        <f t="shared" si="8"/>
        <v>MASCOTA0</v>
      </c>
    </row>
    <row r="112" spans="2:43" x14ac:dyDescent="0.2">
      <c r="B112" s="74"/>
      <c r="C112" s="77"/>
      <c r="D112" s="76"/>
      <c r="E112" s="77"/>
      <c r="F112" s="77"/>
      <c r="H112" s="78" t="str">
        <f t="shared" si="6"/>
        <v/>
      </c>
      <c r="I112" s="78" t="str">
        <f t="shared" si="7"/>
        <v>Error</v>
      </c>
      <c r="J112" s="79" t="str">
        <f t="shared" si="10"/>
        <v>Revisa tu subcategoria</v>
      </c>
      <c r="AN112" s="83" t="str">
        <f>Dec!$H$81</f>
        <v>OTROS 1</v>
      </c>
      <c r="AO112" s="84">
        <f>Dec!H82</f>
        <v>1</v>
      </c>
      <c r="AP112" s="80" t="str">
        <f t="shared" si="9"/>
        <v>OTROS 11</v>
      </c>
      <c r="AQ112" s="80" t="str">
        <f t="shared" si="8"/>
        <v>OTROS 11</v>
      </c>
    </row>
    <row r="113" spans="2:43" x14ac:dyDescent="0.2">
      <c r="B113" s="74"/>
      <c r="C113" s="77"/>
      <c r="D113" s="76"/>
      <c r="E113" s="77"/>
      <c r="F113" s="77"/>
      <c r="H113" s="78" t="str">
        <f t="shared" si="6"/>
        <v/>
      </c>
      <c r="I113" s="78" t="str">
        <f t="shared" si="7"/>
        <v>Error</v>
      </c>
      <c r="J113" s="79" t="str">
        <f t="shared" si="10"/>
        <v>Revisa tu subcategoria</v>
      </c>
      <c r="AN113" s="85" t="str">
        <f>Dec!$H$81</f>
        <v>OTROS 1</v>
      </c>
      <c r="AO113" s="86">
        <f>Dec!H83</f>
        <v>0</v>
      </c>
      <c r="AP113" s="80" t="str">
        <f t="shared" si="9"/>
        <v>OTROS 10</v>
      </c>
      <c r="AQ113" s="80" t="str">
        <f t="shared" si="8"/>
        <v>OTROS 10</v>
      </c>
    </row>
    <row r="114" spans="2:43" x14ac:dyDescent="0.2">
      <c r="B114" s="74"/>
      <c r="C114" s="77"/>
      <c r="D114" s="76"/>
      <c r="E114" s="77"/>
      <c r="F114" s="77"/>
      <c r="H114" s="78" t="str">
        <f t="shared" si="6"/>
        <v/>
      </c>
      <c r="I114" s="78" t="str">
        <f t="shared" si="7"/>
        <v>Error</v>
      </c>
      <c r="J114" s="79" t="str">
        <f t="shared" si="10"/>
        <v>Revisa tu subcategoria</v>
      </c>
      <c r="AN114" s="85" t="str">
        <f>Dec!$H$81</f>
        <v>OTROS 1</v>
      </c>
      <c r="AO114" s="86">
        <f>Dec!H84</f>
        <v>0</v>
      </c>
      <c r="AP114" s="80" t="str">
        <f t="shared" si="9"/>
        <v>OTROS 10</v>
      </c>
      <c r="AQ114" s="80" t="str">
        <f t="shared" si="8"/>
        <v>OTROS 10</v>
      </c>
    </row>
    <row r="115" spans="2:43" x14ac:dyDescent="0.2">
      <c r="B115" s="74"/>
      <c r="C115" s="77"/>
      <c r="D115" s="76"/>
      <c r="E115" s="77"/>
      <c r="F115" s="77"/>
      <c r="H115" s="78" t="str">
        <f t="shared" si="6"/>
        <v/>
      </c>
      <c r="I115" s="78" t="str">
        <f t="shared" si="7"/>
        <v>Error</v>
      </c>
      <c r="J115" s="79" t="str">
        <f t="shared" si="10"/>
        <v>Revisa tu subcategoria</v>
      </c>
      <c r="AN115" s="85" t="str">
        <f>Dec!$H$81</f>
        <v>OTROS 1</v>
      </c>
      <c r="AO115" s="86">
        <f>Dec!H85</f>
        <v>0</v>
      </c>
      <c r="AP115" s="80" t="str">
        <f t="shared" si="9"/>
        <v>OTROS 10</v>
      </c>
      <c r="AQ115" s="80" t="str">
        <f t="shared" si="8"/>
        <v>OTROS 10</v>
      </c>
    </row>
    <row r="116" spans="2:43" x14ac:dyDescent="0.2">
      <c r="B116" s="74"/>
      <c r="C116" s="77"/>
      <c r="D116" s="76"/>
      <c r="E116" s="77"/>
      <c r="F116" s="77"/>
      <c r="H116" s="78" t="str">
        <f t="shared" si="6"/>
        <v/>
      </c>
      <c r="I116" s="78" t="str">
        <f t="shared" si="7"/>
        <v>Error</v>
      </c>
      <c r="J116" s="79" t="str">
        <f t="shared" si="10"/>
        <v>Revisa tu subcategoria</v>
      </c>
      <c r="AN116" s="85" t="str">
        <f>Dec!$H$81</f>
        <v>OTROS 1</v>
      </c>
      <c r="AO116" s="86">
        <f>Dec!H86</f>
        <v>0</v>
      </c>
      <c r="AP116" s="80" t="str">
        <f t="shared" si="9"/>
        <v>OTROS 10</v>
      </c>
      <c r="AQ116" s="80" t="str">
        <f t="shared" si="8"/>
        <v>OTROS 10</v>
      </c>
    </row>
    <row r="117" spans="2:43" ht="15" thickBot="1" x14ac:dyDescent="0.25">
      <c r="B117" s="74"/>
      <c r="C117" s="77"/>
      <c r="D117" s="76"/>
      <c r="E117" s="77"/>
      <c r="F117" s="77"/>
      <c r="H117" s="78" t="str">
        <f t="shared" si="6"/>
        <v/>
      </c>
      <c r="I117" s="78" t="str">
        <f t="shared" si="7"/>
        <v>Error</v>
      </c>
      <c r="J117" s="79" t="str">
        <f t="shared" si="10"/>
        <v>Revisa tu subcategoria</v>
      </c>
      <c r="AN117" s="87" t="str">
        <f>Dec!$H$81</f>
        <v>OTROS 1</v>
      </c>
      <c r="AO117" s="88">
        <f>Dec!H87</f>
        <v>0</v>
      </c>
      <c r="AP117" s="80" t="str">
        <f t="shared" si="9"/>
        <v>OTROS 10</v>
      </c>
      <c r="AQ117" s="80" t="str">
        <f t="shared" si="8"/>
        <v>OTROS 10</v>
      </c>
    </row>
    <row r="118" spans="2:43" x14ac:dyDescent="0.2">
      <c r="B118" s="74"/>
      <c r="C118" s="77"/>
      <c r="D118" s="76"/>
      <c r="E118" s="77"/>
      <c r="F118" s="77"/>
      <c r="H118" s="78" t="str">
        <f t="shared" si="6"/>
        <v/>
      </c>
      <c r="I118" s="78" t="str">
        <f t="shared" si="7"/>
        <v>Error</v>
      </c>
      <c r="J118" s="79" t="str">
        <f t="shared" si="10"/>
        <v>Revisa tu subcategoria</v>
      </c>
      <c r="AN118" s="83" t="str">
        <f>Dec!$B$90</f>
        <v>OTROS 2</v>
      </c>
      <c r="AO118" s="84">
        <f>Dec!B91</f>
        <v>2</v>
      </c>
      <c r="AP118" s="80" t="str">
        <f t="shared" si="9"/>
        <v>OTROS 22</v>
      </c>
      <c r="AQ118" s="80" t="str">
        <f t="shared" si="8"/>
        <v>OTROS 22</v>
      </c>
    </row>
    <row r="119" spans="2:43" x14ac:dyDescent="0.2">
      <c r="B119" s="74"/>
      <c r="C119" s="77"/>
      <c r="D119" s="76"/>
      <c r="E119" s="77"/>
      <c r="F119" s="77"/>
      <c r="H119" s="78" t="str">
        <f t="shared" si="6"/>
        <v/>
      </c>
      <c r="I119" s="78" t="str">
        <f t="shared" si="7"/>
        <v>Error</v>
      </c>
      <c r="J119" s="79" t="str">
        <f t="shared" si="10"/>
        <v>Revisa tu subcategoria</v>
      </c>
      <c r="AN119" s="85" t="str">
        <f>Dec!$B$90</f>
        <v>OTROS 2</v>
      </c>
      <c r="AO119" s="86">
        <f>Dec!B92</f>
        <v>0</v>
      </c>
      <c r="AP119" s="80" t="str">
        <f t="shared" si="9"/>
        <v>OTROS 20</v>
      </c>
      <c r="AQ119" s="80" t="str">
        <f t="shared" si="8"/>
        <v>OTROS 20</v>
      </c>
    </row>
    <row r="120" spans="2:43" x14ac:dyDescent="0.2">
      <c r="B120" s="74"/>
      <c r="C120" s="77"/>
      <c r="D120" s="76"/>
      <c r="E120" s="77"/>
      <c r="F120" s="77"/>
      <c r="H120" s="78" t="str">
        <f t="shared" si="6"/>
        <v/>
      </c>
      <c r="I120" s="78" t="str">
        <f t="shared" si="7"/>
        <v>Error</v>
      </c>
      <c r="J120" s="79" t="str">
        <f t="shared" si="10"/>
        <v>Revisa tu subcategoria</v>
      </c>
      <c r="AN120" s="85" t="str">
        <f>Dec!$B$90</f>
        <v>OTROS 2</v>
      </c>
      <c r="AO120" s="86">
        <f>Dec!B93</f>
        <v>0</v>
      </c>
      <c r="AP120" s="80" t="str">
        <f t="shared" si="9"/>
        <v>OTROS 20</v>
      </c>
      <c r="AQ120" s="80" t="str">
        <f t="shared" si="8"/>
        <v>OTROS 20</v>
      </c>
    </row>
    <row r="121" spans="2:43" x14ac:dyDescent="0.2">
      <c r="B121" s="74"/>
      <c r="C121" s="77"/>
      <c r="D121" s="76"/>
      <c r="E121" s="77"/>
      <c r="F121" s="77"/>
      <c r="H121" s="78" t="str">
        <f t="shared" si="6"/>
        <v/>
      </c>
      <c r="I121" s="78" t="str">
        <f t="shared" si="7"/>
        <v>Error</v>
      </c>
      <c r="J121" s="79" t="str">
        <f t="shared" si="10"/>
        <v>Revisa tu subcategoria</v>
      </c>
      <c r="AN121" s="85" t="str">
        <f>Dec!$B$90</f>
        <v>OTROS 2</v>
      </c>
      <c r="AO121" s="86">
        <f>Dec!B94</f>
        <v>0</v>
      </c>
      <c r="AP121" s="80" t="str">
        <f t="shared" si="9"/>
        <v>OTROS 20</v>
      </c>
      <c r="AQ121" s="80" t="str">
        <f t="shared" si="8"/>
        <v>OTROS 20</v>
      </c>
    </row>
    <row r="122" spans="2:43" x14ac:dyDescent="0.2">
      <c r="B122" s="74"/>
      <c r="C122" s="77"/>
      <c r="D122" s="76"/>
      <c r="E122" s="77"/>
      <c r="F122" s="77"/>
      <c r="H122" s="78" t="str">
        <f t="shared" si="6"/>
        <v/>
      </c>
      <c r="I122" s="78" t="str">
        <f t="shared" si="7"/>
        <v>Error</v>
      </c>
      <c r="J122" s="79" t="str">
        <f t="shared" si="10"/>
        <v>Revisa tu subcategoria</v>
      </c>
      <c r="AN122" s="85" t="str">
        <f>Dec!$B$90</f>
        <v>OTROS 2</v>
      </c>
      <c r="AO122" s="86">
        <f>Dec!B95</f>
        <v>0</v>
      </c>
      <c r="AP122" s="80" t="str">
        <f t="shared" si="9"/>
        <v>OTROS 20</v>
      </c>
      <c r="AQ122" s="80" t="str">
        <f t="shared" si="8"/>
        <v>OTROS 20</v>
      </c>
    </row>
    <row r="123" spans="2:43" ht="15" thickBot="1" x14ac:dyDescent="0.25">
      <c r="B123" s="74"/>
      <c r="C123" s="77"/>
      <c r="D123" s="76"/>
      <c r="E123" s="77"/>
      <c r="F123" s="77"/>
      <c r="H123" s="78" t="str">
        <f t="shared" si="6"/>
        <v/>
      </c>
      <c r="I123" s="78" t="str">
        <f t="shared" si="7"/>
        <v>Error</v>
      </c>
      <c r="J123" s="79" t="str">
        <f t="shared" si="10"/>
        <v>Revisa tu subcategoria</v>
      </c>
      <c r="AN123" s="87" t="str">
        <f>Dec!$B$90</f>
        <v>OTROS 2</v>
      </c>
      <c r="AO123" s="88">
        <f>Dec!B96</f>
        <v>0</v>
      </c>
      <c r="AP123" s="80" t="str">
        <f t="shared" si="9"/>
        <v>OTROS 20</v>
      </c>
      <c r="AQ123" s="80" t="str">
        <f t="shared" si="8"/>
        <v>OTROS 20</v>
      </c>
    </row>
    <row r="124" spans="2:43" x14ac:dyDescent="0.2">
      <c r="B124" s="74"/>
      <c r="C124" s="77"/>
      <c r="D124" s="76"/>
      <c r="E124" s="77"/>
      <c r="F124" s="77"/>
      <c r="H124" s="78" t="str">
        <f t="shared" si="6"/>
        <v/>
      </c>
      <c r="I124" s="78" t="str">
        <f t="shared" si="7"/>
        <v>Error</v>
      </c>
      <c r="J124" s="79" t="str">
        <f t="shared" si="10"/>
        <v>Revisa tu subcategoria</v>
      </c>
      <c r="AN124" s="83" t="str">
        <f>Dec!$H$90</f>
        <v>OTROS 3</v>
      </c>
      <c r="AO124" s="84">
        <f>Dec!H91</f>
        <v>3</v>
      </c>
      <c r="AP124" s="80" t="str">
        <f t="shared" si="9"/>
        <v>OTROS 33</v>
      </c>
      <c r="AQ124" s="80" t="str">
        <f t="shared" si="8"/>
        <v>OTROS 33</v>
      </c>
    </row>
    <row r="125" spans="2:43" x14ac:dyDescent="0.2">
      <c r="B125" s="74"/>
      <c r="C125" s="77"/>
      <c r="D125" s="76"/>
      <c r="E125" s="77"/>
      <c r="F125" s="77"/>
      <c r="H125" s="78" t="str">
        <f t="shared" si="6"/>
        <v/>
      </c>
      <c r="I125" s="78" t="str">
        <f t="shared" si="7"/>
        <v>Error</v>
      </c>
      <c r="J125" s="79" t="str">
        <f t="shared" si="10"/>
        <v>Revisa tu subcategoria</v>
      </c>
      <c r="AN125" s="85" t="str">
        <f>Dec!$H$90</f>
        <v>OTROS 3</v>
      </c>
      <c r="AO125" s="86">
        <f>Dec!H92</f>
        <v>0</v>
      </c>
      <c r="AP125" s="80" t="str">
        <f t="shared" si="9"/>
        <v>OTROS 30</v>
      </c>
      <c r="AQ125" s="80" t="str">
        <f t="shared" si="8"/>
        <v>OTROS 30</v>
      </c>
    </row>
    <row r="126" spans="2:43" x14ac:dyDescent="0.2">
      <c r="B126" s="74"/>
      <c r="C126" s="77"/>
      <c r="D126" s="76"/>
      <c r="E126" s="77"/>
      <c r="F126" s="77"/>
      <c r="H126" s="78" t="str">
        <f t="shared" si="6"/>
        <v/>
      </c>
      <c r="I126" s="78" t="str">
        <f t="shared" si="7"/>
        <v>Error</v>
      </c>
      <c r="J126" s="79" t="str">
        <f t="shared" si="10"/>
        <v>Revisa tu subcategoria</v>
      </c>
      <c r="AN126" s="85" t="str">
        <f>Dec!$H$90</f>
        <v>OTROS 3</v>
      </c>
      <c r="AO126" s="86">
        <f>Dec!H93</f>
        <v>0</v>
      </c>
      <c r="AP126" s="80" t="str">
        <f t="shared" si="9"/>
        <v>OTROS 30</v>
      </c>
      <c r="AQ126" s="80" t="str">
        <f t="shared" si="8"/>
        <v>OTROS 30</v>
      </c>
    </row>
    <row r="127" spans="2:43" x14ac:dyDescent="0.2">
      <c r="B127" s="74"/>
      <c r="C127" s="77"/>
      <c r="D127" s="76"/>
      <c r="E127" s="77"/>
      <c r="F127" s="77"/>
      <c r="H127" s="78" t="str">
        <f t="shared" si="6"/>
        <v/>
      </c>
      <c r="I127" s="78" t="str">
        <f t="shared" si="7"/>
        <v>Error</v>
      </c>
      <c r="J127" s="79" t="str">
        <f t="shared" si="10"/>
        <v>Revisa tu subcategoria</v>
      </c>
      <c r="AN127" s="85" t="str">
        <f>Dec!$H$90</f>
        <v>OTROS 3</v>
      </c>
      <c r="AO127" s="86">
        <f>Dec!H94</f>
        <v>0</v>
      </c>
      <c r="AP127" s="80" t="str">
        <f t="shared" si="9"/>
        <v>OTROS 30</v>
      </c>
      <c r="AQ127" s="80" t="str">
        <f t="shared" si="8"/>
        <v>OTROS 30</v>
      </c>
    </row>
    <row r="128" spans="2:43" x14ac:dyDescent="0.2">
      <c r="B128" s="74"/>
      <c r="C128" s="77"/>
      <c r="D128" s="76"/>
      <c r="E128" s="77"/>
      <c r="F128" s="77"/>
      <c r="H128" s="78" t="str">
        <f t="shared" si="6"/>
        <v/>
      </c>
      <c r="I128" s="78" t="str">
        <f t="shared" si="7"/>
        <v>Error</v>
      </c>
      <c r="J128" s="79" t="str">
        <f t="shared" si="10"/>
        <v>Revisa tu subcategoria</v>
      </c>
      <c r="AN128" s="85" t="str">
        <f>Dec!$H$90</f>
        <v>OTROS 3</v>
      </c>
      <c r="AO128" s="86">
        <f>Dec!H95</f>
        <v>0</v>
      </c>
      <c r="AP128" s="80" t="str">
        <f t="shared" si="9"/>
        <v>OTROS 30</v>
      </c>
      <c r="AQ128" s="80" t="str">
        <f t="shared" si="8"/>
        <v>OTROS 30</v>
      </c>
    </row>
    <row r="129" spans="2:43" ht="15" thickBot="1" x14ac:dyDescent="0.25">
      <c r="B129" s="74"/>
      <c r="C129" s="77"/>
      <c r="D129" s="76"/>
      <c r="E129" s="77"/>
      <c r="F129" s="77"/>
      <c r="H129" s="78" t="str">
        <f t="shared" si="6"/>
        <v/>
      </c>
      <c r="I129" s="78" t="str">
        <f t="shared" si="7"/>
        <v>Error</v>
      </c>
      <c r="J129" s="79" t="str">
        <f t="shared" si="10"/>
        <v>Revisa tu subcategoria</v>
      </c>
      <c r="AN129" s="87" t="str">
        <f>Dec!$H$90</f>
        <v>OTROS 3</v>
      </c>
      <c r="AO129" s="88">
        <f>Dec!H96</f>
        <v>0</v>
      </c>
      <c r="AP129" s="80" t="str">
        <f t="shared" si="9"/>
        <v>OTROS 30</v>
      </c>
      <c r="AQ129" s="80" t="str">
        <f t="shared" si="8"/>
        <v>OTROS 30</v>
      </c>
    </row>
    <row r="130" spans="2:43" x14ac:dyDescent="0.2">
      <c r="B130" s="74"/>
      <c r="C130" s="77"/>
      <c r="D130" s="76"/>
      <c r="E130" s="77"/>
      <c r="F130" s="77"/>
      <c r="H130" s="78" t="str">
        <f t="shared" si="6"/>
        <v/>
      </c>
      <c r="I130" s="78" t="str">
        <f t="shared" si="7"/>
        <v>Error</v>
      </c>
      <c r="J130" s="79" t="str">
        <f t="shared" si="10"/>
        <v>Revisa tu subcategoria</v>
      </c>
      <c r="AN130" s="83" t="str">
        <f>Dec!$B$100</f>
        <v>OTROS 4</v>
      </c>
      <c r="AO130" s="84">
        <f>Dec!B101</f>
        <v>4</v>
      </c>
      <c r="AP130" s="80" t="str">
        <f t="shared" si="9"/>
        <v>OTROS 44</v>
      </c>
      <c r="AQ130" s="80" t="str">
        <f t="shared" si="8"/>
        <v>OTROS 44</v>
      </c>
    </row>
    <row r="131" spans="2:43" x14ac:dyDescent="0.2">
      <c r="B131" s="74"/>
      <c r="C131" s="77"/>
      <c r="D131" s="76"/>
      <c r="E131" s="77"/>
      <c r="F131" s="77"/>
      <c r="H131" s="78" t="str">
        <f t="shared" ref="H131:H194" si="11">E131&amp;F131</f>
        <v/>
      </c>
      <c r="I131" s="78" t="str">
        <f t="shared" ref="I131:I194" si="12">IFERROR(VLOOKUP(H131,$AP:$AQ,2,FALSE),"Error")</f>
        <v>Error</v>
      </c>
      <c r="J131" s="79" t="str">
        <f t="shared" si="10"/>
        <v>Revisa tu subcategoria</v>
      </c>
      <c r="AN131" s="85" t="str">
        <f>Dec!$B$100</f>
        <v>OTROS 4</v>
      </c>
      <c r="AO131" s="86">
        <f>Dec!B102</f>
        <v>0</v>
      </c>
      <c r="AP131" s="80" t="str">
        <f t="shared" si="9"/>
        <v>OTROS 40</v>
      </c>
      <c r="AQ131" s="80" t="str">
        <f t="shared" si="8"/>
        <v>OTROS 40</v>
      </c>
    </row>
    <row r="132" spans="2:43" x14ac:dyDescent="0.2">
      <c r="B132" s="74"/>
      <c r="C132" s="77"/>
      <c r="D132" s="76"/>
      <c r="E132" s="77"/>
      <c r="F132" s="77"/>
      <c r="H132" s="78" t="str">
        <f t="shared" si="11"/>
        <v/>
      </c>
      <c r="I132" s="78" t="str">
        <f t="shared" si="12"/>
        <v>Error</v>
      </c>
      <c r="J132" s="79" t="str">
        <f t="shared" si="10"/>
        <v>Revisa tu subcategoria</v>
      </c>
      <c r="AN132" s="85" t="str">
        <f>Dec!$B$100</f>
        <v>OTROS 4</v>
      </c>
      <c r="AO132" s="86">
        <f>Dec!B103</f>
        <v>0</v>
      </c>
      <c r="AP132" s="80" t="str">
        <f t="shared" si="9"/>
        <v>OTROS 40</v>
      </c>
      <c r="AQ132" s="80" t="str">
        <f t="shared" si="8"/>
        <v>OTROS 40</v>
      </c>
    </row>
    <row r="133" spans="2:43" x14ac:dyDescent="0.2">
      <c r="B133" s="74"/>
      <c r="C133" s="77"/>
      <c r="D133" s="76"/>
      <c r="E133" s="77"/>
      <c r="F133" s="77"/>
      <c r="H133" s="78" t="str">
        <f t="shared" si="11"/>
        <v/>
      </c>
      <c r="I133" s="78" t="str">
        <f t="shared" si="12"/>
        <v>Error</v>
      </c>
      <c r="J133" s="79" t="str">
        <f t="shared" si="10"/>
        <v>Revisa tu subcategoria</v>
      </c>
      <c r="AN133" s="85" t="str">
        <f>Dec!$B$100</f>
        <v>OTROS 4</v>
      </c>
      <c r="AO133" s="86">
        <f>Dec!B104</f>
        <v>0</v>
      </c>
      <c r="AP133" s="80" t="str">
        <f t="shared" si="9"/>
        <v>OTROS 40</v>
      </c>
      <c r="AQ133" s="80" t="str">
        <f t="shared" ref="AQ133:AQ141" si="13">AP133</f>
        <v>OTROS 40</v>
      </c>
    </row>
    <row r="134" spans="2:43" x14ac:dyDescent="0.2">
      <c r="B134" s="74"/>
      <c r="C134" s="77"/>
      <c r="D134" s="76"/>
      <c r="E134" s="77"/>
      <c r="F134" s="77"/>
      <c r="H134" s="78" t="str">
        <f t="shared" si="11"/>
        <v/>
      </c>
      <c r="I134" s="78" t="str">
        <f t="shared" si="12"/>
        <v>Error</v>
      </c>
      <c r="J134" s="79" t="str">
        <f t="shared" si="10"/>
        <v>Revisa tu subcategoria</v>
      </c>
      <c r="AN134" s="85" t="str">
        <f>Dec!$B$100</f>
        <v>OTROS 4</v>
      </c>
      <c r="AO134" s="86">
        <f>Dec!B105</f>
        <v>0</v>
      </c>
      <c r="AP134" s="80" t="str">
        <f t="shared" ref="AP134:AP141" si="14">AN134&amp;AO134</f>
        <v>OTROS 40</v>
      </c>
      <c r="AQ134" s="80" t="str">
        <f t="shared" si="13"/>
        <v>OTROS 40</v>
      </c>
    </row>
    <row r="135" spans="2:43" ht="15" thickBot="1" x14ac:dyDescent="0.25">
      <c r="B135" s="74"/>
      <c r="C135" s="77"/>
      <c r="D135" s="76"/>
      <c r="E135" s="77"/>
      <c r="F135" s="77"/>
      <c r="H135" s="78" t="str">
        <f t="shared" si="11"/>
        <v/>
      </c>
      <c r="I135" s="78" t="str">
        <f t="shared" si="12"/>
        <v>Error</v>
      </c>
      <c r="J135" s="79" t="str">
        <f t="shared" si="10"/>
        <v>Revisa tu subcategoria</v>
      </c>
      <c r="AN135" s="87" t="str">
        <f>Dec!$B$100</f>
        <v>OTROS 4</v>
      </c>
      <c r="AO135" s="88">
        <f>Dec!B106</f>
        <v>0</v>
      </c>
      <c r="AP135" s="80" t="str">
        <f t="shared" si="14"/>
        <v>OTROS 40</v>
      </c>
      <c r="AQ135" s="80" t="str">
        <f t="shared" si="13"/>
        <v>OTROS 40</v>
      </c>
    </row>
    <row r="136" spans="2:43" x14ac:dyDescent="0.2">
      <c r="B136" s="74"/>
      <c r="C136" s="77"/>
      <c r="D136" s="76"/>
      <c r="E136" s="77"/>
      <c r="F136" s="77"/>
      <c r="H136" s="78" t="str">
        <f t="shared" si="11"/>
        <v/>
      </c>
      <c r="I136" s="78" t="str">
        <f t="shared" si="12"/>
        <v>Error</v>
      </c>
      <c r="J136" s="79" t="str">
        <f t="shared" ref="J136:J199" si="15">IF(H136=I136,"Es correcto","Revisa tu subcategoria")</f>
        <v>Revisa tu subcategoria</v>
      </c>
      <c r="AN136" s="83" t="str">
        <f>Dec!$H$100</f>
        <v>OTROS 5</v>
      </c>
      <c r="AO136" s="84">
        <f>Dec!H101</f>
        <v>5</v>
      </c>
      <c r="AP136" s="80" t="str">
        <f t="shared" si="14"/>
        <v>OTROS 55</v>
      </c>
      <c r="AQ136" s="80" t="str">
        <f t="shared" si="13"/>
        <v>OTROS 55</v>
      </c>
    </row>
    <row r="137" spans="2:43" x14ac:dyDescent="0.2">
      <c r="B137" s="74"/>
      <c r="C137" s="77"/>
      <c r="D137" s="76"/>
      <c r="E137" s="77"/>
      <c r="F137" s="77"/>
      <c r="H137" s="78" t="str">
        <f t="shared" si="11"/>
        <v/>
      </c>
      <c r="I137" s="78" t="str">
        <f t="shared" si="12"/>
        <v>Error</v>
      </c>
      <c r="J137" s="79" t="str">
        <f t="shared" si="15"/>
        <v>Revisa tu subcategoria</v>
      </c>
      <c r="AN137" s="85" t="str">
        <f>Dec!$H$100</f>
        <v>OTROS 5</v>
      </c>
      <c r="AO137" s="86">
        <f>Dec!H102</f>
        <v>0</v>
      </c>
      <c r="AP137" s="80" t="str">
        <f t="shared" si="14"/>
        <v>OTROS 50</v>
      </c>
      <c r="AQ137" s="80" t="str">
        <f t="shared" si="13"/>
        <v>OTROS 50</v>
      </c>
    </row>
    <row r="138" spans="2:43" x14ac:dyDescent="0.2">
      <c r="B138" s="74"/>
      <c r="C138" s="77"/>
      <c r="D138" s="76"/>
      <c r="E138" s="77"/>
      <c r="F138" s="77"/>
      <c r="H138" s="78" t="str">
        <f t="shared" si="11"/>
        <v/>
      </c>
      <c r="I138" s="78" t="str">
        <f t="shared" si="12"/>
        <v>Error</v>
      </c>
      <c r="J138" s="79" t="str">
        <f t="shared" si="15"/>
        <v>Revisa tu subcategoria</v>
      </c>
      <c r="AN138" s="85" t="str">
        <f>Dec!$H$100</f>
        <v>OTROS 5</v>
      </c>
      <c r="AO138" s="86">
        <f>Dec!H103</f>
        <v>0</v>
      </c>
      <c r="AP138" s="80" t="str">
        <f t="shared" si="14"/>
        <v>OTROS 50</v>
      </c>
      <c r="AQ138" s="80" t="str">
        <f t="shared" si="13"/>
        <v>OTROS 50</v>
      </c>
    </row>
    <row r="139" spans="2:43" x14ac:dyDescent="0.2">
      <c r="B139" s="74"/>
      <c r="C139" s="77"/>
      <c r="D139" s="76"/>
      <c r="E139" s="77"/>
      <c r="F139" s="77"/>
      <c r="H139" s="78" t="str">
        <f t="shared" si="11"/>
        <v/>
      </c>
      <c r="I139" s="78" t="str">
        <f t="shared" si="12"/>
        <v>Error</v>
      </c>
      <c r="J139" s="79" t="str">
        <f t="shared" si="15"/>
        <v>Revisa tu subcategoria</v>
      </c>
      <c r="AN139" s="85" t="str">
        <f>Dec!$H$100</f>
        <v>OTROS 5</v>
      </c>
      <c r="AO139" s="86">
        <f>Dec!H104</f>
        <v>0</v>
      </c>
      <c r="AP139" s="80" t="str">
        <f t="shared" si="14"/>
        <v>OTROS 50</v>
      </c>
      <c r="AQ139" s="80" t="str">
        <f t="shared" si="13"/>
        <v>OTROS 50</v>
      </c>
    </row>
    <row r="140" spans="2:43" x14ac:dyDescent="0.2">
      <c r="B140" s="89"/>
      <c r="C140" s="90"/>
      <c r="D140" s="91"/>
      <c r="E140" s="77"/>
      <c r="F140" s="77"/>
      <c r="H140" s="78" t="str">
        <f t="shared" si="11"/>
        <v/>
      </c>
      <c r="I140" s="78" t="str">
        <f t="shared" si="12"/>
        <v>Error</v>
      </c>
      <c r="J140" s="79" t="str">
        <f t="shared" si="15"/>
        <v>Revisa tu subcategoria</v>
      </c>
      <c r="AN140" s="85" t="str">
        <f>Dec!$H$100</f>
        <v>OTROS 5</v>
      </c>
      <c r="AO140" s="86">
        <f>Dec!H105</f>
        <v>0</v>
      </c>
      <c r="AP140" s="80" t="str">
        <f t="shared" si="14"/>
        <v>OTROS 50</v>
      </c>
      <c r="AQ140" s="80" t="str">
        <f t="shared" si="13"/>
        <v>OTROS 50</v>
      </c>
    </row>
    <row r="141" spans="2:43" ht="15" thickBot="1" x14ac:dyDescent="0.25">
      <c r="B141" s="89"/>
      <c r="C141" s="90"/>
      <c r="D141" s="91"/>
      <c r="E141" s="77"/>
      <c r="F141" s="77"/>
      <c r="H141" s="78" t="str">
        <f t="shared" si="11"/>
        <v/>
      </c>
      <c r="I141" s="78" t="str">
        <f t="shared" si="12"/>
        <v>Error</v>
      </c>
      <c r="J141" s="79" t="str">
        <f t="shared" si="15"/>
        <v>Revisa tu subcategoria</v>
      </c>
      <c r="AN141" s="87" t="str">
        <f>Dec!$H$100</f>
        <v>OTROS 5</v>
      </c>
      <c r="AO141" s="88">
        <f>Dec!H106</f>
        <v>0</v>
      </c>
      <c r="AP141" s="80" t="str">
        <f t="shared" si="14"/>
        <v>OTROS 50</v>
      </c>
      <c r="AQ141" s="80" t="str">
        <f t="shared" si="13"/>
        <v>OTROS 50</v>
      </c>
    </row>
    <row r="142" spans="2:43" x14ac:dyDescent="0.2">
      <c r="B142" s="89"/>
      <c r="C142" s="90"/>
      <c r="D142" s="91"/>
      <c r="E142" s="77"/>
      <c r="F142" s="77"/>
      <c r="H142" s="78" t="str">
        <f t="shared" si="11"/>
        <v/>
      </c>
      <c r="I142" s="78" t="str">
        <f t="shared" si="12"/>
        <v>Error</v>
      </c>
      <c r="J142" s="79" t="str">
        <f t="shared" si="15"/>
        <v>Revisa tu subcategoria</v>
      </c>
    </row>
    <row r="143" spans="2:43" x14ac:dyDescent="0.2">
      <c r="B143" s="89"/>
      <c r="C143" s="90"/>
      <c r="D143" s="91"/>
      <c r="E143" s="77"/>
      <c r="F143" s="77"/>
      <c r="H143" s="78" t="str">
        <f t="shared" si="11"/>
        <v/>
      </c>
      <c r="I143" s="78" t="str">
        <f t="shared" si="12"/>
        <v>Error</v>
      </c>
      <c r="J143" s="79" t="str">
        <f t="shared" si="15"/>
        <v>Revisa tu subcategoria</v>
      </c>
    </row>
    <row r="144" spans="2:43" x14ac:dyDescent="0.2">
      <c r="B144" s="89"/>
      <c r="C144" s="90"/>
      <c r="D144" s="91"/>
      <c r="E144" s="77"/>
      <c r="F144" s="77"/>
      <c r="H144" s="78" t="str">
        <f t="shared" si="11"/>
        <v/>
      </c>
      <c r="I144" s="78" t="str">
        <f t="shared" si="12"/>
        <v>Error</v>
      </c>
      <c r="J144" s="79" t="str">
        <f t="shared" si="15"/>
        <v>Revisa tu subcategoria</v>
      </c>
    </row>
    <row r="145" spans="2:10" x14ac:dyDescent="0.2">
      <c r="B145" s="89"/>
      <c r="C145" s="90"/>
      <c r="D145" s="91"/>
      <c r="E145" s="77"/>
      <c r="F145" s="77"/>
      <c r="H145" s="78" t="str">
        <f t="shared" si="11"/>
        <v/>
      </c>
      <c r="I145" s="78" t="str">
        <f t="shared" si="12"/>
        <v>Error</v>
      </c>
      <c r="J145" s="79" t="str">
        <f t="shared" si="15"/>
        <v>Revisa tu subcategoria</v>
      </c>
    </row>
    <row r="146" spans="2:10" x14ac:dyDescent="0.2">
      <c r="B146" s="89"/>
      <c r="C146" s="90"/>
      <c r="D146" s="91"/>
      <c r="E146" s="77"/>
      <c r="F146" s="77"/>
      <c r="H146" s="78" t="str">
        <f t="shared" si="11"/>
        <v/>
      </c>
      <c r="I146" s="78" t="str">
        <f t="shared" si="12"/>
        <v>Error</v>
      </c>
      <c r="J146" s="79" t="str">
        <f t="shared" si="15"/>
        <v>Revisa tu subcategoria</v>
      </c>
    </row>
    <row r="147" spans="2:10" x14ac:dyDescent="0.2">
      <c r="B147" s="89"/>
      <c r="C147" s="90"/>
      <c r="D147" s="91"/>
      <c r="E147" s="77"/>
      <c r="F147" s="77"/>
      <c r="H147" s="78" t="str">
        <f t="shared" si="11"/>
        <v/>
      </c>
      <c r="I147" s="78" t="str">
        <f t="shared" si="12"/>
        <v>Error</v>
      </c>
      <c r="J147" s="79" t="str">
        <f t="shared" si="15"/>
        <v>Revisa tu subcategoria</v>
      </c>
    </row>
    <row r="148" spans="2:10" x14ac:dyDescent="0.2">
      <c r="B148" s="89"/>
      <c r="C148" s="90"/>
      <c r="D148" s="91"/>
      <c r="E148" s="77"/>
      <c r="F148" s="77"/>
      <c r="H148" s="78" t="str">
        <f t="shared" si="11"/>
        <v/>
      </c>
      <c r="I148" s="78" t="str">
        <f t="shared" si="12"/>
        <v>Error</v>
      </c>
      <c r="J148" s="79" t="str">
        <f t="shared" si="15"/>
        <v>Revisa tu subcategoria</v>
      </c>
    </row>
    <row r="149" spans="2:10" x14ac:dyDescent="0.2">
      <c r="B149" s="89"/>
      <c r="C149" s="90"/>
      <c r="D149" s="91"/>
      <c r="E149" s="77"/>
      <c r="F149" s="77"/>
      <c r="H149" s="78" t="str">
        <f t="shared" si="11"/>
        <v/>
      </c>
      <c r="I149" s="78" t="str">
        <f t="shared" si="12"/>
        <v>Error</v>
      </c>
      <c r="J149" s="79" t="str">
        <f t="shared" si="15"/>
        <v>Revisa tu subcategoria</v>
      </c>
    </row>
    <row r="150" spans="2:10" x14ac:dyDescent="0.2">
      <c r="B150" s="89"/>
      <c r="C150" s="90"/>
      <c r="D150" s="91"/>
      <c r="E150" s="77"/>
      <c r="F150" s="77"/>
      <c r="H150" s="78" t="str">
        <f t="shared" si="11"/>
        <v/>
      </c>
      <c r="I150" s="78" t="str">
        <f t="shared" si="12"/>
        <v>Error</v>
      </c>
      <c r="J150" s="79" t="str">
        <f t="shared" si="15"/>
        <v>Revisa tu subcategoria</v>
      </c>
    </row>
    <row r="151" spans="2:10" x14ac:dyDescent="0.2">
      <c r="B151" s="89"/>
      <c r="C151" s="90"/>
      <c r="D151" s="91"/>
      <c r="E151" s="77"/>
      <c r="F151" s="77"/>
      <c r="H151" s="78" t="str">
        <f t="shared" si="11"/>
        <v/>
      </c>
      <c r="I151" s="78" t="str">
        <f t="shared" si="12"/>
        <v>Error</v>
      </c>
      <c r="J151" s="79" t="str">
        <f t="shared" si="15"/>
        <v>Revisa tu subcategoria</v>
      </c>
    </row>
    <row r="152" spans="2:10" x14ac:dyDescent="0.2">
      <c r="B152" s="89"/>
      <c r="C152" s="90"/>
      <c r="D152" s="91"/>
      <c r="E152" s="77"/>
      <c r="F152" s="77"/>
      <c r="H152" s="78" t="str">
        <f t="shared" si="11"/>
        <v/>
      </c>
      <c r="I152" s="78" t="str">
        <f t="shared" si="12"/>
        <v>Error</v>
      </c>
      <c r="J152" s="79" t="str">
        <f t="shared" si="15"/>
        <v>Revisa tu subcategoria</v>
      </c>
    </row>
    <row r="153" spans="2:10" x14ac:dyDescent="0.2">
      <c r="B153" s="89"/>
      <c r="C153" s="90"/>
      <c r="D153" s="91"/>
      <c r="E153" s="77"/>
      <c r="F153" s="77"/>
      <c r="H153" s="78" t="str">
        <f t="shared" si="11"/>
        <v/>
      </c>
      <c r="I153" s="78" t="str">
        <f t="shared" si="12"/>
        <v>Error</v>
      </c>
      <c r="J153" s="79" t="str">
        <f t="shared" si="15"/>
        <v>Revisa tu subcategoria</v>
      </c>
    </row>
    <row r="154" spans="2:10" x14ac:dyDescent="0.2">
      <c r="B154" s="89"/>
      <c r="C154" s="90"/>
      <c r="D154" s="91"/>
      <c r="E154" s="77"/>
      <c r="F154" s="77"/>
      <c r="H154" s="78" t="str">
        <f t="shared" si="11"/>
        <v/>
      </c>
      <c r="I154" s="78" t="str">
        <f t="shared" si="12"/>
        <v>Error</v>
      </c>
      <c r="J154" s="79" t="str">
        <f t="shared" si="15"/>
        <v>Revisa tu subcategoria</v>
      </c>
    </row>
    <row r="155" spans="2:10" x14ac:dyDescent="0.2">
      <c r="B155" s="89"/>
      <c r="C155" s="90"/>
      <c r="D155" s="91"/>
      <c r="E155" s="77"/>
      <c r="F155" s="77"/>
      <c r="H155" s="78" t="str">
        <f t="shared" si="11"/>
        <v/>
      </c>
      <c r="I155" s="78" t="str">
        <f t="shared" si="12"/>
        <v>Error</v>
      </c>
      <c r="J155" s="79" t="str">
        <f t="shared" si="15"/>
        <v>Revisa tu subcategoria</v>
      </c>
    </row>
    <row r="156" spans="2:10" x14ac:dyDescent="0.2">
      <c r="B156" s="89"/>
      <c r="C156" s="90"/>
      <c r="D156" s="91"/>
      <c r="E156" s="77"/>
      <c r="F156" s="77"/>
      <c r="H156" s="78" t="str">
        <f t="shared" si="11"/>
        <v/>
      </c>
      <c r="I156" s="78" t="str">
        <f t="shared" si="12"/>
        <v>Error</v>
      </c>
      <c r="J156" s="79" t="str">
        <f t="shared" si="15"/>
        <v>Revisa tu subcategoria</v>
      </c>
    </row>
    <row r="157" spans="2:10" x14ac:dyDescent="0.2">
      <c r="B157" s="89"/>
      <c r="C157" s="90"/>
      <c r="D157" s="91"/>
      <c r="E157" s="77"/>
      <c r="F157" s="77"/>
      <c r="H157" s="78" t="str">
        <f t="shared" si="11"/>
        <v/>
      </c>
      <c r="I157" s="78" t="str">
        <f t="shared" si="12"/>
        <v>Error</v>
      </c>
      <c r="J157" s="79" t="str">
        <f t="shared" si="15"/>
        <v>Revisa tu subcategoria</v>
      </c>
    </row>
    <row r="158" spans="2:10" x14ac:dyDescent="0.2">
      <c r="B158" s="89"/>
      <c r="C158" s="90"/>
      <c r="D158" s="91"/>
      <c r="E158" s="77"/>
      <c r="F158" s="77"/>
      <c r="H158" s="78" t="str">
        <f t="shared" si="11"/>
        <v/>
      </c>
      <c r="I158" s="78" t="str">
        <f t="shared" si="12"/>
        <v>Error</v>
      </c>
      <c r="J158" s="79" t="str">
        <f t="shared" si="15"/>
        <v>Revisa tu subcategoria</v>
      </c>
    </row>
    <row r="159" spans="2:10" x14ac:dyDescent="0.2">
      <c r="B159" s="89"/>
      <c r="C159" s="90"/>
      <c r="D159" s="91"/>
      <c r="E159" s="77"/>
      <c r="F159" s="77"/>
      <c r="H159" s="78" t="str">
        <f t="shared" si="11"/>
        <v/>
      </c>
      <c r="I159" s="78" t="str">
        <f t="shared" si="12"/>
        <v>Error</v>
      </c>
      <c r="J159" s="79" t="str">
        <f t="shared" si="15"/>
        <v>Revisa tu subcategoria</v>
      </c>
    </row>
    <row r="160" spans="2:10" x14ac:dyDescent="0.2">
      <c r="B160" s="89"/>
      <c r="C160" s="90"/>
      <c r="D160" s="91"/>
      <c r="E160" s="77"/>
      <c r="F160" s="77"/>
      <c r="H160" s="78" t="str">
        <f t="shared" si="11"/>
        <v/>
      </c>
      <c r="I160" s="78" t="str">
        <f t="shared" si="12"/>
        <v>Error</v>
      </c>
      <c r="J160" s="79" t="str">
        <f t="shared" si="15"/>
        <v>Revisa tu subcategoria</v>
      </c>
    </row>
    <row r="161" spans="2:10" x14ac:dyDescent="0.2">
      <c r="B161" s="89"/>
      <c r="C161" s="90"/>
      <c r="D161" s="91"/>
      <c r="E161" s="77"/>
      <c r="F161" s="77"/>
      <c r="H161" s="78" t="str">
        <f t="shared" si="11"/>
        <v/>
      </c>
      <c r="I161" s="78" t="str">
        <f t="shared" si="12"/>
        <v>Error</v>
      </c>
      <c r="J161" s="79" t="str">
        <f t="shared" si="15"/>
        <v>Revisa tu subcategoria</v>
      </c>
    </row>
    <row r="162" spans="2:10" x14ac:dyDescent="0.2">
      <c r="B162" s="89"/>
      <c r="C162" s="90"/>
      <c r="D162" s="91"/>
      <c r="E162" s="77"/>
      <c r="F162" s="77"/>
      <c r="H162" s="78" t="str">
        <f t="shared" si="11"/>
        <v/>
      </c>
      <c r="I162" s="78" t="str">
        <f t="shared" si="12"/>
        <v>Error</v>
      </c>
      <c r="J162" s="79" t="str">
        <f t="shared" si="15"/>
        <v>Revisa tu subcategoria</v>
      </c>
    </row>
    <row r="163" spans="2:10" x14ac:dyDescent="0.2">
      <c r="B163" s="89"/>
      <c r="C163" s="90"/>
      <c r="D163" s="91"/>
      <c r="E163" s="77"/>
      <c r="F163" s="77"/>
      <c r="H163" s="78" t="str">
        <f t="shared" si="11"/>
        <v/>
      </c>
      <c r="I163" s="78" t="str">
        <f t="shared" si="12"/>
        <v>Error</v>
      </c>
      <c r="J163" s="79" t="str">
        <f t="shared" si="15"/>
        <v>Revisa tu subcategoria</v>
      </c>
    </row>
    <row r="164" spans="2:10" x14ac:dyDescent="0.2">
      <c r="B164" s="89"/>
      <c r="C164" s="90"/>
      <c r="D164" s="91"/>
      <c r="E164" s="77"/>
      <c r="F164" s="77"/>
      <c r="H164" s="78" t="str">
        <f t="shared" si="11"/>
        <v/>
      </c>
      <c r="I164" s="78" t="str">
        <f t="shared" si="12"/>
        <v>Error</v>
      </c>
      <c r="J164" s="79" t="str">
        <f t="shared" si="15"/>
        <v>Revisa tu subcategoria</v>
      </c>
    </row>
    <row r="165" spans="2:10" x14ac:dyDescent="0.2">
      <c r="B165" s="89"/>
      <c r="C165" s="90"/>
      <c r="D165" s="91"/>
      <c r="E165" s="77"/>
      <c r="F165" s="77"/>
      <c r="H165" s="78" t="str">
        <f t="shared" si="11"/>
        <v/>
      </c>
      <c r="I165" s="78" t="str">
        <f t="shared" si="12"/>
        <v>Error</v>
      </c>
      <c r="J165" s="79" t="str">
        <f t="shared" si="15"/>
        <v>Revisa tu subcategoria</v>
      </c>
    </row>
    <row r="166" spans="2:10" x14ac:dyDescent="0.2">
      <c r="B166" s="89"/>
      <c r="C166" s="90"/>
      <c r="D166" s="91"/>
      <c r="E166" s="77"/>
      <c r="F166" s="77"/>
      <c r="H166" s="78" t="str">
        <f t="shared" si="11"/>
        <v/>
      </c>
      <c r="I166" s="78" t="str">
        <f t="shared" si="12"/>
        <v>Error</v>
      </c>
      <c r="J166" s="79" t="str">
        <f t="shared" si="15"/>
        <v>Revisa tu subcategoria</v>
      </c>
    </row>
    <row r="167" spans="2:10" x14ac:dyDescent="0.2">
      <c r="B167" s="89"/>
      <c r="C167" s="90"/>
      <c r="D167" s="91"/>
      <c r="E167" s="77"/>
      <c r="F167" s="77"/>
      <c r="H167" s="78" t="str">
        <f t="shared" si="11"/>
        <v/>
      </c>
      <c r="I167" s="78" t="str">
        <f t="shared" si="12"/>
        <v>Error</v>
      </c>
      <c r="J167" s="79" t="str">
        <f t="shared" si="15"/>
        <v>Revisa tu subcategoria</v>
      </c>
    </row>
    <row r="168" spans="2:10" x14ac:dyDescent="0.2">
      <c r="B168" s="89"/>
      <c r="C168" s="90"/>
      <c r="D168" s="91"/>
      <c r="E168" s="77"/>
      <c r="F168" s="77"/>
      <c r="H168" s="78" t="str">
        <f t="shared" si="11"/>
        <v/>
      </c>
      <c r="I168" s="78" t="str">
        <f t="shared" si="12"/>
        <v>Error</v>
      </c>
      <c r="J168" s="79" t="str">
        <f t="shared" si="15"/>
        <v>Revisa tu subcategoria</v>
      </c>
    </row>
    <row r="169" spans="2:10" x14ac:dyDescent="0.2">
      <c r="B169" s="89"/>
      <c r="C169" s="90"/>
      <c r="D169" s="91"/>
      <c r="E169" s="77"/>
      <c r="F169" s="77"/>
      <c r="H169" s="78" t="str">
        <f t="shared" si="11"/>
        <v/>
      </c>
      <c r="I169" s="78" t="str">
        <f t="shared" si="12"/>
        <v>Error</v>
      </c>
      <c r="J169" s="79" t="str">
        <f t="shared" si="15"/>
        <v>Revisa tu subcategoria</v>
      </c>
    </row>
    <row r="170" spans="2:10" x14ac:dyDescent="0.2">
      <c r="B170" s="89"/>
      <c r="C170" s="90"/>
      <c r="D170" s="91"/>
      <c r="E170" s="77"/>
      <c r="F170" s="77"/>
      <c r="H170" s="78" t="str">
        <f t="shared" si="11"/>
        <v/>
      </c>
      <c r="I170" s="78" t="str">
        <f t="shared" si="12"/>
        <v>Error</v>
      </c>
      <c r="J170" s="79" t="str">
        <f t="shared" si="15"/>
        <v>Revisa tu subcategoria</v>
      </c>
    </row>
    <row r="171" spans="2:10" x14ac:dyDescent="0.2">
      <c r="B171" s="89"/>
      <c r="C171" s="90"/>
      <c r="D171" s="91"/>
      <c r="E171" s="77"/>
      <c r="F171" s="77"/>
      <c r="H171" s="78" t="str">
        <f t="shared" si="11"/>
        <v/>
      </c>
      <c r="I171" s="78" t="str">
        <f t="shared" si="12"/>
        <v>Error</v>
      </c>
      <c r="J171" s="79" t="str">
        <f t="shared" si="15"/>
        <v>Revisa tu subcategoria</v>
      </c>
    </row>
    <row r="172" spans="2:10" x14ac:dyDescent="0.2">
      <c r="B172" s="89"/>
      <c r="C172" s="90"/>
      <c r="D172" s="91"/>
      <c r="E172" s="77"/>
      <c r="F172" s="77"/>
      <c r="H172" s="78" t="str">
        <f t="shared" si="11"/>
        <v/>
      </c>
      <c r="I172" s="78" t="str">
        <f t="shared" si="12"/>
        <v>Error</v>
      </c>
      <c r="J172" s="79" t="str">
        <f t="shared" si="15"/>
        <v>Revisa tu subcategoria</v>
      </c>
    </row>
    <row r="173" spans="2:10" x14ac:dyDescent="0.2">
      <c r="B173" s="89"/>
      <c r="C173" s="90"/>
      <c r="D173" s="91"/>
      <c r="E173" s="77"/>
      <c r="F173" s="77"/>
      <c r="H173" s="78" t="str">
        <f t="shared" si="11"/>
        <v/>
      </c>
      <c r="I173" s="78" t="str">
        <f t="shared" si="12"/>
        <v>Error</v>
      </c>
      <c r="J173" s="79" t="str">
        <f t="shared" si="15"/>
        <v>Revisa tu subcategoria</v>
      </c>
    </row>
    <row r="174" spans="2:10" x14ac:dyDescent="0.2">
      <c r="B174" s="89"/>
      <c r="C174" s="90"/>
      <c r="D174" s="91"/>
      <c r="E174" s="77"/>
      <c r="F174" s="77"/>
      <c r="H174" s="78" t="str">
        <f t="shared" si="11"/>
        <v/>
      </c>
      <c r="I174" s="78" t="str">
        <f t="shared" si="12"/>
        <v>Error</v>
      </c>
      <c r="J174" s="79" t="str">
        <f t="shared" si="15"/>
        <v>Revisa tu subcategoria</v>
      </c>
    </row>
    <row r="175" spans="2:10" x14ac:dyDescent="0.2">
      <c r="B175" s="89"/>
      <c r="C175" s="90"/>
      <c r="D175" s="91"/>
      <c r="E175" s="77"/>
      <c r="F175" s="77"/>
      <c r="H175" s="78" t="str">
        <f t="shared" si="11"/>
        <v/>
      </c>
      <c r="I175" s="78" t="str">
        <f t="shared" si="12"/>
        <v>Error</v>
      </c>
      <c r="J175" s="79" t="str">
        <f t="shared" si="15"/>
        <v>Revisa tu subcategoria</v>
      </c>
    </row>
    <row r="176" spans="2:10" x14ac:dyDescent="0.2">
      <c r="B176" s="89"/>
      <c r="C176" s="90"/>
      <c r="D176" s="91"/>
      <c r="E176" s="77"/>
      <c r="F176" s="77"/>
      <c r="H176" s="78" t="str">
        <f t="shared" si="11"/>
        <v/>
      </c>
      <c r="I176" s="78" t="str">
        <f t="shared" si="12"/>
        <v>Error</v>
      </c>
      <c r="J176" s="79" t="str">
        <f t="shared" si="15"/>
        <v>Revisa tu subcategoria</v>
      </c>
    </row>
    <row r="177" spans="2:10" x14ac:dyDescent="0.2">
      <c r="B177" s="89"/>
      <c r="C177" s="90"/>
      <c r="D177" s="91"/>
      <c r="E177" s="77"/>
      <c r="F177" s="77"/>
      <c r="H177" s="78" t="str">
        <f t="shared" si="11"/>
        <v/>
      </c>
      <c r="I177" s="78" t="str">
        <f t="shared" si="12"/>
        <v>Error</v>
      </c>
      <c r="J177" s="79" t="str">
        <f t="shared" si="15"/>
        <v>Revisa tu subcategoria</v>
      </c>
    </row>
    <row r="178" spans="2:10" x14ac:dyDescent="0.2">
      <c r="B178" s="89"/>
      <c r="C178" s="90"/>
      <c r="D178" s="91"/>
      <c r="E178" s="77"/>
      <c r="F178" s="77"/>
      <c r="H178" s="78" t="str">
        <f t="shared" si="11"/>
        <v/>
      </c>
      <c r="I178" s="78" t="str">
        <f t="shared" si="12"/>
        <v>Error</v>
      </c>
      <c r="J178" s="79" t="str">
        <f t="shared" si="15"/>
        <v>Revisa tu subcategoria</v>
      </c>
    </row>
    <row r="179" spans="2:10" x14ac:dyDescent="0.2">
      <c r="B179" s="89"/>
      <c r="C179" s="90"/>
      <c r="D179" s="91"/>
      <c r="E179" s="77"/>
      <c r="F179" s="77"/>
      <c r="H179" s="78" t="str">
        <f t="shared" si="11"/>
        <v/>
      </c>
      <c r="I179" s="78" t="str">
        <f t="shared" si="12"/>
        <v>Error</v>
      </c>
      <c r="J179" s="79" t="str">
        <f t="shared" si="15"/>
        <v>Revisa tu subcategoria</v>
      </c>
    </row>
    <row r="180" spans="2:10" x14ac:dyDescent="0.2">
      <c r="B180" s="89"/>
      <c r="C180" s="90"/>
      <c r="D180" s="91"/>
      <c r="E180" s="77"/>
      <c r="F180" s="77"/>
      <c r="H180" s="78" t="str">
        <f t="shared" si="11"/>
        <v/>
      </c>
      <c r="I180" s="78" t="str">
        <f t="shared" si="12"/>
        <v>Error</v>
      </c>
      <c r="J180" s="79" t="str">
        <f t="shared" si="15"/>
        <v>Revisa tu subcategoria</v>
      </c>
    </row>
    <row r="181" spans="2:10" x14ac:dyDescent="0.2">
      <c r="B181" s="89"/>
      <c r="C181" s="90"/>
      <c r="D181" s="91"/>
      <c r="E181" s="77"/>
      <c r="F181" s="77"/>
      <c r="H181" s="78" t="str">
        <f t="shared" si="11"/>
        <v/>
      </c>
      <c r="I181" s="78" t="str">
        <f t="shared" si="12"/>
        <v>Error</v>
      </c>
      <c r="J181" s="79" t="str">
        <f t="shared" si="15"/>
        <v>Revisa tu subcategoria</v>
      </c>
    </row>
    <row r="182" spans="2:10" x14ac:dyDescent="0.2">
      <c r="B182" s="89"/>
      <c r="C182" s="90"/>
      <c r="D182" s="91"/>
      <c r="E182" s="77"/>
      <c r="F182" s="77"/>
      <c r="H182" s="78" t="str">
        <f t="shared" si="11"/>
        <v/>
      </c>
      <c r="I182" s="78" t="str">
        <f t="shared" si="12"/>
        <v>Error</v>
      </c>
      <c r="J182" s="79" t="str">
        <f t="shared" si="15"/>
        <v>Revisa tu subcategoria</v>
      </c>
    </row>
    <row r="183" spans="2:10" x14ac:dyDescent="0.2">
      <c r="B183" s="89"/>
      <c r="C183" s="90"/>
      <c r="D183" s="91"/>
      <c r="E183" s="77"/>
      <c r="F183" s="77"/>
      <c r="H183" s="78" t="str">
        <f t="shared" si="11"/>
        <v/>
      </c>
      <c r="I183" s="78" t="str">
        <f t="shared" si="12"/>
        <v>Error</v>
      </c>
      <c r="J183" s="79" t="str">
        <f t="shared" si="15"/>
        <v>Revisa tu subcategoria</v>
      </c>
    </row>
    <row r="184" spans="2:10" x14ac:dyDescent="0.2">
      <c r="B184" s="89"/>
      <c r="C184" s="90"/>
      <c r="D184" s="91"/>
      <c r="E184" s="77"/>
      <c r="F184" s="77"/>
      <c r="H184" s="78" t="str">
        <f t="shared" si="11"/>
        <v/>
      </c>
      <c r="I184" s="78" t="str">
        <f t="shared" si="12"/>
        <v>Error</v>
      </c>
      <c r="J184" s="79" t="str">
        <f t="shared" si="15"/>
        <v>Revisa tu subcategoria</v>
      </c>
    </row>
    <row r="185" spans="2:10" x14ac:dyDescent="0.2">
      <c r="B185" s="89"/>
      <c r="C185" s="90"/>
      <c r="D185" s="91"/>
      <c r="E185" s="77"/>
      <c r="F185" s="77"/>
      <c r="H185" s="78" t="str">
        <f t="shared" si="11"/>
        <v/>
      </c>
      <c r="I185" s="78" t="str">
        <f t="shared" si="12"/>
        <v>Error</v>
      </c>
      <c r="J185" s="79" t="str">
        <f t="shared" si="15"/>
        <v>Revisa tu subcategoria</v>
      </c>
    </row>
    <row r="186" spans="2:10" x14ac:dyDescent="0.2">
      <c r="B186" s="89"/>
      <c r="C186" s="90"/>
      <c r="D186" s="91"/>
      <c r="E186" s="77"/>
      <c r="F186" s="77"/>
      <c r="H186" s="78" t="str">
        <f t="shared" si="11"/>
        <v/>
      </c>
      <c r="I186" s="78" t="str">
        <f t="shared" si="12"/>
        <v>Error</v>
      </c>
      <c r="J186" s="79" t="str">
        <f t="shared" si="15"/>
        <v>Revisa tu subcategoria</v>
      </c>
    </row>
    <row r="187" spans="2:10" x14ac:dyDescent="0.2">
      <c r="B187" s="89"/>
      <c r="C187" s="90"/>
      <c r="D187" s="91"/>
      <c r="E187" s="77"/>
      <c r="F187" s="77"/>
      <c r="H187" s="78" t="str">
        <f t="shared" si="11"/>
        <v/>
      </c>
      <c r="I187" s="78" t="str">
        <f t="shared" si="12"/>
        <v>Error</v>
      </c>
      <c r="J187" s="79" t="str">
        <f t="shared" si="15"/>
        <v>Revisa tu subcategoria</v>
      </c>
    </row>
    <row r="188" spans="2:10" x14ac:dyDescent="0.2">
      <c r="B188" s="89"/>
      <c r="C188" s="90"/>
      <c r="D188" s="91"/>
      <c r="E188" s="77"/>
      <c r="F188" s="77"/>
      <c r="H188" s="78" t="str">
        <f t="shared" si="11"/>
        <v/>
      </c>
      <c r="I188" s="78" t="str">
        <f t="shared" si="12"/>
        <v>Error</v>
      </c>
      <c r="J188" s="79" t="str">
        <f t="shared" si="15"/>
        <v>Revisa tu subcategoria</v>
      </c>
    </row>
    <row r="189" spans="2:10" x14ac:dyDescent="0.2">
      <c r="B189" s="89"/>
      <c r="C189" s="90"/>
      <c r="D189" s="91"/>
      <c r="E189" s="77"/>
      <c r="F189" s="77"/>
      <c r="H189" s="78" t="str">
        <f t="shared" si="11"/>
        <v/>
      </c>
      <c r="I189" s="78" t="str">
        <f t="shared" si="12"/>
        <v>Error</v>
      </c>
      <c r="J189" s="79" t="str">
        <f t="shared" si="15"/>
        <v>Revisa tu subcategoria</v>
      </c>
    </row>
    <row r="190" spans="2:10" x14ac:dyDescent="0.2">
      <c r="B190" s="89"/>
      <c r="C190" s="90"/>
      <c r="D190" s="91"/>
      <c r="E190" s="77"/>
      <c r="F190" s="77"/>
      <c r="H190" s="78" t="str">
        <f t="shared" si="11"/>
        <v/>
      </c>
      <c r="I190" s="78" t="str">
        <f t="shared" si="12"/>
        <v>Error</v>
      </c>
      <c r="J190" s="79" t="str">
        <f t="shared" si="15"/>
        <v>Revisa tu subcategoria</v>
      </c>
    </row>
    <row r="191" spans="2:10" x14ac:dyDescent="0.2">
      <c r="B191" s="89"/>
      <c r="C191" s="90"/>
      <c r="D191" s="91"/>
      <c r="E191" s="77"/>
      <c r="F191" s="77"/>
      <c r="H191" s="78" t="str">
        <f t="shared" si="11"/>
        <v/>
      </c>
      <c r="I191" s="78" t="str">
        <f t="shared" si="12"/>
        <v>Error</v>
      </c>
      <c r="J191" s="79" t="str">
        <f t="shared" si="15"/>
        <v>Revisa tu subcategoria</v>
      </c>
    </row>
    <row r="192" spans="2:10" x14ac:dyDescent="0.2">
      <c r="B192" s="89"/>
      <c r="C192" s="90"/>
      <c r="D192" s="91"/>
      <c r="E192" s="77"/>
      <c r="F192" s="77"/>
      <c r="H192" s="78" t="str">
        <f t="shared" si="11"/>
        <v/>
      </c>
      <c r="I192" s="78" t="str">
        <f t="shared" si="12"/>
        <v>Error</v>
      </c>
      <c r="J192" s="79" t="str">
        <f t="shared" si="15"/>
        <v>Revisa tu subcategoria</v>
      </c>
    </row>
    <row r="193" spans="2:10" x14ac:dyDescent="0.2">
      <c r="B193" s="89"/>
      <c r="C193" s="90"/>
      <c r="D193" s="91"/>
      <c r="E193" s="77"/>
      <c r="F193" s="77"/>
      <c r="H193" s="78" t="str">
        <f t="shared" si="11"/>
        <v/>
      </c>
      <c r="I193" s="78" t="str">
        <f t="shared" si="12"/>
        <v>Error</v>
      </c>
      <c r="J193" s="79" t="str">
        <f t="shared" si="15"/>
        <v>Revisa tu subcategoria</v>
      </c>
    </row>
    <row r="194" spans="2:10" x14ac:dyDescent="0.2">
      <c r="B194" s="89"/>
      <c r="C194" s="90"/>
      <c r="D194" s="91"/>
      <c r="E194" s="77"/>
      <c r="F194" s="77"/>
      <c r="H194" s="78" t="str">
        <f t="shared" si="11"/>
        <v/>
      </c>
      <c r="I194" s="78" t="str">
        <f t="shared" si="12"/>
        <v>Error</v>
      </c>
      <c r="J194" s="79" t="str">
        <f t="shared" si="15"/>
        <v>Revisa tu subcategoria</v>
      </c>
    </row>
    <row r="195" spans="2:10" x14ac:dyDescent="0.2">
      <c r="B195" s="89"/>
      <c r="C195" s="90"/>
      <c r="D195" s="91"/>
      <c r="E195" s="77"/>
      <c r="F195" s="77"/>
      <c r="H195" s="78" t="str">
        <f t="shared" ref="H195:H258" si="16">E195&amp;F195</f>
        <v/>
      </c>
      <c r="I195" s="78" t="str">
        <f t="shared" ref="I195:I258" si="17">IFERROR(VLOOKUP(H195,$AP:$AQ,2,FALSE),"Error")</f>
        <v>Error</v>
      </c>
      <c r="J195" s="79" t="str">
        <f t="shared" si="15"/>
        <v>Revisa tu subcategoria</v>
      </c>
    </row>
    <row r="196" spans="2:10" x14ac:dyDescent="0.2">
      <c r="B196" s="89"/>
      <c r="C196" s="90"/>
      <c r="D196" s="91"/>
      <c r="E196" s="77"/>
      <c r="F196" s="77"/>
      <c r="H196" s="78" t="str">
        <f t="shared" si="16"/>
        <v/>
      </c>
      <c r="I196" s="78" t="str">
        <f t="shared" si="17"/>
        <v>Error</v>
      </c>
      <c r="J196" s="79" t="str">
        <f t="shared" si="15"/>
        <v>Revisa tu subcategoria</v>
      </c>
    </row>
    <row r="197" spans="2:10" x14ac:dyDescent="0.2">
      <c r="B197" s="89"/>
      <c r="C197" s="90"/>
      <c r="D197" s="91"/>
      <c r="E197" s="77"/>
      <c r="F197" s="77"/>
      <c r="H197" s="78" t="str">
        <f t="shared" si="16"/>
        <v/>
      </c>
      <c r="I197" s="78" t="str">
        <f t="shared" si="17"/>
        <v>Error</v>
      </c>
      <c r="J197" s="79" t="str">
        <f t="shared" si="15"/>
        <v>Revisa tu subcategoria</v>
      </c>
    </row>
    <row r="198" spans="2:10" x14ac:dyDescent="0.2">
      <c r="B198" s="89"/>
      <c r="C198" s="90"/>
      <c r="D198" s="91"/>
      <c r="E198" s="77"/>
      <c r="F198" s="77"/>
      <c r="H198" s="78" t="str">
        <f t="shared" si="16"/>
        <v/>
      </c>
      <c r="I198" s="78" t="str">
        <f t="shared" si="17"/>
        <v>Error</v>
      </c>
      <c r="J198" s="79" t="str">
        <f t="shared" si="15"/>
        <v>Revisa tu subcategoria</v>
      </c>
    </row>
    <row r="199" spans="2:10" x14ac:dyDescent="0.2">
      <c r="B199" s="89"/>
      <c r="C199" s="90"/>
      <c r="D199" s="91"/>
      <c r="E199" s="77"/>
      <c r="F199" s="77"/>
      <c r="H199" s="78" t="str">
        <f t="shared" si="16"/>
        <v/>
      </c>
      <c r="I199" s="78" t="str">
        <f t="shared" si="17"/>
        <v>Error</v>
      </c>
      <c r="J199" s="79" t="str">
        <f t="shared" si="15"/>
        <v>Revisa tu subcategoria</v>
      </c>
    </row>
    <row r="200" spans="2:10" x14ac:dyDescent="0.2">
      <c r="B200" s="89"/>
      <c r="C200" s="90"/>
      <c r="D200" s="91"/>
      <c r="E200" s="77"/>
      <c r="F200" s="77"/>
      <c r="H200" s="78" t="str">
        <f t="shared" si="16"/>
        <v/>
      </c>
      <c r="I200" s="78" t="str">
        <f t="shared" si="17"/>
        <v>Error</v>
      </c>
      <c r="J200" s="79" t="str">
        <f t="shared" ref="J200:J263" si="18">IF(H200=I200,"Es correcto","Revisa tu subcategoria")</f>
        <v>Revisa tu subcategoria</v>
      </c>
    </row>
    <row r="201" spans="2:10" x14ac:dyDescent="0.2">
      <c r="B201" s="89"/>
      <c r="C201" s="90"/>
      <c r="D201" s="91"/>
      <c r="E201" s="77"/>
      <c r="F201" s="77"/>
      <c r="H201" s="78" t="str">
        <f t="shared" si="16"/>
        <v/>
      </c>
      <c r="I201" s="78" t="str">
        <f t="shared" si="17"/>
        <v>Error</v>
      </c>
      <c r="J201" s="79" t="str">
        <f t="shared" si="18"/>
        <v>Revisa tu subcategoria</v>
      </c>
    </row>
    <row r="202" spans="2:10" x14ac:dyDescent="0.2">
      <c r="B202" s="89"/>
      <c r="C202" s="90"/>
      <c r="D202" s="91"/>
      <c r="E202" s="77"/>
      <c r="F202" s="77"/>
      <c r="H202" s="78" t="str">
        <f t="shared" si="16"/>
        <v/>
      </c>
      <c r="I202" s="78" t="str">
        <f t="shared" si="17"/>
        <v>Error</v>
      </c>
      <c r="J202" s="79" t="str">
        <f t="shared" si="18"/>
        <v>Revisa tu subcategoria</v>
      </c>
    </row>
    <row r="203" spans="2:10" x14ac:dyDescent="0.2">
      <c r="B203" s="89"/>
      <c r="C203" s="90"/>
      <c r="D203" s="91"/>
      <c r="E203" s="77"/>
      <c r="F203" s="77"/>
      <c r="H203" s="78" t="str">
        <f t="shared" si="16"/>
        <v/>
      </c>
      <c r="I203" s="78" t="str">
        <f t="shared" si="17"/>
        <v>Error</v>
      </c>
      <c r="J203" s="79" t="str">
        <f t="shared" si="18"/>
        <v>Revisa tu subcategoria</v>
      </c>
    </row>
    <row r="204" spans="2:10" x14ac:dyDescent="0.2">
      <c r="B204" s="89"/>
      <c r="C204" s="90"/>
      <c r="D204" s="91"/>
      <c r="E204" s="77"/>
      <c r="F204" s="77"/>
      <c r="H204" s="78" t="str">
        <f t="shared" si="16"/>
        <v/>
      </c>
      <c r="I204" s="78" t="str">
        <f t="shared" si="17"/>
        <v>Error</v>
      </c>
      <c r="J204" s="79" t="str">
        <f t="shared" si="18"/>
        <v>Revisa tu subcategoria</v>
      </c>
    </row>
    <row r="205" spans="2:10" x14ac:dyDescent="0.2">
      <c r="B205" s="89"/>
      <c r="C205" s="90"/>
      <c r="D205" s="91"/>
      <c r="E205" s="77"/>
      <c r="F205" s="77"/>
      <c r="H205" s="78" t="str">
        <f t="shared" si="16"/>
        <v/>
      </c>
      <c r="I205" s="78" t="str">
        <f t="shared" si="17"/>
        <v>Error</v>
      </c>
      <c r="J205" s="79" t="str">
        <f t="shared" si="18"/>
        <v>Revisa tu subcategoria</v>
      </c>
    </row>
    <row r="206" spans="2:10" x14ac:dyDescent="0.2">
      <c r="B206" s="89"/>
      <c r="C206" s="90"/>
      <c r="D206" s="91"/>
      <c r="E206" s="77"/>
      <c r="F206" s="77"/>
      <c r="H206" s="78" t="str">
        <f t="shared" si="16"/>
        <v/>
      </c>
      <c r="I206" s="78" t="str">
        <f t="shared" si="17"/>
        <v>Error</v>
      </c>
      <c r="J206" s="79" t="str">
        <f t="shared" si="18"/>
        <v>Revisa tu subcategoria</v>
      </c>
    </row>
    <row r="207" spans="2:10" x14ac:dyDescent="0.2">
      <c r="B207" s="89"/>
      <c r="C207" s="90"/>
      <c r="D207" s="91"/>
      <c r="E207" s="77"/>
      <c r="F207" s="77"/>
      <c r="H207" s="78" t="str">
        <f t="shared" si="16"/>
        <v/>
      </c>
      <c r="I207" s="78" t="str">
        <f t="shared" si="17"/>
        <v>Error</v>
      </c>
      <c r="J207" s="79" t="str">
        <f t="shared" si="18"/>
        <v>Revisa tu subcategoria</v>
      </c>
    </row>
    <row r="208" spans="2:10" x14ac:dyDescent="0.2">
      <c r="B208" s="89"/>
      <c r="C208" s="90"/>
      <c r="D208" s="91"/>
      <c r="E208" s="77"/>
      <c r="F208" s="77"/>
      <c r="H208" s="78" t="str">
        <f t="shared" si="16"/>
        <v/>
      </c>
      <c r="I208" s="78" t="str">
        <f t="shared" si="17"/>
        <v>Error</v>
      </c>
      <c r="J208" s="79" t="str">
        <f t="shared" si="18"/>
        <v>Revisa tu subcategoria</v>
      </c>
    </row>
    <row r="209" spans="2:10" x14ac:dyDescent="0.2">
      <c r="B209" s="89"/>
      <c r="C209" s="90"/>
      <c r="D209" s="91"/>
      <c r="E209" s="77"/>
      <c r="F209" s="77"/>
      <c r="H209" s="78" t="str">
        <f t="shared" si="16"/>
        <v/>
      </c>
      <c r="I209" s="78" t="str">
        <f t="shared" si="17"/>
        <v>Error</v>
      </c>
      <c r="J209" s="79" t="str">
        <f t="shared" si="18"/>
        <v>Revisa tu subcategoria</v>
      </c>
    </row>
    <row r="210" spans="2:10" x14ac:dyDescent="0.2">
      <c r="B210" s="89"/>
      <c r="C210" s="90"/>
      <c r="D210" s="91"/>
      <c r="E210" s="77"/>
      <c r="F210" s="77"/>
      <c r="H210" s="78" t="str">
        <f t="shared" si="16"/>
        <v/>
      </c>
      <c r="I210" s="78" t="str">
        <f t="shared" si="17"/>
        <v>Error</v>
      </c>
      <c r="J210" s="79" t="str">
        <f t="shared" si="18"/>
        <v>Revisa tu subcategoria</v>
      </c>
    </row>
    <row r="211" spans="2:10" x14ac:dyDescent="0.2">
      <c r="B211" s="89"/>
      <c r="C211" s="90"/>
      <c r="D211" s="91"/>
      <c r="E211" s="77"/>
      <c r="F211" s="77"/>
      <c r="H211" s="78" t="str">
        <f t="shared" si="16"/>
        <v/>
      </c>
      <c r="I211" s="78" t="str">
        <f t="shared" si="17"/>
        <v>Error</v>
      </c>
      <c r="J211" s="79" t="str">
        <f t="shared" si="18"/>
        <v>Revisa tu subcategoria</v>
      </c>
    </row>
    <row r="212" spans="2:10" x14ac:dyDescent="0.2">
      <c r="B212" s="89"/>
      <c r="C212" s="90"/>
      <c r="D212" s="91"/>
      <c r="E212" s="77"/>
      <c r="F212" s="77"/>
      <c r="H212" s="78" t="str">
        <f t="shared" si="16"/>
        <v/>
      </c>
      <c r="I212" s="78" t="str">
        <f t="shared" si="17"/>
        <v>Error</v>
      </c>
      <c r="J212" s="79" t="str">
        <f t="shared" si="18"/>
        <v>Revisa tu subcategoria</v>
      </c>
    </row>
    <row r="213" spans="2:10" x14ac:dyDescent="0.2">
      <c r="B213" s="89"/>
      <c r="C213" s="90"/>
      <c r="D213" s="91"/>
      <c r="E213" s="77"/>
      <c r="F213" s="77"/>
      <c r="H213" s="78" t="str">
        <f t="shared" si="16"/>
        <v/>
      </c>
      <c r="I213" s="78" t="str">
        <f t="shared" si="17"/>
        <v>Error</v>
      </c>
      <c r="J213" s="79" t="str">
        <f t="shared" si="18"/>
        <v>Revisa tu subcategoria</v>
      </c>
    </row>
    <row r="214" spans="2:10" x14ac:dyDescent="0.2">
      <c r="B214" s="89"/>
      <c r="C214" s="90"/>
      <c r="D214" s="91"/>
      <c r="E214" s="77"/>
      <c r="F214" s="77"/>
      <c r="H214" s="78" t="str">
        <f t="shared" si="16"/>
        <v/>
      </c>
      <c r="I214" s="78" t="str">
        <f t="shared" si="17"/>
        <v>Error</v>
      </c>
      <c r="J214" s="79" t="str">
        <f t="shared" si="18"/>
        <v>Revisa tu subcategoria</v>
      </c>
    </row>
    <row r="215" spans="2:10" x14ac:dyDescent="0.2">
      <c r="B215" s="89"/>
      <c r="C215" s="90"/>
      <c r="D215" s="91"/>
      <c r="E215" s="77"/>
      <c r="F215" s="77"/>
      <c r="H215" s="78" t="str">
        <f t="shared" si="16"/>
        <v/>
      </c>
      <c r="I215" s="78" t="str">
        <f t="shared" si="17"/>
        <v>Error</v>
      </c>
      <c r="J215" s="79" t="str">
        <f t="shared" si="18"/>
        <v>Revisa tu subcategoria</v>
      </c>
    </row>
    <row r="216" spans="2:10" x14ac:dyDescent="0.2">
      <c r="B216" s="89"/>
      <c r="C216" s="90"/>
      <c r="D216" s="91"/>
      <c r="E216" s="77"/>
      <c r="F216" s="77"/>
      <c r="H216" s="78" t="str">
        <f t="shared" si="16"/>
        <v/>
      </c>
      <c r="I216" s="78" t="str">
        <f t="shared" si="17"/>
        <v>Error</v>
      </c>
      <c r="J216" s="79" t="str">
        <f t="shared" si="18"/>
        <v>Revisa tu subcategoria</v>
      </c>
    </row>
    <row r="217" spans="2:10" x14ac:dyDescent="0.2">
      <c r="B217" s="89"/>
      <c r="C217" s="90"/>
      <c r="D217" s="91"/>
      <c r="E217" s="77"/>
      <c r="F217" s="77"/>
      <c r="H217" s="78" t="str">
        <f t="shared" si="16"/>
        <v/>
      </c>
      <c r="I217" s="78" t="str">
        <f t="shared" si="17"/>
        <v>Error</v>
      </c>
      <c r="J217" s="79" t="str">
        <f t="shared" si="18"/>
        <v>Revisa tu subcategoria</v>
      </c>
    </row>
    <row r="218" spans="2:10" x14ac:dyDescent="0.2">
      <c r="B218" s="89"/>
      <c r="C218" s="90"/>
      <c r="D218" s="91"/>
      <c r="E218" s="77"/>
      <c r="F218" s="77"/>
      <c r="H218" s="78" t="str">
        <f t="shared" si="16"/>
        <v/>
      </c>
      <c r="I218" s="78" t="str">
        <f t="shared" si="17"/>
        <v>Error</v>
      </c>
      <c r="J218" s="79" t="str">
        <f t="shared" si="18"/>
        <v>Revisa tu subcategoria</v>
      </c>
    </row>
    <row r="219" spans="2:10" x14ac:dyDescent="0.2">
      <c r="B219" s="89"/>
      <c r="C219" s="90"/>
      <c r="D219" s="91"/>
      <c r="E219" s="77"/>
      <c r="F219" s="77"/>
      <c r="H219" s="78" t="str">
        <f t="shared" si="16"/>
        <v/>
      </c>
      <c r="I219" s="78" t="str">
        <f t="shared" si="17"/>
        <v>Error</v>
      </c>
      <c r="J219" s="79" t="str">
        <f t="shared" si="18"/>
        <v>Revisa tu subcategoria</v>
      </c>
    </row>
    <row r="220" spans="2:10" x14ac:dyDescent="0.2">
      <c r="B220" s="89"/>
      <c r="C220" s="90"/>
      <c r="D220" s="91"/>
      <c r="E220" s="77"/>
      <c r="F220" s="77"/>
      <c r="H220" s="78" t="str">
        <f t="shared" si="16"/>
        <v/>
      </c>
      <c r="I220" s="78" t="str">
        <f t="shared" si="17"/>
        <v>Error</v>
      </c>
      <c r="J220" s="79" t="str">
        <f t="shared" si="18"/>
        <v>Revisa tu subcategoria</v>
      </c>
    </row>
    <row r="221" spans="2:10" x14ac:dyDescent="0.2">
      <c r="B221" s="89"/>
      <c r="C221" s="90"/>
      <c r="D221" s="91"/>
      <c r="E221" s="77"/>
      <c r="F221" s="77"/>
      <c r="H221" s="78" t="str">
        <f t="shared" si="16"/>
        <v/>
      </c>
      <c r="I221" s="78" t="str">
        <f t="shared" si="17"/>
        <v>Error</v>
      </c>
      <c r="J221" s="79" t="str">
        <f t="shared" si="18"/>
        <v>Revisa tu subcategoria</v>
      </c>
    </row>
    <row r="222" spans="2:10" x14ac:dyDescent="0.2">
      <c r="B222" s="89"/>
      <c r="C222" s="90"/>
      <c r="D222" s="91"/>
      <c r="E222" s="77"/>
      <c r="F222" s="77"/>
      <c r="H222" s="78" t="str">
        <f t="shared" si="16"/>
        <v/>
      </c>
      <c r="I222" s="78" t="str">
        <f t="shared" si="17"/>
        <v>Error</v>
      </c>
      <c r="J222" s="79" t="str">
        <f t="shared" si="18"/>
        <v>Revisa tu subcategoria</v>
      </c>
    </row>
    <row r="223" spans="2:10" x14ac:dyDescent="0.2">
      <c r="B223" s="89"/>
      <c r="C223" s="90"/>
      <c r="D223" s="91"/>
      <c r="E223" s="77"/>
      <c r="F223" s="77"/>
      <c r="H223" s="78" t="str">
        <f t="shared" si="16"/>
        <v/>
      </c>
      <c r="I223" s="78" t="str">
        <f t="shared" si="17"/>
        <v>Error</v>
      </c>
      <c r="J223" s="79" t="str">
        <f t="shared" si="18"/>
        <v>Revisa tu subcategoria</v>
      </c>
    </row>
    <row r="224" spans="2:10" x14ac:dyDescent="0.2">
      <c r="B224" s="89"/>
      <c r="C224" s="90"/>
      <c r="D224" s="91"/>
      <c r="E224" s="77"/>
      <c r="F224" s="77"/>
      <c r="H224" s="78" t="str">
        <f t="shared" si="16"/>
        <v/>
      </c>
      <c r="I224" s="78" t="str">
        <f t="shared" si="17"/>
        <v>Error</v>
      </c>
      <c r="J224" s="79" t="str">
        <f t="shared" si="18"/>
        <v>Revisa tu subcategoria</v>
      </c>
    </row>
    <row r="225" spans="2:10" x14ac:dyDescent="0.2">
      <c r="B225" s="89"/>
      <c r="C225" s="90"/>
      <c r="D225" s="91"/>
      <c r="E225" s="77"/>
      <c r="F225" s="77"/>
      <c r="H225" s="78" t="str">
        <f t="shared" si="16"/>
        <v/>
      </c>
      <c r="I225" s="78" t="str">
        <f t="shared" si="17"/>
        <v>Error</v>
      </c>
      <c r="J225" s="79" t="str">
        <f t="shared" si="18"/>
        <v>Revisa tu subcategoria</v>
      </c>
    </row>
    <row r="226" spans="2:10" x14ac:dyDescent="0.2">
      <c r="B226" s="89"/>
      <c r="C226" s="90"/>
      <c r="D226" s="91"/>
      <c r="E226" s="77"/>
      <c r="F226" s="77"/>
      <c r="H226" s="78" t="str">
        <f t="shared" si="16"/>
        <v/>
      </c>
      <c r="I226" s="78" t="str">
        <f t="shared" si="17"/>
        <v>Error</v>
      </c>
      <c r="J226" s="79" t="str">
        <f t="shared" si="18"/>
        <v>Revisa tu subcategoria</v>
      </c>
    </row>
    <row r="227" spans="2:10" x14ac:dyDescent="0.2">
      <c r="B227" s="89"/>
      <c r="C227" s="90"/>
      <c r="D227" s="91"/>
      <c r="E227" s="77"/>
      <c r="F227" s="77"/>
      <c r="H227" s="78" t="str">
        <f t="shared" si="16"/>
        <v/>
      </c>
      <c r="I227" s="78" t="str">
        <f t="shared" si="17"/>
        <v>Error</v>
      </c>
      <c r="J227" s="79" t="str">
        <f t="shared" si="18"/>
        <v>Revisa tu subcategoria</v>
      </c>
    </row>
    <row r="228" spans="2:10" x14ac:dyDescent="0.2">
      <c r="B228" s="89"/>
      <c r="C228" s="90"/>
      <c r="D228" s="91"/>
      <c r="E228" s="77"/>
      <c r="F228" s="77"/>
      <c r="H228" s="78" t="str">
        <f t="shared" si="16"/>
        <v/>
      </c>
      <c r="I228" s="78" t="str">
        <f t="shared" si="17"/>
        <v>Error</v>
      </c>
      <c r="J228" s="79" t="str">
        <f t="shared" si="18"/>
        <v>Revisa tu subcategoria</v>
      </c>
    </row>
    <row r="229" spans="2:10" x14ac:dyDescent="0.2">
      <c r="B229" s="89"/>
      <c r="C229" s="90"/>
      <c r="D229" s="91"/>
      <c r="E229" s="77"/>
      <c r="F229" s="77"/>
      <c r="H229" s="78" t="str">
        <f t="shared" si="16"/>
        <v/>
      </c>
      <c r="I229" s="78" t="str">
        <f t="shared" si="17"/>
        <v>Error</v>
      </c>
      <c r="J229" s="79" t="str">
        <f t="shared" si="18"/>
        <v>Revisa tu subcategoria</v>
      </c>
    </row>
    <row r="230" spans="2:10" x14ac:dyDescent="0.2">
      <c r="B230" s="89"/>
      <c r="C230" s="90"/>
      <c r="D230" s="91"/>
      <c r="E230" s="77"/>
      <c r="F230" s="77"/>
      <c r="H230" s="78" t="str">
        <f t="shared" si="16"/>
        <v/>
      </c>
      <c r="I230" s="78" t="str">
        <f t="shared" si="17"/>
        <v>Error</v>
      </c>
      <c r="J230" s="79" t="str">
        <f t="shared" si="18"/>
        <v>Revisa tu subcategoria</v>
      </c>
    </row>
    <row r="231" spans="2:10" x14ac:dyDescent="0.2">
      <c r="B231" s="89"/>
      <c r="C231" s="90"/>
      <c r="D231" s="91"/>
      <c r="E231" s="77"/>
      <c r="F231" s="77"/>
      <c r="H231" s="78" t="str">
        <f t="shared" si="16"/>
        <v/>
      </c>
      <c r="I231" s="78" t="str">
        <f t="shared" si="17"/>
        <v>Error</v>
      </c>
      <c r="J231" s="79" t="str">
        <f t="shared" si="18"/>
        <v>Revisa tu subcategoria</v>
      </c>
    </row>
    <row r="232" spans="2:10" x14ac:dyDescent="0.2">
      <c r="B232" s="89"/>
      <c r="C232" s="90"/>
      <c r="D232" s="91"/>
      <c r="E232" s="77"/>
      <c r="F232" s="77"/>
      <c r="H232" s="78" t="str">
        <f t="shared" si="16"/>
        <v/>
      </c>
      <c r="I232" s="78" t="str">
        <f t="shared" si="17"/>
        <v>Error</v>
      </c>
      <c r="J232" s="79" t="str">
        <f t="shared" si="18"/>
        <v>Revisa tu subcategoria</v>
      </c>
    </row>
    <row r="233" spans="2:10" x14ac:dyDescent="0.2">
      <c r="B233" s="89"/>
      <c r="C233" s="90"/>
      <c r="D233" s="91"/>
      <c r="E233" s="77"/>
      <c r="F233" s="77"/>
      <c r="H233" s="78" t="str">
        <f t="shared" si="16"/>
        <v/>
      </c>
      <c r="I233" s="78" t="str">
        <f t="shared" si="17"/>
        <v>Error</v>
      </c>
      <c r="J233" s="79" t="str">
        <f t="shared" si="18"/>
        <v>Revisa tu subcategoria</v>
      </c>
    </row>
    <row r="234" spans="2:10" x14ac:dyDescent="0.2">
      <c r="B234" s="89"/>
      <c r="C234" s="90"/>
      <c r="D234" s="91"/>
      <c r="E234" s="77"/>
      <c r="F234" s="77"/>
      <c r="H234" s="78" t="str">
        <f t="shared" si="16"/>
        <v/>
      </c>
      <c r="I234" s="78" t="str">
        <f t="shared" si="17"/>
        <v>Error</v>
      </c>
      <c r="J234" s="79" t="str">
        <f t="shared" si="18"/>
        <v>Revisa tu subcategoria</v>
      </c>
    </row>
    <row r="235" spans="2:10" x14ac:dyDescent="0.2">
      <c r="B235" s="89"/>
      <c r="C235" s="90"/>
      <c r="D235" s="91"/>
      <c r="E235" s="77"/>
      <c r="F235" s="77"/>
      <c r="H235" s="78" t="str">
        <f t="shared" si="16"/>
        <v/>
      </c>
      <c r="I235" s="78" t="str">
        <f t="shared" si="17"/>
        <v>Error</v>
      </c>
      <c r="J235" s="79" t="str">
        <f t="shared" si="18"/>
        <v>Revisa tu subcategoria</v>
      </c>
    </row>
    <row r="236" spans="2:10" x14ac:dyDescent="0.2">
      <c r="B236" s="89"/>
      <c r="C236" s="90"/>
      <c r="D236" s="91"/>
      <c r="E236" s="77"/>
      <c r="F236" s="77"/>
      <c r="H236" s="78" t="str">
        <f t="shared" si="16"/>
        <v/>
      </c>
      <c r="I236" s="78" t="str">
        <f t="shared" si="17"/>
        <v>Error</v>
      </c>
      <c r="J236" s="79" t="str">
        <f t="shared" si="18"/>
        <v>Revisa tu subcategoria</v>
      </c>
    </row>
    <row r="237" spans="2:10" x14ac:dyDescent="0.2">
      <c r="B237" s="89"/>
      <c r="C237" s="90"/>
      <c r="D237" s="91"/>
      <c r="E237" s="77"/>
      <c r="F237" s="77"/>
      <c r="H237" s="78" t="str">
        <f t="shared" si="16"/>
        <v/>
      </c>
      <c r="I237" s="78" t="str">
        <f t="shared" si="17"/>
        <v>Error</v>
      </c>
      <c r="J237" s="79" t="str">
        <f t="shared" si="18"/>
        <v>Revisa tu subcategoria</v>
      </c>
    </row>
    <row r="238" spans="2:10" x14ac:dyDescent="0.2">
      <c r="B238" s="89"/>
      <c r="C238" s="90"/>
      <c r="D238" s="91"/>
      <c r="E238" s="77"/>
      <c r="F238" s="77"/>
      <c r="H238" s="78" t="str">
        <f t="shared" si="16"/>
        <v/>
      </c>
      <c r="I238" s="78" t="str">
        <f t="shared" si="17"/>
        <v>Error</v>
      </c>
      <c r="J238" s="79" t="str">
        <f t="shared" si="18"/>
        <v>Revisa tu subcategoria</v>
      </c>
    </row>
    <row r="239" spans="2:10" x14ac:dyDescent="0.2">
      <c r="B239" s="89"/>
      <c r="C239" s="90"/>
      <c r="D239" s="91"/>
      <c r="E239" s="77"/>
      <c r="F239" s="77"/>
      <c r="H239" s="78" t="str">
        <f t="shared" si="16"/>
        <v/>
      </c>
      <c r="I239" s="78" t="str">
        <f t="shared" si="17"/>
        <v>Error</v>
      </c>
      <c r="J239" s="79" t="str">
        <f t="shared" si="18"/>
        <v>Revisa tu subcategoria</v>
      </c>
    </row>
    <row r="240" spans="2:10" x14ac:dyDescent="0.2">
      <c r="B240" s="89"/>
      <c r="C240" s="90"/>
      <c r="D240" s="91"/>
      <c r="E240" s="77"/>
      <c r="F240" s="77"/>
      <c r="H240" s="78" t="str">
        <f t="shared" si="16"/>
        <v/>
      </c>
      <c r="I240" s="78" t="str">
        <f t="shared" si="17"/>
        <v>Error</v>
      </c>
      <c r="J240" s="79" t="str">
        <f t="shared" si="18"/>
        <v>Revisa tu subcategoria</v>
      </c>
    </row>
    <row r="241" spans="2:10" x14ac:dyDescent="0.2">
      <c r="B241" s="89"/>
      <c r="C241" s="90"/>
      <c r="D241" s="91"/>
      <c r="E241" s="77"/>
      <c r="F241" s="77"/>
      <c r="H241" s="78" t="str">
        <f t="shared" si="16"/>
        <v/>
      </c>
      <c r="I241" s="78" t="str">
        <f t="shared" si="17"/>
        <v>Error</v>
      </c>
      <c r="J241" s="79" t="str">
        <f t="shared" si="18"/>
        <v>Revisa tu subcategoria</v>
      </c>
    </row>
    <row r="242" spans="2:10" x14ac:dyDescent="0.2">
      <c r="B242" s="89"/>
      <c r="C242" s="90"/>
      <c r="D242" s="91"/>
      <c r="E242" s="77"/>
      <c r="F242" s="77"/>
      <c r="H242" s="78" t="str">
        <f t="shared" si="16"/>
        <v/>
      </c>
      <c r="I242" s="78" t="str">
        <f t="shared" si="17"/>
        <v>Error</v>
      </c>
      <c r="J242" s="79" t="str">
        <f t="shared" si="18"/>
        <v>Revisa tu subcategoria</v>
      </c>
    </row>
    <row r="243" spans="2:10" x14ac:dyDescent="0.2">
      <c r="B243" s="89"/>
      <c r="C243" s="90"/>
      <c r="D243" s="91"/>
      <c r="E243" s="77"/>
      <c r="F243" s="77"/>
      <c r="H243" s="78" t="str">
        <f t="shared" si="16"/>
        <v/>
      </c>
      <c r="I243" s="78" t="str">
        <f t="shared" si="17"/>
        <v>Error</v>
      </c>
      <c r="J243" s="79" t="str">
        <f t="shared" si="18"/>
        <v>Revisa tu subcategoria</v>
      </c>
    </row>
    <row r="244" spans="2:10" x14ac:dyDescent="0.2">
      <c r="B244" s="89"/>
      <c r="C244" s="90"/>
      <c r="D244" s="91"/>
      <c r="E244" s="77"/>
      <c r="F244" s="77"/>
      <c r="H244" s="78" t="str">
        <f t="shared" si="16"/>
        <v/>
      </c>
      <c r="I244" s="78" t="str">
        <f t="shared" si="17"/>
        <v>Error</v>
      </c>
      <c r="J244" s="79" t="str">
        <f t="shared" si="18"/>
        <v>Revisa tu subcategoria</v>
      </c>
    </row>
    <row r="245" spans="2:10" x14ac:dyDescent="0.2">
      <c r="B245" s="89"/>
      <c r="C245" s="90"/>
      <c r="D245" s="91"/>
      <c r="E245" s="77"/>
      <c r="F245" s="77"/>
      <c r="H245" s="78" t="str">
        <f t="shared" si="16"/>
        <v/>
      </c>
      <c r="I245" s="78" t="str">
        <f t="shared" si="17"/>
        <v>Error</v>
      </c>
      <c r="J245" s="79" t="str">
        <f t="shared" si="18"/>
        <v>Revisa tu subcategoria</v>
      </c>
    </row>
    <row r="246" spans="2:10" x14ac:dyDescent="0.2">
      <c r="B246" s="89"/>
      <c r="C246" s="90"/>
      <c r="D246" s="91"/>
      <c r="E246" s="77"/>
      <c r="F246" s="77"/>
      <c r="H246" s="78" t="str">
        <f t="shared" si="16"/>
        <v/>
      </c>
      <c r="I246" s="78" t="str">
        <f t="shared" si="17"/>
        <v>Error</v>
      </c>
      <c r="J246" s="79" t="str">
        <f t="shared" si="18"/>
        <v>Revisa tu subcategoria</v>
      </c>
    </row>
    <row r="247" spans="2:10" x14ac:dyDescent="0.2">
      <c r="B247" s="89"/>
      <c r="C247" s="90"/>
      <c r="D247" s="91"/>
      <c r="E247" s="77"/>
      <c r="F247" s="77"/>
      <c r="H247" s="78" t="str">
        <f t="shared" si="16"/>
        <v/>
      </c>
      <c r="I247" s="78" t="str">
        <f t="shared" si="17"/>
        <v>Error</v>
      </c>
      <c r="J247" s="79" t="str">
        <f t="shared" si="18"/>
        <v>Revisa tu subcategoria</v>
      </c>
    </row>
    <row r="248" spans="2:10" x14ac:dyDescent="0.2">
      <c r="B248" s="89"/>
      <c r="C248" s="90"/>
      <c r="D248" s="91"/>
      <c r="E248" s="77"/>
      <c r="F248" s="77"/>
      <c r="H248" s="78" t="str">
        <f t="shared" si="16"/>
        <v/>
      </c>
      <c r="I248" s="78" t="str">
        <f t="shared" si="17"/>
        <v>Error</v>
      </c>
      <c r="J248" s="79" t="str">
        <f t="shared" si="18"/>
        <v>Revisa tu subcategoria</v>
      </c>
    </row>
    <row r="249" spans="2:10" x14ac:dyDescent="0.2">
      <c r="B249" s="89"/>
      <c r="C249" s="90"/>
      <c r="D249" s="91"/>
      <c r="E249" s="77"/>
      <c r="F249" s="77"/>
      <c r="H249" s="78" t="str">
        <f t="shared" si="16"/>
        <v/>
      </c>
      <c r="I249" s="78" t="str">
        <f t="shared" si="17"/>
        <v>Error</v>
      </c>
      <c r="J249" s="79" t="str">
        <f t="shared" si="18"/>
        <v>Revisa tu subcategoria</v>
      </c>
    </row>
    <row r="250" spans="2:10" x14ac:dyDescent="0.2">
      <c r="B250" s="89"/>
      <c r="C250" s="90"/>
      <c r="D250" s="91"/>
      <c r="E250" s="77"/>
      <c r="F250" s="77"/>
      <c r="H250" s="78" t="str">
        <f t="shared" si="16"/>
        <v/>
      </c>
      <c r="I250" s="78" t="str">
        <f t="shared" si="17"/>
        <v>Error</v>
      </c>
      <c r="J250" s="79" t="str">
        <f t="shared" si="18"/>
        <v>Revisa tu subcategoria</v>
      </c>
    </row>
    <row r="251" spans="2:10" x14ac:dyDescent="0.2">
      <c r="B251" s="89"/>
      <c r="C251" s="90"/>
      <c r="D251" s="91"/>
      <c r="E251" s="77"/>
      <c r="F251" s="77"/>
      <c r="H251" s="78" t="str">
        <f t="shared" si="16"/>
        <v/>
      </c>
      <c r="I251" s="78" t="str">
        <f t="shared" si="17"/>
        <v>Error</v>
      </c>
      <c r="J251" s="79" t="str">
        <f t="shared" si="18"/>
        <v>Revisa tu subcategoria</v>
      </c>
    </row>
    <row r="252" spans="2:10" x14ac:dyDescent="0.2">
      <c r="B252" s="89"/>
      <c r="C252" s="90"/>
      <c r="D252" s="91"/>
      <c r="E252" s="77"/>
      <c r="F252" s="77"/>
      <c r="H252" s="78" t="str">
        <f t="shared" si="16"/>
        <v/>
      </c>
      <c r="I252" s="78" t="str">
        <f t="shared" si="17"/>
        <v>Error</v>
      </c>
      <c r="J252" s="79" t="str">
        <f t="shared" si="18"/>
        <v>Revisa tu subcategoria</v>
      </c>
    </row>
    <row r="253" spans="2:10" x14ac:dyDescent="0.2">
      <c r="B253" s="89"/>
      <c r="C253" s="90"/>
      <c r="D253" s="91"/>
      <c r="E253" s="77"/>
      <c r="F253" s="77"/>
      <c r="H253" s="78" t="str">
        <f t="shared" si="16"/>
        <v/>
      </c>
      <c r="I253" s="78" t="str">
        <f t="shared" si="17"/>
        <v>Error</v>
      </c>
      <c r="J253" s="79" t="str">
        <f t="shared" si="18"/>
        <v>Revisa tu subcategoria</v>
      </c>
    </row>
    <row r="254" spans="2:10" x14ac:dyDescent="0.2">
      <c r="B254" s="89"/>
      <c r="C254" s="90"/>
      <c r="D254" s="91"/>
      <c r="E254" s="77"/>
      <c r="F254" s="77"/>
      <c r="H254" s="78" t="str">
        <f t="shared" si="16"/>
        <v/>
      </c>
      <c r="I254" s="78" t="str">
        <f t="shared" si="17"/>
        <v>Error</v>
      </c>
      <c r="J254" s="79" t="str">
        <f t="shared" si="18"/>
        <v>Revisa tu subcategoria</v>
      </c>
    </row>
    <row r="255" spans="2:10" x14ac:dyDescent="0.2">
      <c r="B255" s="89"/>
      <c r="C255" s="90"/>
      <c r="D255" s="91"/>
      <c r="E255" s="77"/>
      <c r="F255" s="77"/>
      <c r="H255" s="78" t="str">
        <f t="shared" si="16"/>
        <v/>
      </c>
      <c r="I255" s="78" t="str">
        <f t="shared" si="17"/>
        <v>Error</v>
      </c>
      <c r="J255" s="79" t="str">
        <f t="shared" si="18"/>
        <v>Revisa tu subcategoria</v>
      </c>
    </row>
    <row r="256" spans="2:10" x14ac:dyDescent="0.2">
      <c r="B256" s="89"/>
      <c r="C256" s="90"/>
      <c r="D256" s="91"/>
      <c r="E256" s="77"/>
      <c r="F256" s="77"/>
      <c r="H256" s="78" t="str">
        <f t="shared" si="16"/>
        <v/>
      </c>
      <c r="I256" s="78" t="str">
        <f t="shared" si="17"/>
        <v>Error</v>
      </c>
      <c r="J256" s="79" t="str">
        <f t="shared" si="18"/>
        <v>Revisa tu subcategoria</v>
      </c>
    </row>
    <row r="257" spans="2:10" x14ac:dyDescent="0.2">
      <c r="B257" s="89"/>
      <c r="C257" s="90"/>
      <c r="D257" s="91"/>
      <c r="E257" s="77"/>
      <c r="F257" s="77"/>
      <c r="H257" s="78" t="str">
        <f t="shared" si="16"/>
        <v/>
      </c>
      <c r="I257" s="78" t="str">
        <f t="shared" si="17"/>
        <v>Error</v>
      </c>
      <c r="J257" s="79" t="str">
        <f t="shared" si="18"/>
        <v>Revisa tu subcategoria</v>
      </c>
    </row>
    <row r="258" spans="2:10" x14ac:dyDescent="0.2">
      <c r="B258" s="89"/>
      <c r="C258" s="90"/>
      <c r="D258" s="91"/>
      <c r="E258" s="77"/>
      <c r="F258" s="77"/>
      <c r="H258" s="78" t="str">
        <f t="shared" si="16"/>
        <v/>
      </c>
      <c r="I258" s="78" t="str">
        <f t="shared" si="17"/>
        <v>Error</v>
      </c>
      <c r="J258" s="79" t="str">
        <f t="shared" si="18"/>
        <v>Revisa tu subcategoria</v>
      </c>
    </row>
    <row r="259" spans="2:10" x14ac:dyDescent="0.2">
      <c r="B259" s="89"/>
      <c r="C259" s="90"/>
      <c r="D259" s="91"/>
      <c r="E259" s="77"/>
      <c r="F259" s="77"/>
      <c r="H259" s="78" t="str">
        <f t="shared" ref="H259:H300" si="19">E259&amp;F259</f>
        <v/>
      </c>
      <c r="I259" s="78" t="str">
        <f t="shared" ref="I259:I300" si="20">IFERROR(VLOOKUP(H259,$AP:$AQ,2,FALSE),"Error")</f>
        <v>Error</v>
      </c>
      <c r="J259" s="79" t="str">
        <f t="shared" si="18"/>
        <v>Revisa tu subcategoria</v>
      </c>
    </row>
    <row r="260" spans="2:10" x14ac:dyDescent="0.2">
      <c r="B260" s="89"/>
      <c r="C260" s="90"/>
      <c r="D260" s="91"/>
      <c r="E260" s="77"/>
      <c r="F260" s="77"/>
      <c r="H260" s="78" t="str">
        <f t="shared" si="19"/>
        <v/>
      </c>
      <c r="I260" s="78" t="str">
        <f t="shared" si="20"/>
        <v>Error</v>
      </c>
      <c r="J260" s="79" t="str">
        <f t="shared" si="18"/>
        <v>Revisa tu subcategoria</v>
      </c>
    </row>
    <row r="261" spans="2:10" x14ac:dyDescent="0.2">
      <c r="B261" s="89"/>
      <c r="C261" s="90"/>
      <c r="D261" s="91"/>
      <c r="E261" s="77"/>
      <c r="F261" s="77"/>
      <c r="H261" s="78" t="str">
        <f t="shared" si="19"/>
        <v/>
      </c>
      <c r="I261" s="78" t="str">
        <f t="shared" si="20"/>
        <v>Error</v>
      </c>
      <c r="J261" s="79" t="str">
        <f t="shared" si="18"/>
        <v>Revisa tu subcategoria</v>
      </c>
    </row>
    <row r="262" spans="2:10" x14ac:dyDescent="0.2">
      <c r="B262" s="89"/>
      <c r="C262" s="90"/>
      <c r="D262" s="91"/>
      <c r="E262" s="77"/>
      <c r="F262" s="77"/>
      <c r="H262" s="78" t="str">
        <f t="shared" si="19"/>
        <v/>
      </c>
      <c r="I262" s="78" t="str">
        <f t="shared" si="20"/>
        <v>Error</v>
      </c>
      <c r="J262" s="79" t="str">
        <f t="shared" si="18"/>
        <v>Revisa tu subcategoria</v>
      </c>
    </row>
    <row r="263" spans="2:10" x14ac:dyDescent="0.2">
      <c r="B263" s="89"/>
      <c r="C263" s="90"/>
      <c r="D263" s="91"/>
      <c r="E263" s="77"/>
      <c r="F263" s="77"/>
      <c r="H263" s="78" t="str">
        <f t="shared" si="19"/>
        <v/>
      </c>
      <c r="I263" s="78" t="str">
        <f t="shared" si="20"/>
        <v>Error</v>
      </c>
      <c r="J263" s="79" t="str">
        <f t="shared" si="18"/>
        <v>Revisa tu subcategoria</v>
      </c>
    </row>
    <row r="264" spans="2:10" x14ac:dyDescent="0.2">
      <c r="B264" s="89"/>
      <c r="C264" s="90"/>
      <c r="D264" s="91"/>
      <c r="E264" s="77"/>
      <c r="F264" s="77"/>
      <c r="H264" s="78" t="str">
        <f t="shared" si="19"/>
        <v/>
      </c>
      <c r="I264" s="78" t="str">
        <f t="shared" si="20"/>
        <v>Error</v>
      </c>
      <c r="J264" s="79" t="str">
        <f t="shared" ref="J264:J300" si="21">IF(H264=I264,"Es correcto","Revisa tu subcategoria")</f>
        <v>Revisa tu subcategoria</v>
      </c>
    </row>
    <row r="265" spans="2:10" x14ac:dyDescent="0.2">
      <c r="B265" s="89"/>
      <c r="C265" s="90"/>
      <c r="D265" s="91"/>
      <c r="E265" s="77"/>
      <c r="F265" s="77"/>
      <c r="H265" s="78" t="str">
        <f t="shared" si="19"/>
        <v/>
      </c>
      <c r="I265" s="78" t="str">
        <f t="shared" si="20"/>
        <v>Error</v>
      </c>
      <c r="J265" s="79" t="str">
        <f t="shared" si="21"/>
        <v>Revisa tu subcategoria</v>
      </c>
    </row>
    <row r="266" spans="2:10" x14ac:dyDescent="0.2">
      <c r="B266" s="89"/>
      <c r="C266" s="90"/>
      <c r="D266" s="91"/>
      <c r="E266" s="77"/>
      <c r="F266" s="77"/>
      <c r="H266" s="78" t="str">
        <f t="shared" si="19"/>
        <v/>
      </c>
      <c r="I266" s="78" t="str">
        <f t="shared" si="20"/>
        <v>Error</v>
      </c>
      <c r="J266" s="79" t="str">
        <f t="shared" si="21"/>
        <v>Revisa tu subcategoria</v>
      </c>
    </row>
    <row r="267" spans="2:10" x14ac:dyDescent="0.2">
      <c r="B267" s="89"/>
      <c r="C267" s="90"/>
      <c r="D267" s="91"/>
      <c r="E267" s="77"/>
      <c r="F267" s="77"/>
      <c r="H267" s="78" t="str">
        <f t="shared" si="19"/>
        <v/>
      </c>
      <c r="I267" s="78" t="str">
        <f t="shared" si="20"/>
        <v>Error</v>
      </c>
      <c r="J267" s="79" t="str">
        <f t="shared" si="21"/>
        <v>Revisa tu subcategoria</v>
      </c>
    </row>
    <row r="268" spans="2:10" x14ac:dyDescent="0.2">
      <c r="B268" s="89"/>
      <c r="C268" s="90"/>
      <c r="D268" s="91"/>
      <c r="E268" s="77"/>
      <c r="F268" s="77"/>
      <c r="H268" s="78" t="str">
        <f t="shared" si="19"/>
        <v/>
      </c>
      <c r="I268" s="78" t="str">
        <f t="shared" si="20"/>
        <v>Error</v>
      </c>
      <c r="J268" s="79" t="str">
        <f t="shared" si="21"/>
        <v>Revisa tu subcategoria</v>
      </c>
    </row>
    <row r="269" spans="2:10" x14ac:dyDescent="0.2">
      <c r="B269" s="89"/>
      <c r="C269" s="90"/>
      <c r="D269" s="91"/>
      <c r="E269" s="77"/>
      <c r="F269" s="77"/>
      <c r="H269" s="78" t="str">
        <f t="shared" si="19"/>
        <v/>
      </c>
      <c r="I269" s="78" t="str">
        <f t="shared" si="20"/>
        <v>Error</v>
      </c>
      <c r="J269" s="79" t="str">
        <f t="shared" si="21"/>
        <v>Revisa tu subcategoria</v>
      </c>
    </row>
    <row r="270" spans="2:10" x14ac:dyDescent="0.2">
      <c r="B270" s="89"/>
      <c r="C270" s="90"/>
      <c r="D270" s="91"/>
      <c r="E270" s="77"/>
      <c r="F270" s="77"/>
      <c r="H270" s="78" t="str">
        <f t="shared" si="19"/>
        <v/>
      </c>
      <c r="I270" s="78" t="str">
        <f t="shared" si="20"/>
        <v>Error</v>
      </c>
      <c r="J270" s="79" t="str">
        <f t="shared" si="21"/>
        <v>Revisa tu subcategoria</v>
      </c>
    </row>
    <row r="271" spans="2:10" x14ac:dyDescent="0.2">
      <c r="B271" s="89"/>
      <c r="C271" s="90"/>
      <c r="D271" s="91"/>
      <c r="E271" s="77"/>
      <c r="F271" s="77"/>
      <c r="H271" s="78" t="str">
        <f t="shared" si="19"/>
        <v/>
      </c>
      <c r="I271" s="78" t="str">
        <f t="shared" si="20"/>
        <v>Error</v>
      </c>
      <c r="J271" s="79" t="str">
        <f t="shared" si="21"/>
        <v>Revisa tu subcategoria</v>
      </c>
    </row>
    <row r="272" spans="2:10" x14ac:dyDescent="0.2">
      <c r="B272" s="89"/>
      <c r="C272" s="90"/>
      <c r="D272" s="91"/>
      <c r="E272" s="77"/>
      <c r="F272" s="77"/>
      <c r="H272" s="78" t="str">
        <f t="shared" si="19"/>
        <v/>
      </c>
      <c r="I272" s="78" t="str">
        <f t="shared" si="20"/>
        <v>Error</v>
      </c>
      <c r="J272" s="79" t="str">
        <f t="shared" si="21"/>
        <v>Revisa tu subcategoria</v>
      </c>
    </row>
    <row r="273" spans="2:10" x14ac:dyDescent="0.2">
      <c r="B273" s="89"/>
      <c r="C273" s="90"/>
      <c r="D273" s="91"/>
      <c r="E273" s="77"/>
      <c r="F273" s="77"/>
      <c r="H273" s="78" t="str">
        <f t="shared" si="19"/>
        <v/>
      </c>
      <c r="I273" s="78" t="str">
        <f t="shared" si="20"/>
        <v>Error</v>
      </c>
      <c r="J273" s="79" t="str">
        <f t="shared" si="21"/>
        <v>Revisa tu subcategoria</v>
      </c>
    </row>
    <row r="274" spans="2:10" x14ac:dyDescent="0.2">
      <c r="B274" s="89"/>
      <c r="C274" s="90"/>
      <c r="D274" s="91"/>
      <c r="E274" s="77"/>
      <c r="F274" s="77"/>
      <c r="H274" s="78" t="str">
        <f t="shared" si="19"/>
        <v/>
      </c>
      <c r="I274" s="78" t="str">
        <f t="shared" si="20"/>
        <v>Error</v>
      </c>
      <c r="J274" s="79" t="str">
        <f t="shared" si="21"/>
        <v>Revisa tu subcategoria</v>
      </c>
    </row>
    <row r="275" spans="2:10" x14ac:dyDescent="0.2">
      <c r="B275" s="89"/>
      <c r="C275" s="90"/>
      <c r="D275" s="91"/>
      <c r="E275" s="77"/>
      <c r="F275" s="77"/>
      <c r="H275" s="78" t="str">
        <f t="shared" si="19"/>
        <v/>
      </c>
      <c r="I275" s="78" t="str">
        <f t="shared" si="20"/>
        <v>Error</v>
      </c>
      <c r="J275" s="79" t="str">
        <f t="shared" si="21"/>
        <v>Revisa tu subcategoria</v>
      </c>
    </row>
    <row r="276" spans="2:10" x14ac:dyDescent="0.2">
      <c r="B276" s="89"/>
      <c r="C276" s="90"/>
      <c r="D276" s="91"/>
      <c r="E276" s="77"/>
      <c r="F276" s="77"/>
      <c r="H276" s="78" t="str">
        <f t="shared" si="19"/>
        <v/>
      </c>
      <c r="I276" s="78" t="str">
        <f t="shared" si="20"/>
        <v>Error</v>
      </c>
      <c r="J276" s="79" t="str">
        <f t="shared" si="21"/>
        <v>Revisa tu subcategoria</v>
      </c>
    </row>
    <row r="277" spans="2:10" x14ac:dyDescent="0.2">
      <c r="B277" s="89"/>
      <c r="C277" s="90"/>
      <c r="D277" s="91"/>
      <c r="E277" s="77"/>
      <c r="F277" s="77"/>
      <c r="H277" s="78" t="str">
        <f t="shared" si="19"/>
        <v/>
      </c>
      <c r="I277" s="78" t="str">
        <f t="shared" si="20"/>
        <v>Error</v>
      </c>
      <c r="J277" s="79" t="str">
        <f t="shared" si="21"/>
        <v>Revisa tu subcategoria</v>
      </c>
    </row>
    <row r="278" spans="2:10" x14ac:dyDescent="0.2">
      <c r="B278" s="89"/>
      <c r="C278" s="90"/>
      <c r="D278" s="91"/>
      <c r="E278" s="77"/>
      <c r="F278" s="77"/>
      <c r="H278" s="78" t="str">
        <f t="shared" si="19"/>
        <v/>
      </c>
      <c r="I278" s="78" t="str">
        <f t="shared" si="20"/>
        <v>Error</v>
      </c>
      <c r="J278" s="79" t="str">
        <f t="shared" si="21"/>
        <v>Revisa tu subcategoria</v>
      </c>
    </row>
    <row r="279" spans="2:10" x14ac:dyDescent="0.2">
      <c r="B279" s="89"/>
      <c r="C279" s="90"/>
      <c r="D279" s="91"/>
      <c r="E279" s="77"/>
      <c r="F279" s="77"/>
      <c r="H279" s="78" t="str">
        <f t="shared" si="19"/>
        <v/>
      </c>
      <c r="I279" s="78" t="str">
        <f t="shared" si="20"/>
        <v>Error</v>
      </c>
      <c r="J279" s="79" t="str">
        <f t="shared" si="21"/>
        <v>Revisa tu subcategoria</v>
      </c>
    </row>
    <row r="280" spans="2:10" x14ac:dyDescent="0.2">
      <c r="B280" s="89"/>
      <c r="C280" s="90"/>
      <c r="D280" s="91"/>
      <c r="E280" s="77"/>
      <c r="F280" s="77"/>
      <c r="H280" s="78" t="str">
        <f t="shared" si="19"/>
        <v/>
      </c>
      <c r="I280" s="78" t="str">
        <f t="shared" si="20"/>
        <v>Error</v>
      </c>
      <c r="J280" s="79" t="str">
        <f t="shared" si="21"/>
        <v>Revisa tu subcategoria</v>
      </c>
    </row>
    <row r="281" spans="2:10" x14ac:dyDescent="0.2">
      <c r="B281" s="89"/>
      <c r="C281" s="90"/>
      <c r="D281" s="91"/>
      <c r="E281" s="77"/>
      <c r="F281" s="77"/>
      <c r="H281" s="78" t="str">
        <f t="shared" si="19"/>
        <v/>
      </c>
      <c r="I281" s="78" t="str">
        <f t="shared" si="20"/>
        <v>Error</v>
      </c>
      <c r="J281" s="79" t="str">
        <f t="shared" si="21"/>
        <v>Revisa tu subcategoria</v>
      </c>
    </row>
    <row r="282" spans="2:10" x14ac:dyDescent="0.2">
      <c r="B282" s="89"/>
      <c r="C282" s="90"/>
      <c r="D282" s="91"/>
      <c r="E282" s="77"/>
      <c r="F282" s="77"/>
      <c r="H282" s="78" t="str">
        <f t="shared" si="19"/>
        <v/>
      </c>
      <c r="I282" s="78" t="str">
        <f t="shared" si="20"/>
        <v>Error</v>
      </c>
      <c r="J282" s="79" t="str">
        <f t="shared" si="21"/>
        <v>Revisa tu subcategoria</v>
      </c>
    </row>
    <row r="283" spans="2:10" x14ac:dyDescent="0.2">
      <c r="B283" s="89"/>
      <c r="C283" s="90"/>
      <c r="D283" s="91"/>
      <c r="E283" s="77"/>
      <c r="F283" s="77"/>
      <c r="H283" s="78" t="str">
        <f t="shared" si="19"/>
        <v/>
      </c>
      <c r="I283" s="78" t="str">
        <f t="shared" si="20"/>
        <v>Error</v>
      </c>
      <c r="J283" s="79" t="str">
        <f t="shared" si="21"/>
        <v>Revisa tu subcategoria</v>
      </c>
    </row>
    <row r="284" spans="2:10" x14ac:dyDescent="0.2">
      <c r="B284" s="89"/>
      <c r="C284" s="90"/>
      <c r="D284" s="91"/>
      <c r="E284" s="77"/>
      <c r="F284" s="77"/>
      <c r="H284" s="78" t="str">
        <f t="shared" si="19"/>
        <v/>
      </c>
      <c r="I284" s="78" t="str">
        <f t="shared" si="20"/>
        <v>Error</v>
      </c>
      <c r="J284" s="79" t="str">
        <f t="shared" si="21"/>
        <v>Revisa tu subcategoria</v>
      </c>
    </row>
    <row r="285" spans="2:10" x14ac:dyDescent="0.2">
      <c r="B285" s="89"/>
      <c r="C285" s="90"/>
      <c r="D285" s="91"/>
      <c r="E285" s="77"/>
      <c r="F285" s="77"/>
      <c r="H285" s="78" t="str">
        <f t="shared" si="19"/>
        <v/>
      </c>
      <c r="I285" s="78" t="str">
        <f t="shared" si="20"/>
        <v>Error</v>
      </c>
      <c r="J285" s="79" t="str">
        <f t="shared" si="21"/>
        <v>Revisa tu subcategoria</v>
      </c>
    </row>
    <row r="286" spans="2:10" x14ac:dyDescent="0.2">
      <c r="B286" s="89"/>
      <c r="C286" s="90"/>
      <c r="D286" s="91"/>
      <c r="E286" s="77"/>
      <c r="F286" s="77"/>
      <c r="H286" s="78" t="str">
        <f t="shared" si="19"/>
        <v/>
      </c>
      <c r="I286" s="78" t="str">
        <f t="shared" si="20"/>
        <v>Error</v>
      </c>
      <c r="J286" s="79" t="str">
        <f t="shared" si="21"/>
        <v>Revisa tu subcategoria</v>
      </c>
    </row>
    <row r="287" spans="2:10" x14ac:dyDescent="0.2">
      <c r="B287" s="89"/>
      <c r="C287" s="90"/>
      <c r="D287" s="91"/>
      <c r="E287" s="77"/>
      <c r="F287" s="77"/>
      <c r="H287" s="78" t="str">
        <f t="shared" si="19"/>
        <v/>
      </c>
      <c r="I287" s="78" t="str">
        <f t="shared" si="20"/>
        <v>Error</v>
      </c>
      <c r="J287" s="79" t="str">
        <f t="shared" si="21"/>
        <v>Revisa tu subcategoria</v>
      </c>
    </row>
    <row r="288" spans="2:10" x14ac:dyDescent="0.2">
      <c r="B288" s="89"/>
      <c r="C288" s="90"/>
      <c r="D288" s="91"/>
      <c r="E288" s="77"/>
      <c r="F288" s="77"/>
      <c r="H288" s="78" t="str">
        <f t="shared" si="19"/>
        <v/>
      </c>
      <c r="I288" s="78" t="str">
        <f t="shared" si="20"/>
        <v>Error</v>
      </c>
      <c r="J288" s="79" t="str">
        <f t="shared" si="21"/>
        <v>Revisa tu subcategoria</v>
      </c>
    </row>
    <row r="289" spans="2:10" x14ac:dyDescent="0.2">
      <c r="B289" s="89"/>
      <c r="C289" s="90"/>
      <c r="D289" s="91"/>
      <c r="E289" s="77"/>
      <c r="F289" s="77"/>
      <c r="H289" s="78" t="str">
        <f t="shared" si="19"/>
        <v/>
      </c>
      <c r="I289" s="78" t="str">
        <f t="shared" si="20"/>
        <v>Error</v>
      </c>
      <c r="J289" s="79" t="str">
        <f t="shared" si="21"/>
        <v>Revisa tu subcategoria</v>
      </c>
    </row>
    <row r="290" spans="2:10" x14ac:dyDescent="0.2">
      <c r="B290" s="89"/>
      <c r="C290" s="90"/>
      <c r="D290" s="91"/>
      <c r="E290" s="77"/>
      <c r="F290" s="77"/>
      <c r="H290" s="78" t="str">
        <f t="shared" si="19"/>
        <v/>
      </c>
      <c r="I290" s="78" t="str">
        <f t="shared" si="20"/>
        <v>Error</v>
      </c>
      <c r="J290" s="79" t="str">
        <f t="shared" si="21"/>
        <v>Revisa tu subcategoria</v>
      </c>
    </row>
    <row r="291" spans="2:10" x14ac:dyDescent="0.2">
      <c r="B291" s="89"/>
      <c r="C291" s="90"/>
      <c r="D291" s="91"/>
      <c r="E291" s="77"/>
      <c r="F291" s="77"/>
      <c r="H291" s="78" t="str">
        <f t="shared" si="19"/>
        <v/>
      </c>
      <c r="I291" s="78" t="str">
        <f t="shared" si="20"/>
        <v>Error</v>
      </c>
      <c r="J291" s="79" t="str">
        <f t="shared" si="21"/>
        <v>Revisa tu subcategoria</v>
      </c>
    </row>
    <row r="292" spans="2:10" x14ac:dyDescent="0.2">
      <c r="B292" s="89"/>
      <c r="C292" s="90"/>
      <c r="D292" s="91"/>
      <c r="E292" s="77"/>
      <c r="F292" s="77"/>
      <c r="H292" s="78" t="str">
        <f t="shared" si="19"/>
        <v/>
      </c>
      <c r="I292" s="78" t="str">
        <f t="shared" si="20"/>
        <v>Error</v>
      </c>
      <c r="J292" s="79" t="str">
        <f t="shared" si="21"/>
        <v>Revisa tu subcategoria</v>
      </c>
    </row>
    <row r="293" spans="2:10" x14ac:dyDescent="0.2">
      <c r="B293" s="89"/>
      <c r="C293" s="90"/>
      <c r="D293" s="91"/>
      <c r="E293" s="77"/>
      <c r="F293" s="77"/>
      <c r="H293" s="78" t="str">
        <f t="shared" si="19"/>
        <v/>
      </c>
      <c r="I293" s="78" t="str">
        <f t="shared" si="20"/>
        <v>Error</v>
      </c>
      <c r="J293" s="79" t="str">
        <f t="shared" si="21"/>
        <v>Revisa tu subcategoria</v>
      </c>
    </row>
    <row r="294" spans="2:10" x14ac:dyDescent="0.2">
      <c r="B294" s="89"/>
      <c r="C294" s="90"/>
      <c r="D294" s="91"/>
      <c r="E294" s="77"/>
      <c r="F294" s="77"/>
      <c r="H294" s="78" t="str">
        <f t="shared" si="19"/>
        <v/>
      </c>
      <c r="I294" s="78" t="str">
        <f t="shared" si="20"/>
        <v>Error</v>
      </c>
      <c r="J294" s="79" t="str">
        <f t="shared" si="21"/>
        <v>Revisa tu subcategoria</v>
      </c>
    </row>
    <row r="295" spans="2:10" x14ac:dyDescent="0.2">
      <c r="B295" s="89"/>
      <c r="C295" s="90"/>
      <c r="D295" s="91"/>
      <c r="E295" s="77"/>
      <c r="F295" s="77"/>
      <c r="H295" s="78" t="str">
        <f t="shared" si="19"/>
        <v/>
      </c>
      <c r="I295" s="78" t="str">
        <f t="shared" si="20"/>
        <v>Error</v>
      </c>
      <c r="J295" s="79" t="str">
        <f t="shared" si="21"/>
        <v>Revisa tu subcategoria</v>
      </c>
    </row>
    <row r="296" spans="2:10" x14ac:dyDescent="0.2">
      <c r="B296" s="89"/>
      <c r="C296" s="90"/>
      <c r="D296" s="91"/>
      <c r="E296" s="77"/>
      <c r="F296" s="77"/>
      <c r="H296" s="78" t="str">
        <f t="shared" si="19"/>
        <v/>
      </c>
      <c r="I296" s="78" t="str">
        <f t="shared" si="20"/>
        <v>Error</v>
      </c>
      <c r="J296" s="79" t="str">
        <f t="shared" si="21"/>
        <v>Revisa tu subcategoria</v>
      </c>
    </row>
    <row r="297" spans="2:10" x14ac:dyDescent="0.2">
      <c r="B297" s="89"/>
      <c r="C297" s="90"/>
      <c r="D297" s="91"/>
      <c r="E297" s="77"/>
      <c r="F297" s="77"/>
      <c r="H297" s="78" t="str">
        <f t="shared" si="19"/>
        <v/>
      </c>
      <c r="I297" s="78" t="str">
        <f t="shared" si="20"/>
        <v>Error</v>
      </c>
      <c r="J297" s="79" t="str">
        <f t="shared" si="21"/>
        <v>Revisa tu subcategoria</v>
      </c>
    </row>
    <row r="298" spans="2:10" x14ac:dyDescent="0.2">
      <c r="B298" s="89"/>
      <c r="C298" s="90"/>
      <c r="D298" s="91"/>
      <c r="E298" s="77"/>
      <c r="F298" s="77"/>
      <c r="H298" s="78" t="str">
        <f t="shared" si="19"/>
        <v/>
      </c>
      <c r="I298" s="78" t="str">
        <f t="shared" si="20"/>
        <v>Error</v>
      </c>
      <c r="J298" s="79" t="str">
        <f t="shared" si="21"/>
        <v>Revisa tu subcategoria</v>
      </c>
    </row>
    <row r="299" spans="2:10" x14ac:dyDescent="0.2">
      <c r="B299" s="89"/>
      <c r="C299" s="90"/>
      <c r="D299" s="91"/>
      <c r="E299" s="77"/>
      <c r="F299" s="77"/>
      <c r="H299" s="78" t="str">
        <f t="shared" si="19"/>
        <v/>
      </c>
      <c r="I299" s="78" t="str">
        <f t="shared" si="20"/>
        <v>Error</v>
      </c>
      <c r="J299" s="79" t="str">
        <f t="shared" si="21"/>
        <v>Revisa tu subcategoria</v>
      </c>
    </row>
    <row r="300" spans="2:10" x14ac:dyDescent="0.2">
      <c r="B300" s="89"/>
      <c r="C300" s="90"/>
      <c r="D300" s="91"/>
      <c r="E300" s="77"/>
      <c r="F300" s="77"/>
      <c r="H300" s="78" t="str">
        <f t="shared" si="19"/>
        <v/>
      </c>
      <c r="I300" s="78" t="str">
        <f t="shared" si="20"/>
        <v>Error</v>
      </c>
      <c r="J300" s="79" t="str">
        <f t="shared" si="21"/>
        <v>Revisa tu subcategoria</v>
      </c>
    </row>
    <row r="301" spans="2:10" x14ac:dyDescent="0.2">
      <c r="D301"/>
      <c r="H301"/>
      <c r="I301"/>
      <c r="J301"/>
    </row>
    <row r="302" spans="2:10" x14ac:dyDescent="0.2">
      <c r="D302"/>
      <c r="H302"/>
      <c r="I302"/>
      <c r="J302"/>
    </row>
    <row r="303" spans="2:10" x14ac:dyDescent="0.2">
      <c r="D303"/>
      <c r="H303"/>
      <c r="I303"/>
      <c r="J303"/>
    </row>
    <row r="304" spans="2:10" x14ac:dyDescent="0.2">
      <c r="D304"/>
      <c r="H304"/>
      <c r="I304"/>
      <c r="J304"/>
    </row>
    <row r="305" spans="4:10" x14ac:dyDescent="0.2">
      <c r="D305"/>
      <c r="H305"/>
      <c r="I305"/>
      <c r="J305"/>
    </row>
    <row r="306" spans="4:10" x14ac:dyDescent="0.2">
      <c r="D306"/>
      <c r="H306"/>
      <c r="I306"/>
      <c r="J306"/>
    </row>
    <row r="307" spans="4:10" x14ac:dyDescent="0.2">
      <c r="D307"/>
      <c r="H307"/>
      <c r="I307"/>
      <c r="J307"/>
    </row>
    <row r="308" spans="4:10" x14ac:dyDescent="0.2">
      <c r="D308"/>
      <c r="H308"/>
      <c r="I308"/>
      <c r="J308"/>
    </row>
    <row r="309" spans="4:10" x14ac:dyDescent="0.2">
      <c r="D309"/>
      <c r="H309"/>
      <c r="I309"/>
      <c r="J309"/>
    </row>
    <row r="310" spans="4:10" x14ac:dyDescent="0.2">
      <c r="D310"/>
      <c r="H310"/>
      <c r="I310"/>
      <c r="J310"/>
    </row>
    <row r="311" spans="4:10" x14ac:dyDescent="0.2">
      <c r="D311"/>
      <c r="H311"/>
      <c r="I311"/>
      <c r="J311"/>
    </row>
    <row r="312" spans="4:10" x14ac:dyDescent="0.2">
      <c r="D312"/>
      <c r="H312"/>
      <c r="I312"/>
      <c r="J312"/>
    </row>
  </sheetData>
  <sheetProtection algorithmName="SHA-512" hashValue="zZIX5R7gvxjGdR1lVGY9z13Fyy2WvjaerOzkKJyy9JA6zCUwbAwKJko3xusyfts8RMh/Bq6i1dTG9c6D7ZGSTw==" saltValue="3kLbZBd0/cioYRNrQGJcLA==" spinCount="100000" sheet="1" selectLockedCells="1"/>
  <conditionalFormatting sqref="J1:J300 J313:J1048576">
    <cfRule type="containsText" dxfId="1" priority="1" operator="containsText" text="Revisa">
      <formula>NOT(ISERROR(SEARCH("Revisa",J1)))</formula>
    </cfRule>
    <cfRule type="beginsWith" dxfId="0" priority="2" operator="beginsWith" text="Es">
      <formula>LEFT(J1,LEN("Es"))="Es"</formula>
    </cfRule>
  </conditionalFormatting>
  <dataValidations count="2">
    <dataValidation type="list" allowBlank="1" showInputMessage="1" showErrorMessage="1" sqref="F3:F300" xr:uid="{DFB47B68-7346-EC4C-9CB0-10058FB2D8B0}">
      <formula1>$AO$4:$AO$141</formula1>
    </dataValidation>
    <dataValidation type="list" allowBlank="1" showInputMessage="1" showErrorMessage="1" sqref="E3:E300" xr:uid="{B7352E25-5A14-F24D-BE9A-96EAB70C8235}">
      <formula1>$AN$4:$AN$141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3:K1880"/>
  <sheetViews>
    <sheetView showGridLines="0" topLeftCell="A49" zoomScale="80" zoomScaleNormal="80" workbookViewId="0">
      <selection activeCell="D82" sqref="D82"/>
    </sheetView>
  </sheetViews>
  <sheetFormatPr baseColWidth="10" defaultColWidth="9.19921875" defaultRowHeight="14" x14ac:dyDescent="0.2"/>
  <cols>
    <col min="1" max="1" width="9.19921875" style="27"/>
    <col min="2" max="2" width="23.19921875" style="27" bestFit="1" customWidth="1"/>
    <col min="3" max="3" width="15.59765625" style="27" bestFit="1" customWidth="1"/>
    <col min="4" max="4" width="11" style="27" bestFit="1" customWidth="1"/>
    <col min="5" max="16384" width="9.19921875" style="27"/>
  </cols>
  <sheetData>
    <row r="3" spans="2:11" x14ac:dyDescent="0.2">
      <c r="I3" s="27" t="s">
        <v>40</v>
      </c>
      <c r="K3" s="27" t="s">
        <v>91</v>
      </c>
    </row>
    <row r="4" spans="2:11" x14ac:dyDescent="0.2">
      <c r="B4" s="28" t="str">
        <f>IF(Ene!$C11="SI",Ene!$B$10,"")</f>
        <v/>
      </c>
      <c r="C4" s="28"/>
      <c r="D4" s="28"/>
      <c r="I4" s="27" t="s">
        <v>45</v>
      </c>
      <c r="K4" s="27" t="s">
        <v>92</v>
      </c>
    </row>
    <row r="5" spans="2:11" x14ac:dyDescent="0.2">
      <c r="B5" s="28"/>
      <c r="C5" s="28"/>
      <c r="D5" s="28"/>
      <c r="I5" s="27" t="s">
        <v>93</v>
      </c>
      <c r="K5" s="27" t="s">
        <v>94</v>
      </c>
    </row>
    <row r="6" spans="2:11" x14ac:dyDescent="0.2">
      <c r="B6" s="28"/>
      <c r="C6" s="28"/>
      <c r="D6" s="28"/>
      <c r="K6" s="27" t="s">
        <v>95</v>
      </c>
    </row>
    <row r="7" spans="2:11" x14ac:dyDescent="0.2">
      <c r="B7" s="28"/>
      <c r="C7" s="28"/>
      <c r="D7" s="28"/>
      <c r="K7" s="27" t="s">
        <v>96</v>
      </c>
    </row>
    <row r="8" spans="2:11" x14ac:dyDescent="0.2">
      <c r="B8" s="33" t="s">
        <v>4</v>
      </c>
      <c r="C8" s="33" t="s">
        <v>5</v>
      </c>
      <c r="D8" s="33" t="s">
        <v>97</v>
      </c>
      <c r="E8" s="32" t="s">
        <v>3</v>
      </c>
      <c r="K8" s="27" t="s">
        <v>98</v>
      </c>
    </row>
    <row r="9" spans="2:11" x14ac:dyDescent="0.2">
      <c r="B9" s="28" t="str">
        <f>IF(Ene!$C13="SI",Ene!$B$12,"")</f>
        <v/>
      </c>
      <c r="C9" s="28" t="str">
        <f>IF(Ene!$C13="SI",Ene!$B13,"")</f>
        <v/>
      </c>
      <c r="D9" s="28" t="str">
        <f>IF(Ene!$C13="SI",Ene!$F13,"")</f>
        <v/>
      </c>
      <c r="E9" s="27" t="s">
        <v>107</v>
      </c>
    </row>
    <row r="10" spans="2:11" x14ac:dyDescent="0.2">
      <c r="B10" s="28" t="str">
        <f>IF(Ene!$C14="SI",Ene!$B$12,"")</f>
        <v/>
      </c>
      <c r="C10" s="28" t="str">
        <f>IF(Ene!$C14="SI",Ene!$B14,"")</f>
        <v/>
      </c>
      <c r="D10" s="28" t="str">
        <f>IF(Ene!$C14="SI",Ene!$F14,"")</f>
        <v/>
      </c>
      <c r="E10" s="27" t="s">
        <v>107</v>
      </c>
    </row>
    <row r="11" spans="2:11" x14ac:dyDescent="0.2">
      <c r="B11" s="28" t="str">
        <f>IF(Ene!$C15="SI",Ene!$B$12,"")</f>
        <v/>
      </c>
      <c r="C11" s="28" t="str">
        <f>IF(Ene!$C15="SI",Ene!$B15,"")</f>
        <v/>
      </c>
      <c r="D11" s="28" t="str">
        <f>IF(Ene!$C15="SI",Ene!$F15,"")</f>
        <v/>
      </c>
      <c r="E11" s="27" t="s">
        <v>107</v>
      </c>
    </row>
    <row r="12" spans="2:11" x14ac:dyDescent="0.2">
      <c r="B12" s="28" t="str">
        <f>IF(Ene!$C16="SI",Ene!$B$12,"")</f>
        <v/>
      </c>
      <c r="C12" s="28" t="str">
        <f>IF(Ene!$C16="SI",Ene!$B16,"")</f>
        <v/>
      </c>
      <c r="D12" s="28" t="str">
        <f>IF(Ene!$C16="SI",Ene!$F16,"")</f>
        <v/>
      </c>
      <c r="E12" s="27" t="s">
        <v>107</v>
      </c>
    </row>
    <row r="13" spans="2:11" x14ac:dyDescent="0.2">
      <c r="B13" s="28" t="str">
        <f>IF(Ene!$C17="SI",Ene!$B$12,"")</f>
        <v/>
      </c>
      <c r="C13" s="28" t="str">
        <f>IF(Ene!$C17="SI",Ene!$B17,"")</f>
        <v/>
      </c>
      <c r="D13" s="28" t="str">
        <f>IF(Ene!$C17="SI",Ene!$F17,"")</f>
        <v/>
      </c>
      <c r="E13" s="27" t="s">
        <v>107</v>
      </c>
    </row>
    <row r="14" spans="2:11" x14ac:dyDescent="0.2">
      <c r="B14" s="28" t="str">
        <f>IF(Ene!$C18="SI",Ene!$B$12,"")</f>
        <v/>
      </c>
      <c r="C14" s="28" t="str">
        <f>IF(Ene!$C18="SI",Ene!$B18,"")</f>
        <v/>
      </c>
      <c r="D14" s="28" t="str">
        <f>IF(Ene!$C18="SI",Ene!$F18,"")</f>
        <v/>
      </c>
      <c r="E14" s="27" t="s">
        <v>107</v>
      </c>
    </row>
    <row r="15" spans="2:11" x14ac:dyDescent="0.2">
      <c r="B15" s="28" t="str">
        <f>IF(Ene!$C19="SI",Ene!$B$12,"")</f>
        <v/>
      </c>
      <c r="C15" s="28" t="str">
        <f>IF(Ene!$C19="SI",Ene!$B19,"")</f>
        <v/>
      </c>
      <c r="D15" s="28" t="str">
        <f>IF(Ene!$C19="SI",Ene!$F19,"")</f>
        <v/>
      </c>
      <c r="E15" s="27" t="s">
        <v>107</v>
      </c>
    </row>
    <row r="16" spans="2:11" x14ac:dyDescent="0.2">
      <c r="B16" s="28" t="str">
        <f>IF(Ene!$C20="SI",Ene!$B$12,"")</f>
        <v/>
      </c>
      <c r="C16" s="28" t="str">
        <f>IF(Ene!$C20="SI",Ene!$B20,"")</f>
        <v/>
      </c>
      <c r="D16" s="28" t="str">
        <f>IF(Ene!$C20="SI",Ene!$F20,"")</f>
        <v/>
      </c>
      <c r="E16" s="27" t="s">
        <v>107</v>
      </c>
    </row>
    <row r="17" spans="2:5" x14ac:dyDescent="0.2">
      <c r="B17" s="28" t="str">
        <f>IF(Ene!$C21="SI",Ene!$B$12,"")</f>
        <v/>
      </c>
      <c r="C17" s="28" t="str">
        <f>IF(Ene!$C21="SI",Ene!$B21,"")</f>
        <v/>
      </c>
      <c r="D17" s="28" t="str">
        <f>IF(Ene!$C21="SI",Ene!$F21,"")</f>
        <v/>
      </c>
      <c r="E17" s="27" t="s">
        <v>107</v>
      </c>
    </row>
    <row r="18" spans="2:5" x14ac:dyDescent="0.2">
      <c r="B18" s="28" t="str">
        <f>IF(Ene!$C22="SI",Ene!$B$12,"")</f>
        <v/>
      </c>
      <c r="C18" s="28" t="str">
        <f>IF(Ene!$C22="SI",Ene!$B22,"")</f>
        <v/>
      </c>
      <c r="D18" s="28" t="str">
        <f>IF(Ene!$C22="SI",Ene!$F22,"")</f>
        <v/>
      </c>
      <c r="E18" s="27" t="s">
        <v>107</v>
      </c>
    </row>
    <row r="19" spans="2:5" x14ac:dyDescent="0.2">
      <c r="B19" s="28" t="str">
        <f>IF(Ene!$C23="SI",Ene!$B$12,"")</f>
        <v/>
      </c>
      <c r="C19" s="28" t="str">
        <f>IF(Ene!$C23="SI",Ene!$B23,"")</f>
        <v/>
      </c>
      <c r="D19" s="28" t="str">
        <f>IF(Ene!$C23="SI",Ene!$F23,"")</f>
        <v/>
      </c>
      <c r="E19" s="27" t="s">
        <v>107</v>
      </c>
    </row>
    <row r="20" spans="2:5" x14ac:dyDescent="0.2">
      <c r="B20" s="28" t="str">
        <f>IF(Ene!$C24="SI",Ene!$B$12,"")</f>
        <v/>
      </c>
      <c r="C20" s="28" t="str">
        <f>IF(Ene!$C24="SI",Ene!$B24,"")</f>
        <v/>
      </c>
      <c r="D20" s="28" t="str">
        <f>IF(Ene!$C24="SI",Ene!$F24,"")</f>
        <v/>
      </c>
      <c r="E20" s="27" t="s">
        <v>107</v>
      </c>
    </row>
    <row r="21" spans="2:5" x14ac:dyDescent="0.2">
      <c r="B21" s="28" t="str">
        <f>IF(Ene!$C28="SI",Ene!$B$27,"")</f>
        <v/>
      </c>
      <c r="C21" s="28" t="str">
        <f>IF(Ene!$C28="SI",Ene!$B28,"")</f>
        <v/>
      </c>
      <c r="D21" s="28" t="str">
        <f>IF(Ene!$C28="SI",Ene!$F28,"")</f>
        <v/>
      </c>
      <c r="E21" s="27" t="s">
        <v>107</v>
      </c>
    </row>
    <row r="22" spans="2:5" x14ac:dyDescent="0.2">
      <c r="B22" s="28" t="str">
        <f>IF(Ene!$C29="SI",Ene!$B$27,"")</f>
        <v/>
      </c>
      <c r="C22" s="28" t="str">
        <f>IF(Ene!$C29="SI",Ene!$B29,"")</f>
        <v/>
      </c>
      <c r="D22" s="28" t="str">
        <f>IF(Ene!$C29="SI",Ene!$F29,"")</f>
        <v/>
      </c>
      <c r="E22" s="27" t="s">
        <v>107</v>
      </c>
    </row>
    <row r="23" spans="2:5" x14ac:dyDescent="0.2">
      <c r="B23" s="28" t="str">
        <f>IF(Ene!$C30="SI",Ene!$B$27,"")</f>
        <v/>
      </c>
      <c r="C23" s="28" t="str">
        <f>IF(Ene!$C30="SI",Ene!$B30,"")</f>
        <v/>
      </c>
      <c r="D23" s="28" t="str">
        <f>IF(Ene!$C30="SI",Ene!$F30,"")</f>
        <v/>
      </c>
      <c r="E23" s="27" t="s">
        <v>107</v>
      </c>
    </row>
    <row r="24" spans="2:5" x14ac:dyDescent="0.2">
      <c r="B24" s="28" t="str">
        <f>IF(Ene!$C31="SI",Ene!$B$27,"")</f>
        <v/>
      </c>
      <c r="C24" s="28" t="str">
        <f>IF(Ene!$C31="SI",Ene!$B31,"")</f>
        <v/>
      </c>
      <c r="D24" s="28" t="str">
        <f>IF(Ene!$C31="SI",Ene!$F31,"")</f>
        <v/>
      </c>
      <c r="E24" s="27" t="s">
        <v>107</v>
      </c>
    </row>
    <row r="25" spans="2:5" x14ac:dyDescent="0.2">
      <c r="B25" s="28" t="str">
        <f>IF(Ene!$C32="SI",Ene!$B$27,"")</f>
        <v/>
      </c>
      <c r="C25" s="28" t="str">
        <f>IF(Ene!$C32="SI",Ene!$B32,"")</f>
        <v/>
      </c>
      <c r="D25" s="28" t="str">
        <f>IF(Ene!$C32="SI",Ene!$F32,"")</f>
        <v/>
      </c>
      <c r="E25" s="27" t="s">
        <v>107</v>
      </c>
    </row>
    <row r="26" spans="2:5" x14ac:dyDescent="0.2">
      <c r="B26" s="28" t="str">
        <f>IF(Ene!$C33="SI",Ene!$B$27,"")</f>
        <v/>
      </c>
      <c r="C26" s="28" t="str">
        <f>IF(Ene!$C33="SI",Ene!$B33,"")</f>
        <v/>
      </c>
      <c r="D26" s="28" t="str">
        <f>IF(Ene!$C33="SI",Ene!$F33,"")</f>
        <v/>
      </c>
      <c r="E26" s="27" t="s">
        <v>107</v>
      </c>
    </row>
    <row r="27" spans="2:5" x14ac:dyDescent="0.2">
      <c r="B27" s="28" t="str">
        <f>IF(Ene!$C34="SI",Ene!$B$27,"")</f>
        <v/>
      </c>
      <c r="C27" s="28" t="str">
        <f>IF(Ene!$C34="SI",Ene!$B34,"")</f>
        <v/>
      </c>
      <c r="D27" s="28" t="str">
        <f>IF(Ene!$C34="SI",Ene!$F34,"")</f>
        <v/>
      </c>
      <c r="E27" s="27" t="s">
        <v>107</v>
      </c>
    </row>
    <row r="28" spans="2:5" x14ac:dyDescent="0.2">
      <c r="B28" s="28" t="str">
        <f>IF(Ene!$C35="SI",Ene!$B$27,"")</f>
        <v/>
      </c>
      <c r="C28" s="28" t="str">
        <f>IF(Ene!$C35="SI",Ene!$B35,"")</f>
        <v/>
      </c>
      <c r="D28" s="28" t="str">
        <f>IF(Ene!$C35="SI",Ene!$F35,"")</f>
        <v/>
      </c>
      <c r="E28" s="27" t="s">
        <v>107</v>
      </c>
    </row>
    <row r="29" spans="2:5" x14ac:dyDescent="0.2">
      <c r="B29" s="28" t="str">
        <f>IF(Ene!$C39="SI",Ene!$B$38,"")</f>
        <v/>
      </c>
      <c r="C29" s="28" t="str">
        <f>IF(Ene!$C39="SI",Ene!$B39,"")</f>
        <v/>
      </c>
      <c r="D29" s="28" t="str">
        <f>IF(Ene!$C39="SI",Ene!$F39,"")</f>
        <v/>
      </c>
      <c r="E29" s="27" t="s">
        <v>107</v>
      </c>
    </row>
    <row r="30" spans="2:5" x14ac:dyDescent="0.2">
      <c r="B30" s="28" t="str">
        <f>IF(Ene!$C40="SI",Ene!$B$38,"")</f>
        <v/>
      </c>
      <c r="C30" s="28" t="str">
        <f>IF(Ene!$C40="SI",Ene!$B40,"")</f>
        <v/>
      </c>
      <c r="D30" s="28" t="str">
        <f>IF(Ene!$C40="SI",Ene!$F40,"")</f>
        <v/>
      </c>
      <c r="E30" s="27" t="s">
        <v>107</v>
      </c>
    </row>
    <row r="31" spans="2:5" x14ac:dyDescent="0.2">
      <c r="B31" s="28" t="str">
        <f>IF(Ene!$C41="SI",Ene!$B$38,"")</f>
        <v/>
      </c>
      <c r="C31" s="28" t="str">
        <f>IF(Ene!$C41="SI",Ene!$B41,"")</f>
        <v/>
      </c>
      <c r="D31" s="28" t="str">
        <f>IF(Ene!$C41="SI",Ene!$F41,"")</f>
        <v/>
      </c>
      <c r="E31" s="27" t="s">
        <v>107</v>
      </c>
    </row>
    <row r="32" spans="2:5" x14ac:dyDescent="0.2">
      <c r="B32" s="28" t="str">
        <f>IF(Ene!$C42="SI",Ene!$B$38,"")</f>
        <v/>
      </c>
      <c r="C32" s="28" t="str">
        <f>IF(Ene!$C42="SI",Ene!$B42,"")</f>
        <v/>
      </c>
      <c r="D32" s="28" t="str">
        <f>IF(Ene!$C42="SI",Ene!$F42,"")</f>
        <v/>
      </c>
      <c r="E32" s="27" t="s">
        <v>107</v>
      </c>
    </row>
    <row r="33" spans="2:5" x14ac:dyDescent="0.2">
      <c r="B33" s="28" t="str">
        <f>IF(Ene!$C43="SI",Ene!$B$38,"")</f>
        <v/>
      </c>
      <c r="C33" s="28" t="str">
        <f>IF(Ene!$C43="SI",Ene!$B43,"")</f>
        <v/>
      </c>
      <c r="D33" s="28" t="str">
        <f>IF(Ene!$C43="SI",Ene!$F43,"")</f>
        <v/>
      </c>
      <c r="E33" s="27" t="s">
        <v>107</v>
      </c>
    </row>
    <row r="34" spans="2:5" x14ac:dyDescent="0.2">
      <c r="B34" s="28" t="str">
        <f>IF(Ene!$C44="SI",Ene!$B$38,"")</f>
        <v/>
      </c>
      <c r="C34" s="28" t="str">
        <f>IF(Ene!$C44="SI",Ene!$B44,"")</f>
        <v/>
      </c>
      <c r="D34" s="28" t="str">
        <f>IF(Ene!$C44="SI",Ene!$F44,"")</f>
        <v/>
      </c>
      <c r="E34" s="27" t="s">
        <v>107</v>
      </c>
    </row>
    <row r="35" spans="2:5" x14ac:dyDescent="0.2">
      <c r="B35" s="28" t="str">
        <f>IF(Ene!$C45="SI",Ene!$B$38,"")</f>
        <v/>
      </c>
      <c r="C35" s="28" t="str">
        <f>IF(Ene!$C45="SI",Ene!$B45,"")</f>
        <v/>
      </c>
      <c r="D35" s="28" t="str">
        <f>IF(Ene!$C45="SI",Ene!$F45,"")</f>
        <v/>
      </c>
      <c r="E35" s="27" t="s">
        <v>107</v>
      </c>
    </row>
    <row r="36" spans="2:5" x14ac:dyDescent="0.2">
      <c r="B36" s="28" t="str">
        <f>IF(Ene!$C49="SI",Ene!$B$48,"")</f>
        <v/>
      </c>
      <c r="C36" s="28" t="str">
        <f>IF(Ene!$C49="SI",Ene!$B49,"")</f>
        <v/>
      </c>
      <c r="D36" s="28" t="str">
        <f>IF(Ene!$C49="SI",Ene!$F49,"")</f>
        <v/>
      </c>
      <c r="E36" s="27" t="s">
        <v>107</v>
      </c>
    </row>
    <row r="37" spans="2:5" x14ac:dyDescent="0.2">
      <c r="B37" s="28" t="str">
        <f>IF(Ene!$C50="SI",Ene!$B$48,"")</f>
        <v/>
      </c>
      <c r="C37" s="28" t="str">
        <f>IF(Ene!$C50="SI",Ene!$B50,"")</f>
        <v/>
      </c>
      <c r="D37" s="28" t="str">
        <f>IF(Ene!$C50="SI",Ene!$F50,"")</f>
        <v/>
      </c>
      <c r="E37" s="27" t="s">
        <v>107</v>
      </c>
    </row>
    <row r="38" spans="2:5" x14ac:dyDescent="0.2">
      <c r="B38" s="28" t="str">
        <f>IF(Ene!$C51="SI",Ene!$B$48,"")</f>
        <v/>
      </c>
      <c r="C38" s="28" t="str">
        <f>IF(Ene!$C51="SI",Ene!$B51,"")</f>
        <v/>
      </c>
      <c r="D38" s="28" t="str">
        <f>IF(Ene!$C51="SI",Ene!$F51,"")</f>
        <v/>
      </c>
      <c r="E38" s="27" t="s">
        <v>107</v>
      </c>
    </row>
    <row r="39" spans="2:5" x14ac:dyDescent="0.2">
      <c r="B39" s="28" t="str">
        <f>IF(Ene!$C52="SI",Ene!$B$48,"")</f>
        <v/>
      </c>
      <c r="C39" s="28" t="str">
        <f>IF(Ene!$C52="SI",Ene!$B52,"")</f>
        <v/>
      </c>
      <c r="D39" s="28" t="str">
        <f>IF(Ene!$C52="SI",Ene!$F52,"")</f>
        <v/>
      </c>
      <c r="E39" s="27" t="s">
        <v>107</v>
      </c>
    </row>
    <row r="40" spans="2:5" x14ac:dyDescent="0.2">
      <c r="B40" s="28" t="str">
        <f>IF(Ene!$C53="SI",Ene!$B$48,"")</f>
        <v/>
      </c>
      <c r="C40" s="28" t="str">
        <f>IF(Ene!$C53="SI",Ene!$B53,"")</f>
        <v/>
      </c>
      <c r="D40" s="28" t="str">
        <f>IF(Ene!$C53="SI",Ene!$F53,"")</f>
        <v/>
      </c>
      <c r="E40" s="27" t="s">
        <v>107</v>
      </c>
    </row>
    <row r="41" spans="2:5" x14ac:dyDescent="0.2">
      <c r="B41" s="28" t="str">
        <f>IF(Ene!$C54="SI",Ene!$B$48,"")</f>
        <v/>
      </c>
      <c r="C41" s="28" t="str">
        <f>IF(Ene!$C54="SI",Ene!$B54,"")</f>
        <v/>
      </c>
      <c r="D41" s="28" t="str">
        <f>IF(Ene!$C54="SI",Ene!$F54,"")</f>
        <v/>
      </c>
      <c r="E41" s="27" t="s">
        <v>107</v>
      </c>
    </row>
    <row r="42" spans="2:5" x14ac:dyDescent="0.2">
      <c r="B42" s="28" t="str">
        <f>IF(Ene!$C58="SI",Ene!$B$57,"")</f>
        <v/>
      </c>
      <c r="C42" s="28" t="str">
        <f>IF(Ene!$C58="SI",Ene!$B58,"")</f>
        <v/>
      </c>
      <c r="D42" s="28" t="str">
        <f>IF(Ene!$C58="SI",Ene!$F58,"")</f>
        <v/>
      </c>
      <c r="E42" s="27" t="s">
        <v>107</v>
      </c>
    </row>
    <row r="43" spans="2:5" x14ac:dyDescent="0.2">
      <c r="B43" s="28" t="str">
        <f>IF(Ene!$C59="SI",Ene!$B$57,"")</f>
        <v/>
      </c>
      <c r="C43" s="28" t="str">
        <f>IF(Ene!$C59="SI",Ene!$B59,"")</f>
        <v/>
      </c>
      <c r="D43" s="28" t="str">
        <f>IF(Ene!$C59="SI",Ene!$F59,"")</f>
        <v/>
      </c>
      <c r="E43" s="27" t="s">
        <v>107</v>
      </c>
    </row>
    <row r="44" spans="2:5" x14ac:dyDescent="0.2">
      <c r="B44" s="28" t="str">
        <f>IF(Ene!$C60="SI",Ene!$B$57,"")</f>
        <v/>
      </c>
      <c r="C44" s="28" t="str">
        <f>IF(Ene!$C60="SI",Ene!$B60,"")</f>
        <v/>
      </c>
      <c r="D44" s="28" t="str">
        <f>IF(Ene!$C60="SI",Ene!$F60,"")</f>
        <v/>
      </c>
      <c r="E44" s="27" t="s">
        <v>107</v>
      </c>
    </row>
    <row r="45" spans="2:5" x14ac:dyDescent="0.2">
      <c r="B45" s="28" t="str">
        <f>IF(Ene!$C61="SI",Ene!$B$57,"")</f>
        <v/>
      </c>
      <c r="C45" s="28" t="str">
        <f>IF(Ene!$C61="SI",Ene!$B61,"")</f>
        <v/>
      </c>
      <c r="D45" s="28" t="str">
        <f>IF(Ene!$C61="SI",Ene!$F61,"")</f>
        <v/>
      </c>
      <c r="E45" s="27" t="s">
        <v>107</v>
      </c>
    </row>
    <row r="46" spans="2:5" x14ac:dyDescent="0.2">
      <c r="B46" s="28" t="str">
        <f>IF(Ene!$C62="SI",Ene!$B$57,"")</f>
        <v/>
      </c>
      <c r="C46" s="28" t="str">
        <f>IF(Ene!$C62="SI",Ene!$B62,"")</f>
        <v/>
      </c>
      <c r="D46" s="28" t="str">
        <f>IF(Ene!$C62="SI",Ene!$F62,"")</f>
        <v/>
      </c>
      <c r="E46" s="27" t="s">
        <v>107</v>
      </c>
    </row>
    <row r="47" spans="2:5" x14ac:dyDescent="0.2">
      <c r="B47" s="28" t="str">
        <f>IF(Ene!$C63="SI",Ene!$B$57,"")</f>
        <v/>
      </c>
      <c r="C47" s="28" t="str">
        <f>IF(Ene!$C63="SI",Ene!$B63,"")</f>
        <v/>
      </c>
      <c r="D47" s="28" t="str">
        <f>IF(Ene!$C63="SI",Ene!$F63,"")</f>
        <v/>
      </c>
      <c r="E47" s="27" t="s">
        <v>107</v>
      </c>
    </row>
    <row r="48" spans="2:5" x14ac:dyDescent="0.2">
      <c r="B48" s="28" t="str">
        <f>IF(Ene!$C64="SI",Ene!$B$57,"")</f>
        <v/>
      </c>
      <c r="C48" s="28" t="str">
        <f>IF(Ene!$C64="SI",Ene!$B64,"")</f>
        <v/>
      </c>
      <c r="D48" s="28" t="str">
        <f>IF(Ene!$C64="SI",Ene!$F64,"")</f>
        <v/>
      </c>
      <c r="E48" s="27" t="s">
        <v>107</v>
      </c>
    </row>
    <row r="49" spans="2:5" x14ac:dyDescent="0.2">
      <c r="B49" s="28" t="str">
        <f>IF(Ene!$C68="SI",Ene!$B$67,"")</f>
        <v/>
      </c>
      <c r="C49" s="28" t="str">
        <f>IF(Ene!$C68="SI",Ene!$B68,"")</f>
        <v/>
      </c>
      <c r="D49" s="28" t="str">
        <f>IF(Ene!$C68="SI",Ene!$F68,"")</f>
        <v/>
      </c>
      <c r="E49" s="27" t="s">
        <v>107</v>
      </c>
    </row>
    <row r="50" spans="2:5" x14ac:dyDescent="0.2">
      <c r="B50" s="28" t="str">
        <f>IF(Ene!$C69="SI",Ene!$B$67,"")</f>
        <v/>
      </c>
      <c r="C50" s="28" t="str">
        <f>IF(Ene!$C69="SI",Ene!$B69,"")</f>
        <v/>
      </c>
      <c r="D50" s="28" t="str">
        <f>IF(Ene!$C69="SI",Ene!$F69,"")</f>
        <v/>
      </c>
      <c r="E50" s="27" t="s">
        <v>107</v>
      </c>
    </row>
    <row r="51" spans="2:5" x14ac:dyDescent="0.2">
      <c r="B51" s="28" t="str">
        <f>IF(Ene!$C70="SI",Ene!$B$67,"")</f>
        <v/>
      </c>
      <c r="C51" s="28" t="str">
        <f>IF(Ene!$C70="SI",Ene!$B70,"")</f>
        <v/>
      </c>
      <c r="D51" s="28" t="str">
        <f>IF(Ene!$C70="SI",Ene!$F70,"")</f>
        <v/>
      </c>
      <c r="E51" s="27" t="s">
        <v>107</v>
      </c>
    </row>
    <row r="52" spans="2:5" x14ac:dyDescent="0.2">
      <c r="B52" s="28" t="str">
        <f>IF(Ene!$C71="SI",Ene!$B$67,"")</f>
        <v/>
      </c>
      <c r="C52" s="28" t="str">
        <f>IF(Ene!$C71="SI",Ene!$B71,"")</f>
        <v/>
      </c>
      <c r="D52" s="28" t="str">
        <f>IF(Ene!$C71="SI",Ene!$F71,"")</f>
        <v/>
      </c>
      <c r="E52" s="27" t="s">
        <v>107</v>
      </c>
    </row>
    <row r="53" spans="2:5" x14ac:dyDescent="0.2">
      <c r="B53" s="28" t="str">
        <f>IF(Ene!$C72="SI",Ene!$B$67,"")</f>
        <v/>
      </c>
      <c r="C53" s="28" t="str">
        <f>IF(Ene!$C72="SI",Ene!$B72,"")</f>
        <v/>
      </c>
      <c r="D53" s="28" t="str">
        <f>IF(Ene!$C72="SI",Ene!$F72,"")</f>
        <v/>
      </c>
      <c r="E53" s="27" t="s">
        <v>107</v>
      </c>
    </row>
    <row r="54" spans="2:5" x14ac:dyDescent="0.2">
      <c r="B54" s="28" t="str">
        <f>IF(Ene!$C73="SI",Ene!$B$67,"")</f>
        <v/>
      </c>
      <c r="C54" s="28" t="str">
        <f>IF(Ene!$C73="SI",Ene!$B73,"")</f>
        <v/>
      </c>
      <c r="D54" s="28" t="str">
        <f>IF(Ene!$C73="SI",Ene!$F73,"")</f>
        <v/>
      </c>
      <c r="E54" s="27" t="s">
        <v>107</v>
      </c>
    </row>
    <row r="55" spans="2:5" x14ac:dyDescent="0.2">
      <c r="B55" s="28" t="str">
        <f>IF(Ene!$C74="SI",Ene!$B$67,"")</f>
        <v/>
      </c>
      <c r="C55" s="28" t="str">
        <f>IF(Ene!$C74="SI",Ene!$B74,"")</f>
        <v/>
      </c>
      <c r="D55" s="28" t="str">
        <f>IF(Ene!$C74="SI",Ene!$F74,"")</f>
        <v/>
      </c>
      <c r="E55" s="27" t="s">
        <v>107</v>
      </c>
    </row>
    <row r="56" spans="2:5" x14ac:dyDescent="0.2">
      <c r="B56" s="28" t="str">
        <f>IF(Ene!$C75="SI",Ene!$B$67,"")</f>
        <v/>
      </c>
      <c r="C56" s="28" t="str">
        <f>IF(Ene!$C75="SI",Ene!$B75,"")</f>
        <v/>
      </c>
      <c r="D56" s="28" t="str">
        <f>IF(Ene!$C75="SI",Ene!$F75,"")</f>
        <v/>
      </c>
      <c r="E56" s="27" t="s">
        <v>107</v>
      </c>
    </row>
    <row r="57" spans="2:5" x14ac:dyDescent="0.2">
      <c r="B57" s="28" t="str">
        <f>IF(Ene!$C76="SI",Ene!$B$67,"")</f>
        <v/>
      </c>
      <c r="C57" s="28" t="str">
        <f>IF(Ene!$C76="SI",Ene!$B76,"")</f>
        <v/>
      </c>
      <c r="D57" s="28" t="str">
        <f>IF(Ene!$C76="SI",Ene!$F76,"")</f>
        <v/>
      </c>
      <c r="E57" s="27" t="s">
        <v>107</v>
      </c>
    </row>
    <row r="58" spans="2:5" x14ac:dyDescent="0.2">
      <c r="B58" s="28" t="str">
        <f>IF(Ene!$C77="SI",Ene!$B$67,"")</f>
        <v/>
      </c>
      <c r="C58" s="28" t="str">
        <f>IF(Ene!$C77="SI",Ene!$B77,"")</f>
        <v/>
      </c>
      <c r="D58" s="28" t="str">
        <f>IF(Ene!$C77="SI",Ene!$F77,"")</f>
        <v/>
      </c>
      <c r="E58" s="27" t="s">
        <v>107</v>
      </c>
    </row>
    <row r="59" spans="2:5" x14ac:dyDescent="0.2">
      <c r="B59" s="28" t="str">
        <f>IF(Ene!$C78="SI",Ene!$B$67,"")</f>
        <v/>
      </c>
      <c r="C59" s="28" t="str">
        <f>IF(Ene!$C78="SI",Ene!$B78,"")</f>
        <v/>
      </c>
      <c r="D59" s="28" t="str">
        <f>IF(Ene!$C78="SI",Ene!$F78,"")</f>
        <v/>
      </c>
      <c r="E59" s="27" t="s">
        <v>107</v>
      </c>
    </row>
    <row r="60" spans="2:5" x14ac:dyDescent="0.2">
      <c r="B60" s="28" t="str">
        <f>IF(Ene!$C82="SI",Ene!$B$81,"")</f>
        <v/>
      </c>
      <c r="C60" s="28" t="str">
        <f>IF(Ene!$C82="SI",Ene!$B82,"")</f>
        <v/>
      </c>
      <c r="D60" s="28" t="str">
        <f>IF(Ene!$C82="SI",Ene!$F82,"")</f>
        <v/>
      </c>
      <c r="E60" s="27" t="s">
        <v>107</v>
      </c>
    </row>
    <row r="61" spans="2:5" x14ac:dyDescent="0.2">
      <c r="B61" s="28" t="str">
        <f>IF(Ene!$C83="SI",Ene!$B$81,"")</f>
        <v/>
      </c>
      <c r="C61" s="28" t="str">
        <f>IF(Ene!$C83="SI",Ene!$B83,"")</f>
        <v/>
      </c>
      <c r="D61" s="28" t="str">
        <f>IF(Ene!$C83="SI",Ene!$F83,"")</f>
        <v/>
      </c>
      <c r="E61" s="27" t="s">
        <v>107</v>
      </c>
    </row>
    <row r="62" spans="2:5" x14ac:dyDescent="0.2">
      <c r="B62" s="28" t="str">
        <f>IF(Ene!$C84="SI",Ene!$B$81,"")</f>
        <v/>
      </c>
      <c r="C62" s="28" t="str">
        <f>IF(Ene!$C84="SI",Ene!$B84,"")</f>
        <v/>
      </c>
      <c r="D62" s="28" t="str">
        <f>IF(Ene!$C84="SI",Ene!$F84,"")</f>
        <v/>
      </c>
      <c r="E62" s="27" t="s">
        <v>107</v>
      </c>
    </row>
    <row r="63" spans="2:5" x14ac:dyDescent="0.2">
      <c r="B63" s="28" t="str">
        <f>IF(Ene!$C85="SI",Ene!$B$81,"")</f>
        <v/>
      </c>
      <c r="C63" s="28" t="str">
        <f>IF(Ene!$C85="SI",Ene!$B85,"")</f>
        <v/>
      </c>
      <c r="D63" s="28" t="str">
        <f>IF(Ene!$C85="SI",Ene!$F85,"")</f>
        <v/>
      </c>
      <c r="E63" s="27" t="s">
        <v>107</v>
      </c>
    </row>
    <row r="64" spans="2:5" x14ac:dyDescent="0.2">
      <c r="B64" s="28" t="str">
        <f>IF(Ene!$C86="SI",Ene!$B$81,"")</f>
        <v/>
      </c>
      <c r="C64" s="28" t="str">
        <f>IF(Ene!$C86="SI",Ene!$B86,"")</f>
        <v/>
      </c>
      <c r="D64" s="28" t="str">
        <f>IF(Ene!$C86="SI",Ene!$F86,"")</f>
        <v/>
      </c>
      <c r="E64" s="27" t="s">
        <v>107</v>
      </c>
    </row>
    <row r="65" spans="2:5" x14ac:dyDescent="0.2">
      <c r="B65" s="28" t="str">
        <f>IF(Ene!$C87="SI",Ene!$B$81,"")</f>
        <v/>
      </c>
      <c r="C65" s="28" t="str">
        <f>IF(Ene!$C87="SI",Ene!$B87,"")</f>
        <v/>
      </c>
      <c r="D65" s="28" t="str">
        <f>IF(Ene!$C87="SI",Ene!$F87,"")</f>
        <v/>
      </c>
      <c r="E65" s="27" t="s">
        <v>107</v>
      </c>
    </row>
    <row r="66" spans="2:5" x14ac:dyDescent="0.2">
      <c r="B66" s="28" t="str">
        <f>IF(Ene!$C91="SI",Ene!$B$90,"")</f>
        <v/>
      </c>
      <c r="C66" s="28" t="str">
        <f>IF(Ene!$C91="SI",Ene!$B91,"")</f>
        <v/>
      </c>
      <c r="D66" s="28" t="str">
        <f>IF(Ene!$C91="SI",Ene!$F91,"")</f>
        <v/>
      </c>
      <c r="E66" s="27" t="s">
        <v>107</v>
      </c>
    </row>
    <row r="67" spans="2:5" x14ac:dyDescent="0.2">
      <c r="B67" s="28" t="str">
        <f>IF(Ene!$C92="SI",Ene!$B$90,"")</f>
        <v/>
      </c>
      <c r="C67" s="28" t="str">
        <f>IF(Ene!$C92="SI",Ene!$B92,"")</f>
        <v/>
      </c>
      <c r="D67" s="28" t="str">
        <f>IF(Ene!$C92="SI",Ene!$F92,"")</f>
        <v/>
      </c>
      <c r="E67" s="27" t="s">
        <v>107</v>
      </c>
    </row>
    <row r="68" spans="2:5" x14ac:dyDescent="0.2">
      <c r="B68" s="28" t="str">
        <f>IF(Ene!$C93="SI",Ene!$B$90,"")</f>
        <v/>
      </c>
      <c r="C68" s="28" t="str">
        <f>IF(Ene!$C93="SI",Ene!$B93,"")</f>
        <v/>
      </c>
      <c r="D68" s="28" t="str">
        <f>IF(Ene!$C93="SI",Ene!$F93,"")</f>
        <v/>
      </c>
      <c r="E68" s="27" t="s">
        <v>107</v>
      </c>
    </row>
    <row r="69" spans="2:5" x14ac:dyDescent="0.2">
      <c r="B69" s="28" t="str">
        <f>IF(Ene!$C94="SI",Ene!$B$90,"")</f>
        <v/>
      </c>
      <c r="C69" s="28" t="str">
        <f>IF(Ene!$C94="SI",Ene!$B94,"")</f>
        <v/>
      </c>
      <c r="D69" s="28" t="str">
        <f>IF(Ene!$C94="SI",Ene!$F94,"")</f>
        <v/>
      </c>
      <c r="E69" s="27" t="s">
        <v>107</v>
      </c>
    </row>
    <row r="70" spans="2:5" x14ac:dyDescent="0.2">
      <c r="B70" s="28" t="str">
        <f>IF(Ene!$C95="SI",Ene!$B$90,"")</f>
        <v/>
      </c>
      <c r="C70" s="28" t="str">
        <f>IF(Ene!$C95="SI",Ene!$B95,"")</f>
        <v/>
      </c>
      <c r="D70" s="28" t="str">
        <f>IF(Ene!$C95="SI",Ene!$F95,"")</f>
        <v/>
      </c>
      <c r="E70" s="27" t="s">
        <v>107</v>
      </c>
    </row>
    <row r="71" spans="2:5" x14ac:dyDescent="0.2">
      <c r="B71" s="28" t="str">
        <f>IF(Ene!$C96="SI",Ene!$B$90,"")</f>
        <v/>
      </c>
      <c r="C71" s="28" t="str">
        <f>IF(Ene!$C96="SI",Ene!$B96,"")</f>
        <v/>
      </c>
      <c r="D71" s="28" t="str">
        <f>IF(Ene!$C96="SI",Ene!$F96,"")</f>
        <v/>
      </c>
      <c r="E71" s="27" t="s">
        <v>107</v>
      </c>
    </row>
    <row r="72" spans="2:5" x14ac:dyDescent="0.2">
      <c r="B72" s="28" t="str">
        <f>IF(Ene!$C97="SI",Ene!$B$90,"")</f>
        <v/>
      </c>
      <c r="C72" s="28" t="str">
        <f>IF(Ene!$C97="SI",Ene!$B97,"")</f>
        <v/>
      </c>
      <c r="D72" s="28" t="str">
        <f>IF(Ene!$C97="SI",Ene!$F97,"")</f>
        <v/>
      </c>
      <c r="E72" s="27" t="s">
        <v>107</v>
      </c>
    </row>
    <row r="73" spans="2:5" x14ac:dyDescent="0.2">
      <c r="B73" s="28" t="str">
        <f>IF(Ene!$C101="SI",Ene!$B$100,"")</f>
        <v/>
      </c>
      <c r="C73" s="28" t="str">
        <f>IF(Ene!$C101="SI",Ene!$B101,"")</f>
        <v/>
      </c>
      <c r="D73" s="28" t="str">
        <f>IF(Ene!$C101="SI",Ene!$F101,"")</f>
        <v/>
      </c>
      <c r="E73" s="27" t="s">
        <v>107</v>
      </c>
    </row>
    <row r="74" spans="2:5" x14ac:dyDescent="0.2">
      <c r="B74" s="28" t="str">
        <f>IF(Ene!$C102="SI",Ene!$B$100,"")</f>
        <v/>
      </c>
      <c r="C74" s="28" t="str">
        <f>IF(Ene!$C102="SI",Ene!$B102,"")</f>
        <v/>
      </c>
      <c r="D74" s="28" t="str">
        <f>IF(Ene!$C102="SI",Ene!$F102,"")</f>
        <v/>
      </c>
      <c r="E74" s="27" t="s">
        <v>107</v>
      </c>
    </row>
    <row r="75" spans="2:5" x14ac:dyDescent="0.2">
      <c r="B75" s="28" t="str">
        <f>IF(Ene!$C103="SI",Ene!$B$100,"")</f>
        <v/>
      </c>
      <c r="C75" s="28" t="str">
        <f>IF(Ene!$C103="SI",Ene!$B103,"")</f>
        <v/>
      </c>
      <c r="D75" s="28" t="str">
        <f>IF(Ene!$C103="SI",Ene!$F103,"")</f>
        <v/>
      </c>
      <c r="E75" s="27" t="s">
        <v>107</v>
      </c>
    </row>
    <row r="76" spans="2:5" x14ac:dyDescent="0.2">
      <c r="B76" s="28" t="str">
        <f>IF(Ene!$C104="SI",Ene!$B$100,"")</f>
        <v/>
      </c>
      <c r="C76" s="28" t="str">
        <f>IF(Ene!$C104="SI",Ene!$B104,"")</f>
        <v/>
      </c>
      <c r="D76" s="28" t="str">
        <f>IF(Ene!$C104="SI",Ene!$F104,"")</f>
        <v/>
      </c>
      <c r="E76" s="27" t="s">
        <v>107</v>
      </c>
    </row>
    <row r="77" spans="2:5" x14ac:dyDescent="0.2">
      <c r="B77" s="28" t="str">
        <f>IF(Ene!$C105="SI",Ene!$B$100,"")</f>
        <v/>
      </c>
      <c r="C77" s="28" t="str">
        <f>IF(Ene!$C105="SI",Ene!$B105,"")</f>
        <v/>
      </c>
      <c r="D77" s="28" t="str">
        <f>IF(Ene!$C105="SI",Ene!$F105,"")</f>
        <v/>
      </c>
      <c r="E77" s="27" t="s">
        <v>107</v>
      </c>
    </row>
    <row r="78" spans="2:5" x14ac:dyDescent="0.2">
      <c r="B78" s="28" t="str">
        <f>IF(Ene!$C106="SI",Ene!$B$100,"")</f>
        <v/>
      </c>
      <c r="C78" s="28" t="str">
        <f>IF(Ene!$C106="SI",Ene!$B106,"")</f>
        <v/>
      </c>
      <c r="D78" s="28" t="str">
        <f>IF(Ene!$C106="SI",Ene!$F106,"")</f>
        <v/>
      </c>
      <c r="E78" s="27" t="s">
        <v>107</v>
      </c>
    </row>
    <row r="79" spans="2:5" x14ac:dyDescent="0.2">
      <c r="B79" s="28" t="str">
        <f>IF(Ene!$C107="SI",Ene!$B$100,"")</f>
        <v/>
      </c>
      <c r="C79" s="28" t="str">
        <f>IF(Ene!$C107="SI",Ene!$B107,"")</f>
        <v/>
      </c>
      <c r="D79" s="28" t="str">
        <f>IF(Ene!$C107="SI",Ene!$F107,"")</f>
        <v/>
      </c>
      <c r="E79" s="27" t="s">
        <v>107</v>
      </c>
    </row>
    <row r="80" spans="2:5" x14ac:dyDescent="0.2">
      <c r="B80" s="29"/>
      <c r="C80" s="29"/>
      <c r="D80" s="29"/>
      <c r="E80" s="27" t="s">
        <v>107</v>
      </c>
    </row>
    <row r="81" spans="2:5" x14ac:dyDescent="0.2">
      <c r="B81" s="28" t="str">
        <f>IF(Ene!$I13="SI",Ene!$H$12,"")</f>
        <v>AHORROS</v>
      </c>
      <c r="C81" s="28" t="str">
        <f>IF(Ene!$I13="SI",Ene!$H13,"")</f>
        <v xml:space="preserve">Efectivo </v>
      </c>
      <c r="D81" s="28">
        <f>IF(Ene!$I13="SI",Ene!$L13,"")</f>
        <v>400000</v>
      </c>
      <c r="E81" s="27" t="s">
        <v>107</v>
      </c>
    </row>
    <row r="82" spans="2:5" x14ac:dyDescent="0.2">
      <c r="B82" s="28" t="str">
        <f>IF(Ene!$I14="SI",Ene!$H$12,"")</f>
        <v>AHORROS</v>
      </c>
      <c r="C82" s="28" t="str">
        <f>IF(Ene!$I14="SI",Ene!$H14,"")</f>
        <v>Cuenta Bancol</v>
      </c>
      <c r="D82" s="28">
        <f>IF(Ene!$I14="SI",Ene!$L14,"")</f>
        <v>0</v>
      </c>
      <c r="E82" s="27" t="s">
        <v>107</v>
      </c>
    </row>
    <row r="83" spans="2:5" x14ac:dyDescent="0.2">
      <c r="B83" s="28" t="str">
        <f>IF(Ene!$I15="SI",Ene!$H$12,"")</f>
        <v>AHORROS</v>
      </c>
      <c r="C83" s="28" t="str">
        <f>IF(Ene!$I15="SI",Ene!$H15,"")</f>
        <v>pension voluntaria ahorro casa</v>
      </c>
      <c r="D83" s="28">
        <f>IF(Ene!$I15="SI",Ene!$L15,"")</f>
        <v>1850000</v>
      </c>
      <c r="E83" s="27" t="s">
        <v>107</v>
      </c>
    </row>
    <row r="84" spans="2:5" x14ac:dyDescent="0.2">
      <c r="B84" s="28" t="str">
        <f>IF(Ene!$I16="SI",Ene!$H$12,"")</f>
        <v>AHORROS</v>
      </c>
      <c r="C84" s="28" t="str">
        <f>IF(Ene!$I16="SI",Ene!$H16,"")</f>
        <v>Investor trust 1200</v>
      </c>
      <c r="D84" s="28">
        <f>IF(Ene!$I16="SI",Ene!$L16,"")</f>
        <v>385000</v>
      </c>
      <c r="E84" s="27" t="s">
        <v>107</v>
      </c>
    </row>
    <row r="85" spans="2:5" x14ac:dyDescent="0.2">
      <c r="B85" s="28" t="str">
        <f>IF(Ene!$I17="SI",Ene!$H$12,"")</f>
        <v>AHORROS</v>
      </c>
      <c r="C85" s="28" t="str">
        <f>IF(Ene!$I17="SI",Ene!$H17,"")</f>
        <v>Investor trust 2400</v>
      </c>
      <c r="D85" s="28">
        <f>IF(Ene!$I17="SI",Ene!$L17,"")</f>
        <v>770000</v>
      </c>
      <c r="E85" s="27" t="s">
        <v>107</v>
      </c>
    </row>
    <row r="86" spans="2:5" x14ac:dyDescent="0.2">
      <c r="B86" s="28" t="str">
        <f>IF(Ene!$I18="SI",Ene!$H$12,"")</f>
        <v>AHORROS</v>
      </c>
      <c r="C86" s="28" t="str">
        <f>IF(Ene!$I18="SI",Ene!$H18,"")</f>
        <v>poliza pensiones skandia</v>
      </c>
      <c r="D86" s="28">
        <f>IF(Ene!$I18="SI",Ene!$L18,"")</f>
        <v>336000</v>
      </c>
      <c r="E86" s="27" t="s">
        <v>107</v>
      </c>
    </row>
    <row r="87" spans="2:5" x14ac:dyDescent="0.2">
      <c r="B87" s="28" t="str">
        <f>IF(Ene!$I19="SI",Ene!$H$12,"")</f>
        <v>AHORROS</v>
      </c>
      <c r="C87" s="28" t="str">
        <f>IF(Ene!$I19="SI",Ene!$H19,"")</f>
        <v>Fondo de emergencia lulo</v>
      </c>
      <c r="D87" s="28">
        <f>IF(Ene!$I19="SI",Ene!$L19,"")</f>
        <v>0</v>
      </c>
      <c r="E87" s="27" t="s">
        <v>107</v>
      </c>
    </row>
    <row r="88" spans="2:5" x14ac:dyDescent="0.2">
      <c r="B88" s="28" t="str">
        <f>IF(Ene!$I20="SI",Ene!$H$12,"")</f>
        <v>AHORROS</v>
      </c>
      <c r="C88" s="28" t="str">
        <f>IF(Ene!$I20="SI",Ene!$H20,"")</f>
        <v>Littio</v>
      </c>
      <c r="D88" s="28">
        <f>IF(Ene!$I20="SI",Ene!$L20,"")</f>
        <v>100000</v>
      </c>
      <c r="E88" s="27" t="s">
        <v>107</v>
      </c>
    </row>
    <row r="89" spans="2:5" x14ac:dyDescent="0.2">
      <c r="B89" s="28" t="str">
        <f>IF(Ene!$I21="SI",Ene!$H$12,"")</f>
        <v>AHORROS</v>
      </c>
      <c r="C89" s="28" t="str">
        <f>IF(Ene!$I21="SI",Ene!$H21,"")</f>
        <v>Nequi</v>
      </c>
      <c r="D89" s="28">
        <f>IF(Ene!$I21="SI",Ene!$L21,"")</f>
        <v>0</v>
      </c>
      <c r="E89" s="27" t="s">
        <v>107</v>
      </c>
    </row>
    <row r="90" spans="2:5" x14ac:dyDescent="0.2">
      <c r="B90" s="28" t="str">
        <f>IF(Ene!$I22="SI",Ene!$H$12,"")</f>
        <v>AHORROS</v>
      </c>
      <c r="C90" s="28" t="str">
        <f>IF(Ene!$I22="SI",Ene!$H22,"")</f>
        <v>viajes varios</v>
      </c>
      <c r="D90" s="28">
        <f>IF(Ene!$I22="SI",Ene!$L22,"")</f>
        <v>300000</v>
      </c>
      <c r="E90" s="27" t="s">
        <v>107</v>
      </c>
    </row>
    <row r="91" spans="2:5" x14ac:dyDescent="0.2">
      <c r="B91" s="28" t="str">
        <f>IF(Ene!$I23="SI",Ene!$H$12,"")</f>
        <v>AHORROS</v>
      </c>
      <c r="C91" s="28" t="str">
        <f>IF(Ene!$I23="SI",Ene!$H23,"")</f>
        <v>Viaje Japon lulo</v>
      </c>
      <c r="D91" s="28">
        <f>IF(Ene!$I23="SI",Ene!$L23,"")</f>
        <v>1331710</v>
      </c>
      <c r="E91" s="27" t="s">
        <v>107</v>
      </c>
    </row>
    <row r="92" spans="2:5" x14ac:dyDescent="0.2">
      <c r="B92" s="28" t="str">
        <f>IF(Ene!$I24="SI",Ene!$H$12,"")</f>
        <v>AHORROS</v>
      </c>
      <c r="C92" s="28" t="str">
        <f>IF(Ene!$I24="SI",Ene!$H24,"")</f>
        <v>Viaje Estados unidos lulo</v>
      </c>
      <c r="D92" s="28">
        <f>IF(Ene!$I24="SI",Ene!$L24,"")</f>
        <v>1727928</v>
      </c>
      <c r="E92" s="27" t="s">
        <v>107</v>
      </c>
    </row>
    <row r="93" spans="2:5" x14ac:dyDescent="0.2">
      <c r="B93" s="28" t="str">
        <f>IF(Ene!$I28="SI",Ene!$H$27,"")</f>
        <v/>
      </c>
      <c r="C93" s="28" t="str">
        <f>IF(Ene!$I28="SI",Ene!$H28,"")</f>
        <v/>
      </c>
      <c r="D93" s="28" t="str">
        <f>IF(Ene!$I28="SI",Ene!$L28,"")</f>
        <v/>
      </c>
      <c r="E93" s="27" t="s">
        <v>107</v>
      </c>
    </row>
    <row r="94" spans="2:5" x14ac:dyDescent="0.2">
      <c r="B94" s="28" t="str">
        <f>IF(Ene!$I29="SI",Ene!$H$27,"")</f>
        <v/>
      </c>
      <c r="C94" s="28" t="str">
        <f>IF(Ene!$I29="SI",Ene!$H29,"")</f>
        <v/>
      </c>
      <c r="D94" s="28" t="str">
        <f>IF(Ene!$I29="SI",Ene!$L29,"")</f>
        <v/>
      </c>
      <c r="E94" s="27" t="s">
        <v>107</v>
      </c>
    </row>
    <row r="95" spans="2:5" x14ac:dyDescent="0.2">
      <c r="B95" s="28" t="str">
        <f>IF(Ene!$I30="SI",Ene!$H$27,"")</f>
        <v/>
      </c>
      <c r="C95" s="28" t="str">
        <f>IF(Ene!$I30="SI",Ene!$H30,"")</f>
        <v/>
      </c>
      <c r="D95" s="28" t="str">
        <f>IF(Ene!$I30="SI",Ene!$L30,"")</f>
        <v/>
      </c>
      <c r="E95" s="27" t="s">
        <v>107</v>
      </c>
    </row>
    <row r="96" spans="2:5" x14ac:dyDescent="0.2">
      <c r="B96" s="28" t="str">
        <f>IF(Ene!$I31="SI",Ene!$H$27,"")</f>
        <v/>
      </c>
      <c r="C96" s="28" t="str">
        <f>IF(Ene!$I31="SI",Ene!$H31,"")</f>
        <v/>
      </c>
      <c r="D96" s="28" t="str">
        <f>IF(Ene!$I31="SI",Ene!$L31,"")</f>
        <v/>
      </c>
      <c r="E96" s="27" t="s">
        <v>107</v>
      </c>
    </row>
    <row r="97" spans="2:5" x14ac:dyDescent="0.2">
      <c r="B97" s="28" t="str">
        <f>IF(Ene!$I32="SI",Ene!$H$27,"")</f>
        <v/>
      </c>
      <c r="C97" s="28" t="str">
        <f>IF(Ene!$I32="SI",Ene!$H32,"")</f>
        <v/>
      </c>
      <c r="D97" s="28" t="str">
        <f>IF(Ene!$I32="SI",Ene!$L32,"")</f>
        <v/>
      </c>
      <c r="E97" s="27" t="s">
        <v>107</v>
      </c>
    </row>
    <row r="98" spans="2:5" x14ac:dyDescent="0.2">
      <c r="B98" s="28" t="str">
        <f>IF(Ene!$I33="SI",Ene!$H$27,"")</f>
        <v/>
      </c>
      <c r="C98" s="28" t="str">
        <f>IF(Ene!$I33="SI",Ene!$H33,"")</f>
        <v/>
      </c>
      <c r="D98" s="28" t="str">
        <f>IF(Ene!$I33="SI",Ene!$L33,"")</f>
        <v/>
      </c>
      <c r="E98" s="27" t="s">
        <v>107</v>
      </c>
    </row>
    <row r="99" spans="2:5" x14ac:dyDescent="0.2">
      <c r="B99" s="28" t="str">
        <f>IF(Ene!$I34="SI",Ene!$H$27,"")</f>
        <v/>
      </c>
      <c r="C99" s="28" t="str">
        <f>IF(Ene!$I34="SI",Ene!$H34,"")</f>
        <v/>
      </c>
      <c r="D99" s="28" t="str">
        <f>IF(Ene!$I34="SI",Ene!$L34,"")</f>
        <v/>
      </c>
      <c r="E99" s="27" t="s">
        <v>107</v>
      </c>
    </row>
    <row r="100" spans="2:5" x14ac:dyDescent="0.2">
      <c r="B100" s="28" t="str">
        <f>IF(Ene!$I35="SI",Ene!$H$27,"")</f>
        <v/>
      </c>
      <c r="C100" s="28" t="str">
        <f>IF(Ene!$I35="SI",Ene!$H35,"")</f>
        <v/>
      </c>
      <c r="D100" s="28" t="str">
        <f>IF(Ene!$I35="SI",Ene!$L35,"")</f>
        <v/>
      </c>
      <c r="E100" s="27" t="s">
        <v>107</v>
      </c>
    </row>
    <row r="101" spans="2:5" x14ac:dyDescent="0.2">
      <c r="B101" s="28" t="str">
        <f>IF(Ene!$I39="SI",Ene!$H$38,"")</f>
        <v/>
      </c>
      <c r="C101" s="28" t="str">
        <f>IF(Ene!$I39="SI",Ene!$H39,"")</f>
        <v/>
      </c>
      <c r="D101" s="28" t="str">
        <f>IF(Ene!$I39="SI",Ene!$L39,"")</f>
        <v/>
      </c>
      <c r="E101" s="27" t="s">
        <v>107</v>
      </c>
    </row>
    <row r="102" spans="2:5" x14ac:dyDescent="0.2">
      <c r="B102" s="28" t="str">
        <f>IF(Ene!$I40="SI",Ene!$H$38,"")</f>
        <v/>
      </c>
      <c r="C102" s="28" t="str">
        <f>IF(Ene!$I40="SI",Ene!$H40,"")</f>
        <v/>
      </c>
      <c r="D102" s="28" t="str">
        <f>IF(Ene!$I40="SI",Ene!$L40,"")</f>
        <v/>
      </c>
      <c r="E102" s="27" t="s">
        <v>107</v>
      </c>
    </row>
    <row r="103" spans="2:5" x14ac:dyDescent="0.2">
      <c r="B103" s="28" t="str">
        <f>IF(Ene!$I41="SI",Ene!$H$38,"")</f>
        <v/>
      </c>
      <c r="C103" s="28" t="str">
        <f>IF(Ene!$I41="SI",Ene!$H41,"")</f>
        <v/>
      </c>
      <c r="D103" s="28" t="str">
        <f>IF(Ene!$I41="SI",Ene!$L41,"")</f>
        <v/>
      </c>
      <c r="E103" s="27" t="s">
        <v>107</v>
      </c>
    </row>
    <row r="104" spans="2:5" x14ac:dyDescent="0.2">
      <c r="B104" s="28" t="str">
        <f>IF(Ene!$I42="SI",Ene!$H$38,"")</f>
        <v>TRANSPORTE</v>
      </c>
      <c r="C104" s="28" t="str">
        <f>IF(Ene!$I42="SI",Ene!$H42,"")</f>
        <v>Impuestos lulo</v>
      </c>
      <c r="D104" s="28">
        <f>IF(Ene!$I42="SI",Ene!$L42,"")</f>
        <v>500000</v>
      </c>
      <c r="E104" s="27" t="s">
        <v>107</v>
      </c>
    </row>
    <row r="105" spans="2:5" x14ac:dyDescent="0.2">
      <c r="B105" s="28" t="str">
        <f>IF(Ene!$I43="SI",Ene!$H$38,"")</f>
        <v/>
      </c>
      <c r="C105" s="28" t="str">
        <f>IF(Ene!$I43="SI",Ene!$H43,"")</f>
        <v/>
      </c>
      <c r="D105" s="28" t="str">
        <f>IF(Ene!$I43="SI",Ene!$L43,"")</f>
        <v/>
      </c>
      <c r="E105" s="27" t="s">
        <v>107</v>
      </c>
    </row>
    <row r="106" spans="2:5" x14ac:dyDescent="0.2">
      <c r="B106" s="28" t="str">
        <f>IF(Ene!$I44="SI",Ene!$H$38,"")</f>
        <v/>
      </c>
      <c r="C106" s="28" t="str">
        <f>IF(Ene!$I44="SI",Ene!$H44,"")</f>
        <v/>
      </c>
      <c r="D106" s="28" t="str">
        <f>IF(Ene!$I44="SI",Ene!$L44,"")</f>
        <v/>
      </c>
      <c r="E106" s="27" t="s">
        <v>107</v>
      </c>
    </row>
    <row r="107" spans="2:5" x14ac:dyDescent="0.2">
      <c r="B107" s="28" t="str">
        <f>IF(Ene!$I45="SI",Ene!$H$38,"")</f>
        <v/>
      </c>
      <c r="C107" s="28" t="str">
        <f>IF(Ene!$I45="SI",Ene!$H45,"")</f>
        <v/>
      </c>
      <c r="D107" s="28" t="str">
        <f>IF(Ene!$I45="SI",Ene!$L45,"")</f>
        <v/>
      </c>
      <c r="E107" s="27" t="s">
        <v>107</v>
      </c>
    </row>
    <row r="108" spans="2:5" x14ac:dyDescent="0.2">
      <c r="B108" s="28" t="str">
        <f>IF(Ene!$I49="SI",Ene!$H$48,"")</f>
        <v>SEGUROS</v>
      </c>
      <c r="C108" s="28" t="str">
        <f>IF(Ene!$I49="SI",Ene!$H49,"")</f>
        <v>Carro lulo</v>
      </c>
      <c r="D108" s="28">
        <f>IF(Ene!$I49="SI",Ene!$L49,"")</f>
        <v>500000</v>
      </c>
      <c r="E108" s="27" t="s">
        <v>107</v>
      </c>
    </row>
    <row r="109" spans="2:5" x14ac:dyDescent="0.2">
      <c r="B109" s="28" t="str">
        <f>IF(Ene!$I50="SI",Ene!$H$48,"")</f>
        <v/>
      </c>
      <c r="C109" s="28" t="str">
        <f>IF(Ene!$I50="SI",Ene!$H50,"")</f>
        <v/>
      </c>
      <c r="D109" s="28" t="str">
        <f>IF(Ene!$I50="SI",Ene!$L50,"")</f>
        <v/>
      </c>
      <c r="E109" s="27" t="s">
        <v>107</v>
      </c>
    </row>
    <row r="110" spans="2:5" x14ac:dyDescent="0.2">
      <c r="B110" s="28" t="str">
        <f>IF(Ene!$I51="SI",Ene!$H$48,"")</f>
        <v/>
      </c>
      <c r="C110" s="28" t="str">
        <f>IF(Ene!$I51="SI",Ene!$H51,"")</f>
        <v/>
      </c>
      <c r="D110" s="28" t="str">
        <f>IF(Ene!$I51="SI",Ene!$L51,"")</f>
        <v/>
      </c>
      <c r="E110" s="27" t="s">
        <v>107</v>
      </c>
    </row>
    <row r="111" spans="2:5" x14ac:dyDescent="0.2">
      <c r="B111" s="28" t="str">
        <f>IF(Ene!$I52="SI",Ene!$H$48,"")</f>
        <v/>
      </c>
      <c r="C111" s="28" t="str">
        <f>IF(Ene!$I52="SI",Ene!$H52,"")</f>
        <v/>
      </c>
      <c r="D111" s="28" t="str">
        <f>IF(Ene!$I52="SI",Ene!$L52,"")</f>
        <v/>
      </c>
      <c r="E111" s="27" t="s">
        <v>107</v>
      </c>
    </row>
    <row r="112" spans="2:5" x14ac:dyDescent="0.2">
      <c r="B112" s="28" t="str">
        <f>IF(Ene!$I53="SI",Ene!$H$48,"")</f>
        <v/>
      </c>
      <c r="C112" s="28" t="str">
        <f>IF(Ene!$I53="SI",Ene!$H53,"")</f>
        <v/>
      </c>
      <c r="D112" s="28" t="str">
        <f>IF(Ene!$I53="SI",Ene!$L53,"")</f>
        <v/>
      </c>
      <c r="E112" s="27" t="s">
        <v>107</v>
      </c>
    </row>
    <row r="113" spans="2:5" x14ac:dyDescent="0.2">
      <c r="B113" s="28" t="str">
        <f>IF(Ene!$I54="SI",Ene!$H$48,"")</f>
        <v/>
      </c>
      <c r="C113" s="28" t="str">
        <f>IF(Ene!$I54="SI",Ene!$H54,"")</f>
        <v/>
      </c>
      <c r="D113" s="28" t="str">
        <f>IF(Ene!$I54="SI",Ene!$L54,"")</f>
        <v/>
      </c>
      <c r="E113" s="27" t="s">
        <v>107</v>
      </c>
    </row>
    <row r="114" spans="2:5" x14ac:dyDescent="0.2">
      <c r="B114" s="28" t="str">
        <f>IF(Ene!$I58="SI",Ene!$H$57,"")</f>
        <v/>
      </c>
      <c r="C114" s="28" t="str">
        <f>IF(Ene!$I58="SI",Ene!$H58,"")</f>
        <v/>
      </c>
      <c r="D114" s="28" t="str">
        <f>IF(Ene!$I58="SI",Ene!$L58,"")</f>
        <v/>
      </c>
      <c r="E114" s="27" t="s">
        <v>107</v>
      </c>
    </row>
    <row r="115" spans="2:5" x14ac:dyDescent="0.2">
      <c r="B115" s="28" t="str">
        <f>IF(Ene!$I59="SI",Ene!$H$57,"")</f>
        <v/>
      </c>
      <c r="C115" s="28" t="str">
        <f>IF(Ene!$I59="SI",Ene!$H59,"")</f>
        <v/>
      </c>
      <c r="D115" s="28" t="str">
        <f>IF(Ene!$I59="SI",Ene!$L59,"")</f>
        <v/>
      </c>
      <c r="E115" s="27" t="s">
        <v>107</v>
      </c>
    </row>
    <row r="116" spans="2:5" x14ac:dyDescent="0.2">
      <c r="B116" s="28" t="str">
        <f>IF(Ene!$I60="SI",Ene!$H$57,"")</f>
        <v/>
      </c>
      <c r="C116" s="28" t="str">
        <f>IF(Ene!$I60="SI",Ene!$H60,"")</f>
        <v/>
      </c>
      <c r="D116" s="28" t="str">
        <f>IF(Ene!$I60="SI",Ene!$L60,"")</f>
        <v/>
      </c>
      <c r="E116" s="27" t="s">
        <v>107</v>
      </c>
    </row>
    <row r="117" spans="2:5" x14ac:dyDescent="0.2">
      <c r="B117" s="28" t="str">
        <f>IF(Ene!$I61="SI",Ene!$H$57,"")</f>
        <v/>
      </c>
      <c r="C117" s="28" t="str">
        <f>IF(Ene!$I61="SI",Ene!$H61,"")</f>
        <v/>
      </c>
      <c r="D117" s="28" t="str">
        <f>IF(Ene!$I61="SI",Ene!$L61,"")</f>
        <v/>
      </c>
      <c r="E117" s="27" t="s">
        <v>107</v>
      </c>
    </row>
    <row r="118" spans="2:5" x14ac:dyDescent="0.2">
      <c r="B118" s="28" t="str">
        <f>IF(Ene!$I62="SI",Ene!$H$57,"")</f>
        <v/>
      </c>
      <c r="C118" s="28" t="str">
        <f>IF(Ene!$I62="SI",Ene!$H62,"")</f>
        <v/>
      </c>
      <c r="D118" s="28" t="str">
        <f>IF(Ene!$I62="SI",Ene!$L62,"")</f>
        <v/>
      </c>
      <c r="E118" s="27" t="s">
        <v>107</v>
      </c>
    </row>
    <row r="119" spans="2:5" x14ac:dyDescent="0.2">
      <c r="B119" s="28" t="str">
        <f>IF(Ene!$I63="SI",Ene!$H$57,"")</f>
        <v/>
      </c>
      <c r="C119" s="28" t="str">
        <f>IF(Ene!$I63="SI",Ene!$H63,"")</f>
        <v/>
      </c>
      <c r="D119" s="28" t="str">
        <f>IF(Ene!$I63="SI",Ene!$L63,"")</f>
        <v/>
      </c>
      <c r="E119" s="27" t="s">
        <v>107</v>
      </c>
    </row>
    <row r="120" spans="2:5" x14ac:dyDescent="0.2">
      <c r="B120" s="28" t="str">
        <f>IF(Ene!$I64="SI",Ene!$H$57,"")</f>
        <v/>
      </c>
      <c r="C120" s="28" t="str">
        <f>IF(Ene!$I64="SI",Ene!$H64,"")</f>
        <v/>
      </c>
      <c r="D120" s="28" t="str">
        <f>IF(Ene!$I64="SI",Ene!$L64,"")</f>
        <v/>
      </c>
      <c r="E120" s="27" t="s">
        <v>107</v>
      </c>
    </row>
    <row r="121" spans="2:5" x14ac:dyDescent="0.2">
      <c r="B121" s="28" t="str">
        <f>IF(Ene!$I68="SI",Ene!$H$67,"")</f>
        <v/>
      </c>
      <c r="C121" s="28" t="str">
        <f>IF(Ene!$I68="SI",Ene!$H68,"")</f>
        <v/>
      </c>
      <c r="D121" s="28" t="str">
        <f>IF(Ene!$I68="SI",Ene!$L68,"")</f>
        <v/>
      </c>
      <c r="E121" s="27" t="s">
        <v>107</v>
      </c>
    </row>
    <row r="122" spans="2:5" x14ac:dyDescent="0.2">
      <c r="B122" s="28" t="str">
        <f>IF(Ene!$I69="SI",Ene!$H$67,"")</f>
        <v/>
      </c>
      <c r="C122" s="28" t="str">
        <f>IF(Ene!$I69="SI",Ene!$H69,"")</f>
        <v/>
      </c>
      <c r="D122" s="28" t="str">
        <f>IF(Ene!$I69="SI",Ene!$L69,"")</f>
        <v/>
      </c>
      <c r="E122" s="27" t="s">
        <v>107</v>
      </c>
    </row>
    <row r="123" spans="2:5" x14ac:dyDescent="0.2">
      <c r="B123" s="28" t="str">
        <f>IF(Ene!$I70="SI",Ene!$H$67,"")</f>
        <v/>
      </c>
      <c r="C123" s="28" t="str">
        <f>IF(Ene!$I70="SI",Ene!$H70,"")</f>
        <v/>
      </c>
      <c r="D123" s="28" t="str">
        <f>IF(Ene!$I70="SI",Ene!$L70,"")</f>
        <v/>
      </c>
      <c r="E123" s="27" t="s">
        <v>107</v>
      </c>
    </row>
    <row r="124" spans="2:5" x14ac:dyDescent="0.2">
      <c r="B124" s="28" t="str">
        <f>IF(Ene!$I71="SI",Ene!$H$67,"")</f>
        <v/>
      </c>
      <c r="C124" s="28" t="str">
        <f>IF(Ene!$I71="SI",Ene!$H71,"")</f>
        <v/>
      </c>
      <c r="D124" s="28" t="str">
        <f>IF(Ene!$I71="SI",Ene!$L71,"")</f>
        <v/>
      </c>
      <c r="E124" s="27" t="s">
        <v>107</v>
      </c>
    </row>
    <row r="125" spans="2:5" x14ac:dyDescent="0.2">
      <c r="B125" s="28" t="str">
        <f>IF(Ene!$I72="SI",Ene!$H$67,"")</f>
        <v/>
      </c>
      <c r="C125" s="28" t="str">
        <f>IF(Ene!$I72="SI",Ene!$H72,"")</f>
        <v/>
      </c>
      <c r="D125" s="28" t="str">
        <f>IF(Ene!$I72="SI",Ene!$L72,"")</f>
        <v/>
      </c>
      <c r="E125" s="27" t="s">
        <v>107</v>
      </c>
    </row>
    <row r="126" spans="2:5" x14ac:dyDescent="0.2">
      <c r="B126" s="28" t="str">
        <f>IF(Ene!$I73="SI",Ene!$H$67,"")</f>
        <v/>
      </c>
      <c r="C126" s="28" t="str">
        <f>IF(Ene!$I73="SI",Ene!$H73,"")</f>
        <v/>
      </c>
      <c r="D126" s="28" t="str">
        <f>IF(Ene!$I73="SI",Ene!$L73,"")</f>
        <v/>
      </c>
      <c r="E126" s="27" t="s">
        <v>107</v>
      </c>
    </row>
    <row r="127" spans="2:5" x14ac:dyDescent="0.2">
      <c r="B127" s="28" t="str">
        <f>IF(Ene!$I74="SI",Ene!$H$67,"")</f>
        <v/>
      </c>
      <c r="C127" s="28" t="str">
        <f>IF(Ene!$I74="SI",Ene!$H74,"")</f>
        <v/>
      </c>
      <c r="D127" s="28" t="str">
        <f>IF(Ene!$I74="SI",Ene!$L74,"")</f>
        <v/>
      </c>
      <c r="E127" s="27" t="s">
        <v>107</v>
      </c>
    </row>
    <row r="128" spans="2:5" x14ac:dyDescent="0.2">
      <c r="B128" s="28" t="str">
        <f>IF(Ene!$I75="SI",Ene!$H$67,"")</f>
        <v/>
      </c>
      <c r="C128" s="28" t="str">
        <f>IF(Ene!$I75="SI",Ene!$H75,"")</f>
        <v/>
      </c>
      <c r="D128" s="28" t="str">
        <f>IF(Ene!$I75="SI",Ene!$L75,"")</f>
        <v/>
      </c>
      <c r="E128" s="27" t="s">
        <v>107</v>
      </c>
    </row>
    <row r="129" spans="2:5" x14ac:dyDescent="0.2">
      <c r="B129" s="28" t="str">
        <f>IF(Ene!$I76="SI",Ene!$H$67,"")</f>
        <v/>
      </c>
      <c r="C129" s="28" t="str">
        <f>IF(Ene!$I76="SI",Ene!$H76,"")</f>
        <v/>
      </c>
      <c r="D129" s="28" t="str">
        <f>IF(Ene!$I76="SI",Ene!$L76,"")</f>
        <v/>
      </c>
      <c r="E129" s="27" t="s">
        <v>107</v>
      </c>
    </row>
    <row r="130" spans="2:5" x14ac:dyDescent="0.2">
      <c r="B130" s="28" t="str">
        <f>IF(Ene!$I77="SI",Ene!$H$67,"")</f>
        <v/>
      </c>
      <c r="C130" s="28" t="str">
        <f>IF(Ene!$I77="SI",Ene!$H77,"")</f>
        <v/>
      </c>
      <c r="D130" s="28" t="str">
        <f>IF(Ene!$I77="SI",Ene!$L77,"")</f>
        <v/>
      </c>
      <c r="E130" s="27" t="s">
        <v>107</v>
      </c>
    </row>
    <row r="131" spans="2:5" x14ac:dyDescent="0.2">
      <c r="B131" s="28" t="str">
        <f>IF(Ene!$I78="SI",Ene!$H$67,"")</f>
        <v/>
      </c>
      <c r="C131" s="28" t="str">
        <f>IF(Ene!$I78="SI",Ene!$H78,"")</f>
        <v/>
      </c>
      <c r="D131" s="28" t="str">
        <f>IF(Ene!$I78="SI",Ene!$L78,"")</f>
        <v/>
      </c>
      <c r="E131" s="27" t="s">
        <v>107</v>
      </c>
    </row>
    <row r="132" spans="2:5" x14ac:dyDescent="0.2">
      <c r="B132" s="28" t="str">
        <f>IF(Ene!$I82="SI",Ene!$H$81,"")</f>
        <v/>
      </c>
      <c r="C132" s="28" t="str">
        <f>IF(Ene!$I82="SI",Ene!$H82,"")</f>
        <v/>
      </c>
      <c r="D132" s="28" t="str">
        <f>IF(Ene!$I82="SI",Ene!$L82,"")</f>
        <v/>
      </c>
      <c r="E132" s="27" t="s">
        <v>107</v>
      </c>
    </row>
    <row r="133" spans="2:5" x14ac:dyDescent="0.2">
      <c r="B133" s="28" t="str">
        <f>IF(Ene!$I83="SI",Ene!$H$81,"")</f>
        <v/>
      </c>
      <c r="C133" s="28" t="str">
        <f>IF(Ene!$I83="SI",Ene!$H83,"")</f>
        <v/>
      </c>
      <c r="D133" s="28" t="str">
        <f>IF(Ene!$I83="SI",Ene!$L83,"")</f>
        <v/>
      </c>
      <c r="E133" s="27" t="s">
        <v>107</v>
      </c>
    </row>
    <row r="134" spans="2:5" x14ac:dyDescent="0.2">
      <c r="B134" s="28" t="str">
        <f>IF(Ene!$I84="SI",Ene!$H$81,"")</f>
        <v/>
      </c>
      <c r="C134" s="28" t="str">
        <f>IF(Ene!$I84="SI",Ene!$H84,"")</f>
        <v/>
      </c>
      <c r="D134" s="28" t="str">
        <f>IF(Ene!$I84="SI",Ene!$L84,"")</f>
        <v/>
      </c>
      <c r="E134" s="27" t="s">
        <v>107</v>
      </c>
    </row>
    <row r="135" spans="2:5" x14ac:dyDescent="0.2">
      <c r="B135" s="28" t="str">
        <f>IF(Ene!$I85="SI",Ene!$H$81,"")</f>
        <v/>
      </c>
      <c r="C135" s="28" t="str">
        <f>IF(Ene!$I85="SI",Ene!$H85,"")</f>
        <v/>
      </c>
      <c r="D135" s="28" t="str">
        <f>IF(Ene!$I85="SI",Ene!$L85,"")</f>
        <v/>
      </c>
      <c r="E135" s="27" t="s">
        <v>107</v>
      </c>
    </row>
    <row r="136" spans="2:5" x14ac:dyDescent="0.2">
      <c r="B136" s="28" t="str">
        <f>IF(Ene!$I86="SI",Ene!$H$81,"")</f>
        <v/>
      </c>
      <c r="C136" s="28" t="str">
        <f>IF(Ene!$I86="SI",Ene!$H86,"")</f>
        <v/>
      </c>
      <c r="D136" s="28" t="str">
        <f>IF(Ene!$I86="SI",Ene!$L86,"")</f>
        <v/>
      </c>
      <c r="E136" s="27" t="s">
        <v>107</v>
      </c>
    </row>
    <row r="137" spans="2:5" x14ac:dyDescent="0.2">
      <c r="B137" s="28" t="str">
        <f>IF(Ene!$I87="SI",Ene!$H$81,"")</f>
        <v/>
      </c>
      <c r="C137" s="28" t="str">
        <f>IF(Ene!$I87="SI",Ene!$H87,"")</f>
        <v/>
      </c>
      <c r="D137" s="28" t="str">
        <f>IF(Ene!$I87="SI",Ene!$L87,"")</f>
        <v/>
      </c>
      <c r="E137" s="27" t="s">
        <v>107</v>
      </c>
    </row>
    <row r="138" spans="2:5" x14ac:dyDescent="0.2">
      <c r="B138" s="28" t="str">
        <f>IF(Ene!$I91="SI",Ene!$H$90,"")</f>
        <v/>
      </c>
      <c r="C138" s="28" t="str">
        <f>IF(Ene!$I91="SI",Ene!$H91,"")</f>
        <v/>
      </c>
      <c r="D138" s="28" t="str">
        <f>IF(Ene!$I91="SI",Ene!$L91,"")</f>
        <v/>
      </c>
      <c r="E138" s="27" t="s">
        <v>107</v>
      </c>
    </row>
    <row r="139" spans="2:5" x14ac:dyDescent="0.2">
      <c r="B139" s="28" t="str">
        <f>IF(Ene!$I92="SI",Ene!$H$90,"")</f>
        <v/>
      </c>
      <c r="C139" s="28" t="str">
        <f>IF(Ene!$I92="SI",Ene!$H92,"")</f>
        <v/>
      </c>
      <c r="D139" s="28" t="str">
        <f>IF(Ene!$I92="SI",Ene!$L92,"")</f>
        <v/>
      </c>
      <c r="E139" s="27" t="s">
        <v>107</v>
      </c>
    </row>
    <row r="140" spans="2:5" x14ac:dyDescent="0.2">
      <c r="B140" s="28" t="str">
        <f>IF(Ene!$I93="SI",Ene!$H$90,"")</f>
        <v/>
      </c>
      <c r="C140" s="28" t="str">
        <f>IF(Ene!$I93="SI",Ene!$H93,"")</f>
        <v/>
      </c>
      <c r="D140" s="28" t="str">
        <f>IF(Ene!$I93="SI",Ene!$L93,"")</f>
        <v/>
      </c>
      <c r="E140" s="27" t="s">
        <v>107</v>
      </c>
    </row>
    <row r="141" spans="2:5" x14ac:dyDescent="0.2">
      <c r="B141" s="28" t="str">
        <f>IF(Ene!$I94="SI",Ene!$H$90,"")</f>
        <v/>
      </c>
      <c r="C141" s="28" t="str">
        <f>IF(Ene!$I94="SI",Ene!$H94,"")</f>
        <v/>
      </c>
      <c r="D141" s="28" t="str">
        <f>IF(Ene!$I94="SI",Ene!$L94,"")</f>
        <v/>
      </c>
      <c r="E141" s="27" t="s">
        <v>107</v>
      </c>
    </row>
    <row r="142" spans="2:5" x14ac:dyDescent="0.2">
      <c r="B142" s="28" t="str">
        <f>IF(Ene!$I95="SI",Ene!$H$90,"")</f>
        <v/>
      </c>
      <c r="C142" s="28" t="str">
        <f>IF(Ene!$I95="SI",Ene!$H95,"")</f>
        <v/>
      </c>
      <c r="D142" s="28" t="str">
        <f>IF(Ene!$I95="SI",Ene!$L95,"")</f>
        <v/>
      </c>
      <c r="E142" s="27" t="s">
        <v>107</v>
      </c>
    </row>
    <row r="143" spans="2:5" x14ac:dyDescent="0.2">
      <c r="B143" s="28" t="str">
        <f>IF(Ene!$I96="SI",Ene!$H$90,"")</f>
        <v/>
      </c>
      <c r="C143" s="28" t="str">
        <f>IF(Ene!$I96="SI",Ene!$H96,"")</f>
        <v/>
      </c>
      <c r="D143" s="28" t="str">
        <f>IF(Ene!$I96="SI",Ene!$L96,"")</f>
        <v/>
      </c>
      <c r="E143" s="27" t="s">
        <v>107</v>
      </c>
    </row>
    <row r="144" spans="2:5" x14ac:dyDescent="0.2">
      <c r="B144" s="28" t="str">
        <f>IF(Ene!$I97="SI",Ene!$H$90,"")</f>
        <v/>
      </c>
      <c r="C144" s="28" t="str">
        <f>IF(Ene!$I97="SI",Ene!$H97,"")</f>
        <v/>
      </c>
      <c r="D144" s="28" t="str">
        <f>IF(Ene!$I97="SI",Ene!$L97,"")</f>
        <v/>
      </c>
      <c r="E144" s="27" t="s">
        <v>107</v>
      </c>
    </row>
    <row r="145" spans="2:5" x14ac:dyDescent="0.2">
      <c r="B145" s="28" t="str">
        <f>IF(Ene!$I101="SI",Ene!$H$100,"")</f>
        <v/>
      </c>
      <c r="C145" s="28" t="str">
        <f>IF(Ene!$I101="SI",Ene!$H101,"")</f>
        <v/>
      </c>
      <c r="D145" s="28" t="str">
        <f>IF(Ene!$I101="SI",Ene!$L101,"")</f>
        <v/>
      </c>
      <c r="E145" s="27" t="s">
        <v>107</v>
      </c>
    </row>
    <row r="146" spans="2:5" x14ac:dyDescent="0.2">
      <c r="B146" s="28" t="str">
        <f>IF(Ene!$I102="SI",Ene!$H$100,"")</f>
        <v/>
      </c>
      <c r="C146" s="28" t="str">
        <f>IF(Ene!$I102="SI",Ene!$H102,"")</f>
        <v/>
      </c>
      <c r="D146" s="28" t="str">
        <f>IF(Ene!$I102="SI",Ene!$L102,"")</f>
        <v/>
      </c>
      <c r="E146" s="27" t="s">
        <v>107</v>
      </c>
    </row>
    <row r="147" spans="2:5" x14ac:dyDescent="0.2">
      <c r="B147" s="28" t="str">
        <f>IF(Ene!$I103="SI",Ene!$H$100,"")</f>
        <v/>
      </c>
      <c r="C147" s="28" t="str">
        <f>IF(Ene!$I103="SI",Ene!$H103,"")</f>
        <v/>
      </c>
      <c r="D147" s="28" t="str">
        <f>IF(Ene!$I103="SI",Ene!$L103,"")</f>
        <v/>
      </c>
      <c r="E147" s="27" t="s">
        <v>107</v>
      </c>
    </row>
    <row r="148" spans="2:5" x14ac:dyDescent="0.2">
      <c r="B148" s="28" t="str">
        <f>IF(Ene!$I104="SI",Ene!$H$100,"")</f>
        <v/>
      </c>
      <c r="C148" s="28" t="str">
        <f>IF(Ene!$I104="SI",Ene!$H104,"")</f>
        <v/>
      </c>
      <c r="D148" s="28" t="str">
        <f>IF(Ene!$I104="SI",Ene!$L104,"")</f>
        <v/>
      </c>
      <c r="E148" s="27" t="s">
        <v>107</v>
      </c>
    </row>
    <row r="149" spans="2:5" x14ac:dyDescent="0.2">
      <c r="B149" s="28" t="str">
        <f>IF(Ene!$I105="SI",Ene!$H$100,"")</f>
        <v/>
      </c>
      <c r="C149" s="28" t="str">
        <f>IF(Ene!$I105="SI",Ene!$H105,"")</f>
        <v/>
      </c>
      <c r="D149" s="28" t="str">
        <f>IF(Ene!$I105="SI",Ene!$L105,"")</f>
        <v/>
      </c>
      <c r="E149" s="27" t="s">
        <v>107</v>
      </c>
    </row>
    <row r="150" spans="2:5" x14ac:dyDescent="0.2">
      <c r="B150" s="28" t="str">
        <f>IF(Ene!$I106="SI",Ene!$H$100,"")</f>
        <v/>
      </c>
      <c r="C150" s="28" t="str">
        <f>IF(Ene!$I106="SI",Ene!$H106,"")</f>
        <v/>
      </c>
      <c r="D150" s="28" t="str">
        <f>IF(Ene!$I106="SI",Ene!$L106,"")</f>
        <v/>
      </c>
      <c r="E150" s="27" t="s">
        <v>107</v>
      </c>
    </row>
    <row r="151" spans="2:5" x14ac:dyDescent="0.2">
      <c r="B151" s="28" t="str">
        <f>IF(Ene!$I107="SI",Ene!$H$100,"")</f>
        <v/>
      </c>
      <c r="C151" s="28" t="str">
        <f>IF(Ene!$I107="SI",Ene!$H107,"")</f>
        <v/>
      </c>
      <c r="D151" s="28" t="str">
        <f>IF(Ene!$I107="SI",Ene!$L107,"")</f>
        <v/>
      </c>
      <c r="E151" s="27" t="s">
        <v>107</v>
      </c>
    </row>
    <row r="152" spans="2:5" x14ac:dyDescent="0.2">
      <c r="B152" s="29"/>
      <c r="C152" s="29"/>
      <c r="D152" s="29"/>
      <c r="E152" s="27" t="s">
        <v>107</v>
      </c>
    </row>
    <row r="153" spans="2:5" x14ac:dyDescent="0.2">
      <c r="B153" s="28" t="str">
        <f>IF(Feb!$C13="SI",Feb!$B$12,"")</f>
        <v/>
      </c>
      <c r="C153" s="28" t="str">
        <f>IF(Feb!$C13="SI",Feb!$B13,"")</f>
        <v/>
      </c>
      <c r="D153" s="28" t="str">
        <f>IF(Feb!$C13="SI",Feb!$F13,"")</f>
        <v/>
      </c>
      <c r="E153" s="47" t="s">
        <v>108</v>
      </c>
    </row>
    <row r="154" spans="2:5" x14ac:dyDescent="0.2">
      <c r="B154" s="28" t="str">
        <f>IF(Feb!$C14="SI",Feb!$B$12,"")</f>
        <v/>
      </c>
      <c r="C154" s="28" t="str">
        <f>IF(Feb!$C14="SI",Feb!$B14,"")</f>
        <v/>
      </c>
      <c r="D154" s="28" t="str">
        <f>IF(Feb!$C14="SI",Feb!$F14,"")</f>
        <v/>
      </c>
      <c r="E154" s="47" t="s">
        <v>108</v>
      </c>
    </row>
    <row r="155" spans="2:5" x14ac:dyDescent="0.2">
      <c r="B155" s="28" t="str">
        <f>IF(Feb!$C15="SI",Feb!$B$12,"")</f>
        <v/>
      </c>
      <c r="C155" s="28" t="str">
        <f>IF(Feb!$C15="SI",Feb!$B15,"")</f>
        <v/>
      </c>
      <c r="D155" s="28" t="str">
        <f>IF(Feb!$C15="SI",Feb!$F15,"")</f>
        <v/>
      </c>
      <c r="E155" s="47" t="s">
        <v>108</v>
      </c>
    </row>
    <row r="156" spans="2:5" x14ac:dyDescent="0.2">
      <c r="B156" s="28" t="str">
        <f>IF(Feb!$C16="SI",Feb!$B$12,"")</f>
        <v/>
      </c>
      <c r="C156" s="28" t="str">
        <f>IF(Feb!$C16="SI",Feb!$B16,"")</f>
        <v/>
      </c>
      <c r="D156" s="28" t="str">
        <f>IF(Feb!$C16="SI",Feb!$F16,"")</f>
        <v/>
      </c>
      <c r="E156" s="47" t="s">
        <v>108</v>
      </c>
    </row>
    <row r="157" spans="2:5" x14ac:dyDescent="0.2">
      <c r="B157" s="28" t="str">
        <f>IF(Feb!$C17="SI",Feb!$B$12,"")</f>
        <v/>
      </c>
      <c r="C157" s="28" t="str">
        <f>IF(Feb!$C17="SI",Feb!$B17,"")</f>
        <v/>
      </c>
      <c r="D157" s="28" t="str">
        <f>IF(Feb!$C17="SI",Feb!$F17,"")</f>
        <v/>
      </c>
      <c r="E157" s="47" t="s">
        <v>108</v>
      </c>
    </row>
    <row r="158" spans="2:5" x14ac:dyDescent="0.2">
      <c r="B158" s="28" t="str">
        <f>IF(Feb!$C18="SI",Feb!$B$12,"")</f>
        <v/>
      </c>
      <c r="C158" s="28" t="str">
        <f>IF(Feb!$C18="SI",Feb!$B18,"")</f>
        <v/>
      </c>
      <c r="D158" s="28" t="str">
        <f>IF(Feb!$C18="SI",Feb!$F18,"")</f>
        <v/>
      </c>
      <c r="E158" s="47" t="s">
        <v>108</v>
      </c>
    </row>
    <row r="159" spans="2:5" x14ac:dyDescent="0.2">
      <c r="B159" s="28" t="str">
        <f>IF(Feb!$C19="SI",Feb!$B$12,"")</f>
        <v/>
      </c>
      <c r="C159" s="28" t="str">
        <f>IF(Feb!$C19="SI",Feb!$B19,"")</f>
        <v/>
      </c>
      <c r="D159" s="28" t="str">
        <f>IF(Feb!$C19="SI",Feb!$F19,"")</f>
        <v/>
      </c>
      <c r="E159" s="47" t="s">
        <v>108</v>
      </c>
    </row>
    <row r="160" spans="2:5" x14ac:dyDescent="0.2">
      <c r="B160" s="28" t="str">
        <f>IF(Feb!$C20="SI",Feb!$B$12,"")</f>
        <v/>
      </c>
      <c r="C160" s="28" t="str">
        <f>IF(Feb!$C20="SI",Feb!$B20,"")</f>
        <v/>
      </c>
      <c r="D160" s="28" t="str">
        <f>IF(Feb!$C20="SI",Feb!$F20,"")</f>
        <v/>
      </c>
      <c r="E160" s="47" t="s">
        <v>108</v>
      </c>
    </row>
    <row r="161" spans="2:5" x14ac:dyDescent="0.2">
      <c r="B161" s="28" t="str">
        <f>IF(Feb!$C21="SI",Feb!$B$12,"")</f>
        <v/>
      </c>
      <c r="C161" s="28" t="str">
        <f>IF(Feb!$C21="SI",Feb!$B21,"")</f>
        <v/>
      </c>
      <c r="D161" s="28" t="str">
        <f>IF(Feb!$C21="SI",Feb!$F21,"")</f>
        <v/>
      </c>
      <c r="E161" s="47" t="s">
        <v>108</v>
      </c>
    </row>
    <row r="162" spans="2:5" x14ac:dyDescent="0.2">
      <c r="B162" s="28" t="str">
        <f>IF(Feb!$C22="SI",Feb!$B$12,"")</f>
        <v/>
      </c>
      <c r="C162" s="28" t="str">
        <f>IF(Feb!$C22="SI",Feb!$B22,"")</f>
        <v/>
      </c>
      <c r="D162" s="28" t="str">
        <f>IF(Feb!$C22="SI",Feb!$F22,"")</f>
        <v/>
      </c>
      <c r="E162" s="47" t="s">
        <v>108</v>
      </c>
    </row>
    <row r="163" spans="2:5" x14ac:dyDescent="0.2">
      <c r="B163" s="28" t="str">
        <f>IF(Feb!$C23="SI",Feb!$B$12,"")</f>
        <v/>
      </c>
      <c r="C163" s="28" t="str">
        <f>IF(Feb!$C23="SI",Feb!$B23,"")</f>
        <v/>
      </c>
      <c r="D163" s="28" t="str">
        <f>IF(Feb!$C23="SI",Feb!$F23,"")</f>
        <v/>
      </c>
      <c r="E163" s="47" t="s">
        <v>108</v>
      </c>
    </row>
    <row r="164" spans="2:5" x14ac:dyDescent="0.2">
      <c r="B164" s="28" t="str">
        <f>IF(Feb!$C24="SI",Feb!$B$12,"")</f>
        <v/>
      </c>
      <c r="C164" s="28" t="str">
        <f>IF(Feb!$C24="SI",Feb!$B24,"")</f>
        <v/>
      </c>
      <c r="D164" s="28" t="str">
        <f>IF(Feb!$C24="SI",Feb!$F24,"")</f>
        <v/>
      </c>
      <c r="E164" s="47" t="s">
        <v>108</v>
      </c>
    </row>
    <row r="165" spans="2:5" x14ac:dyDescent="0.2">
      <c r="B165" s="28" t="str">
        <f>IF(Feb!$C28="SI",Feb!$B$27,"")</f>
        <v/>
      </c>
      <c r="C165" s="28" t="str">
        <f>IF(Feb!$C28="SI",Feb!$B28,"")</f>
        <v/>
      </c>
      <c r="D165" s="28" t="str">
        <f>IF(Feb!$C28="SI",Feb!$F28,"")</f>
        <v/>
      </c>
      <c r="E165" s="47" t="s">
        <v>108</v>
      </c>
    </row>
    <row r="166" spans="2:5" x14ac:dyDescent="0.2">
      <c r="B166" s="28" t="str">
        <f>IF(Feb!$C29="SI",Feb!$B$27,"")</f>
        <v/>
      </c>
      <c r="C166" s="28" t="str">
        <f>IF(Feb!$C29="SI",Feb!$B29,"")</f>
        <v/>
      </c>
      <c r="D166" s="28" t="str">
        <f>IF(Feb!$C29="SI",Feb!$F29,"")</f>
        <v/>
      </c>
      <c r="E166" s="47" t="s">
        <v>108</v>
      </c>
    </row>
    <row r="167" spans="2:5" x14ac:dyDescent="0.2">
      <c r="B167" s="28" t="str">
        <f>IF(Feb!$C30="SI",Feb!$B$27,"")</f>
        <v/>
      </c>
      <c r="C167" s="28" t="str">
        <f>IF(Feb!$C30="SI",Feb!$B30,"")</f>
        <v/>
      </c>
      <c r="D167" s="28" t="str">
        <f>IF(Feb!$C30="SI",Feb!$F30,"")</f>
        <v/>
      </c>
      <c r="E167" s="47" t="s">
        <v>108</v>
      </c>
    </row>
    <row r="168" spans="2:5" x14ac:dyDescent="0.2">
      <c r="B168" s="28" t="str">
        <f>IF(Feb!$C31="SI",Feb!$B$27,"")</f>
        <v/>
      </c>
      <c r="C168" s="28" t="str">
        <f>IF(Feb!$C31="SI",Feb!$B31,"")</f>
        <v/>
      </c>
      <c r="D168" s="28" t="str">
        <f>IF(Feb!$C31="SI",Feb!$F31,"")</f>
        <v/>
      </c>
      <c r="E168" s="47" t="s">
        <v>108</v>
      </c>
    </row>
    <row r="169" spans="2:5" x14ac:dyDescent="0.2">
      <c r="B169" s="28" t="str">
        <f>IF(Feb!$C32="SI",Feb!$B$27,"")</f>
        <v/>
      </c>
      <c r="C169" s="28" t="str">
        <f>IF(Feb!$C32="SI",Feb!$B32,"")</f>
        <v/>
      </c>
      <c r="D169" s="28" t="str">
        <f>IF(Feb!$C32="SI",Feb!$F32,"")</f>
        <v/>
      </c>
      <c r="E169" s="47" t="s">
        <v>108</v>
      </c>
    </row>
    <row r="170" spans="2:5" x14ac:dyDescent="0.2">
      <c r="B170" s="28" t="str">
        <f>IF(Feb!$C33="SI",Feb!$B$27,"")</f>
        <v/>
      </c>
      <c r="C170" s="28" t="str">
        <f>IF(Feb!$C33="SI",Feb!$B33,"")</f>
        <v/>
      </c>
      <c r="D170" s="28" t="str">
        <f>IF(Feb!$C33="SI",Feb!$F33,"")</f>
        <v/>
      </c>
      <c r="E170" s="47" t="s">
        <v>108</v>
      </c>
    </row>
    <row r="171" spans="2:5" x14ac:dyDescent="0.2">
      <c r="B171" s="28" t="str">
        <f>IF(Feb!$C34="SI",Feb!$B$27,"")</f>
        <v/>
      </c>
      <c r="C171" s="28" t="str">
        <f>IF(Feb!$C34="SI",Feb!$B34,"")</f>
        <v/>
      </c>
      <c r="D171" s="28" t="str">
        <f>IF(Feb!$C34="SI",Feb!$F34,"")</f>
        <v/>
      </c>
      <c r="E171" s="47" t="s">
        <v>108</v>
      </c>
    </row>
    <row r="172" spans="2:5" x14ac:dyDescent="0.2">
      <c r="B172" s="28" t="str">
        <f>IF(Feb!$C35="SI",Feb!$B$27,"")</f>
        <v/>
      </c>
      <c r="C172" s="28" t="str">
        <f>IF(Feb!$C35="SI",Feb!$B35,"")</f>
        <v/>
      </c>
      <c r="D172" s="28" t="str">
        <f>IF(Feb!$C35="SI",Feb!$F35,"")</f>
        <v/>
      </c>
      <c r="E172" s="47" t="s">
        <v>108</v>
      </c>
    </row>
    <row r="173" spans="2:5" x14ac:dyDescent="0.2">
      <c r="B173" s="28" t="str">
        <f>IF(Feb!$C39="SI",Feb!$B$38,"")</f>
        <v/>
      </c>
      <c r="C173" s="28" t="str">
        <f>IF(Feb!$C39="SI",Feb!$B39,"")</f>
        <v/>
      </c>
      <c r="D173" s="28" t="str">
        <f>IF(Feb!$C39="SI",Feb!$F39,"")</f>
        <v/>
      </c>
      <c r="E173" s="47" t="s">
        <v>108</v>
      </c>
    </row>
    <row r="174" spans="2:5" x14ac:dyDescent="0.2">
      <c r="B174" s="28" t="str">
        <f>IF(Feb!$C40="SI",Feb!$B$38,"")</f>
        <v/>
      </c>
      <c r="C174" s="28" t="str">
        <f>IF(Feb!$C40="SI",Feb!$B40,"")</f>
        <v/>
      </c>
      <c r="D174" s="28" t="str">
        <f>IF(Feb!$C40="SI",Feb!$F40,"")</f>
        <v/>
      </c>
      <c r="E174" s="47" t="s">
        <v>108</v>
      </c>
    </row>
    <row r="175" spans="2:5" x14ac:dyDescent="0.2">
      <c r="B175" s="28" t="str">
        <f>IF(Feb!$C41="SI",Feb!$B$38,"")</f>
        <v/>
      </c>
      <c r="C175" s="28" t="str">
        <f>IF(Feb!$C41="SI",Feb!$B41,"")</f>
        <v/>
      </c>
      <c r="D175" s="28" t="str">
        <f>IF(Feb!$C41="SI",Feb!$F41,"")</f>
        <v/>
      </c>
      <c r="E175" s="47" t="s">
        <v>108</v>
      </c>
    </row>
    <row r="176" spans="2:5" x14ac:dyDescent="0.2">
      <c r="B176" s="28" t="str">
        <f>IF(Feb!$C42="SI",Feb!$B$38,"")</f>
        <v/>
      </c>
      <c r="C176" s="28" t="str">
        <f>IF(Feb!$C42="SI",Feb!$B42,"")</f>
        <v/>
      </c>
      <c r="D176" s="28" t="str">
        <f>IF(Feb!$C42="SI",Feb!$F42,"")</f>
        <v/>
      </c>
      <c r="E176" s="47" t="s">
        <v>108</v>
      </c>
    </row>
    <row r="177" spans="2:5" x14ac:dyDescent="0.2">
      <c r="B177" s="28" t="str">
        <f>IF(Feb!$C43="SI",Feb!$B$38,"")</f>
        <v/>
      </c>
      <c r="C177" s="28" t="str">
        <f>IF(Feb!$C43="SI",Feb!$B43,"")</f>
        <v/>
      </c>
      <c r="D177" s="28" t="str">
        <f>IF(Feb!$C43="SI",Feb!$F43,"")</f>
        <v/>
      </c>
      <c r="E177" s="47" t="s">
        <v>108</v>
      </c>
    </row>
    <row r="178" spans="2:5" x14ac:dyDescent="0.2">
      <c r="B178" s="28" t="str">
        <f>IF(Feb!$C44="SI",Feb!$B$38,"")</f>
        <v/>
      </c>
      <c r="C178" s="28" t="str">
        <f>IF(Feb!$C44="SI",Feb!$B44,"")</f>
        <v/>
      </c>
      <c r="D178" s="28" t="str">
        <f>IF(Feb!$C44="SI",Feb!$F44,"")</f>
        <v/>
      </c>
      <c r="E178" s="47" t="s">
        <v>108</v>
      </c>
    </row>
    <row r="179" spans="2:5" x14ac:dyDescent="0.2">
      <c r="B179" s="28" t="str">
        <f>IF(Feb!$C45="SI",Feb!$B$38,"")</f>
        <v/>
      </c>
      <c r="C179" s="28" t="str">
        <f>IF(Feb!$C45="SI",Feb!$B45,"")</f>
        <v/>
      </c>
      <c r="D179" s="28" t="str">
        <f>IF(Feb!$C45="SI",Feb!$F45,"")</f>
        <v/>
      </c>
      <c r="E179" s="47" t="s">
        <v>108</v>
      </c>
    </row>
    <row r="180" spans="2:5" x14ac:dyDescent="0.2">
      <c r="B180" s="28" t="str">
        <f>IF(Feb!$C49="SI",Feb!$B$48,"")</f>
        <v/>
      </c>
      <c r="C180" s="28" t="str">
        <f>IF(Feb!$C49="SI",Feb!$B49,"")</f>
        <v/>
      </c>
      <c r="D180" s="28" t="str">
        <f>IF(Feb!$C49="SI",Feb!$F49,"")</f>
        <v/>
      </c>
      <c r="E180" s="47" t="s">
        <v>108</v>
      </c>
    </row>
    <row r="181" spans="2:5" x14ac:dyDescent="0.2">
      <c r="B181" s="28" t="str">
        <f>IF(Feb!$C50="SI",Feb!$B$48,"")</f>
        <v/>
      </c>
      <c r="C181" s="28" t="str">
        <f>IF(Feb!$C50="SI",Feb!$B50,"")</f>
        <v/>
      </c>
      <c r="D181" s="28" t="str">
        <f>IF(Feb!$C50="SI",Feb!$F50,"")</f>
        <v/>
      </c>
      <c r="E181" s="47" t="s">
        <v>108</v>
      </c>
    </row>
    <row r="182" spans="2:5" x14ac:dyDescent="0.2">
      <c r="B182" s="28" t="str">
        <f>IF(Feb!$C51="SI",Feb!$B$48,"")</f>
        <v/>
      </c>
      <c r="C182" s="28" t="str">
        <f>IF(Feb!$C51="SI",Feb!$B51,"")</f>
        <v/>
      </c>
      <c r="D182" s="28" t="str">
        <f>IF(Feb!$C51="SI",Feb!$F51,"")</f>
        <v/>
      </c>
      <c r="E182" s="47" t="s">
        <v>108</v>
      </c>
    </row>
    <row r="183" spans="2:5" x14ac:dyDescent="0.2">
      <c r="B183" s="28" t="str">
        <f>IF(Feb!$C52="SI",Feb!$B$48,"")</f>
        <v/>
      </c>
      <c r="C183" s="28" t="str">
        <f>IF(Feb!$C52="SI",Feb!$B52,"")</f>
        <v/>
      </c>
      <c r="D183" s="28" t="str">
        <f>IF(Feb!$C52="SI",Feb!$F52,"")</f>
        <v/>
      </c>
      <c r="E183" s="47" t="s">
        <v>108</v>
      </c>
    </row>
    <row r="184" spans="2:5" x14ac:dyDescent="0.2">
      <c r="B184" s="28" t="str">
        <f>IF(Feb!$C53="SI",Feb!$B$48,"")</f>
        <v/>
      </c>
      <c r="C184" s="28" t="str">
        <f>IF(Feb!$C53="SI",Feb!$B53,"")</f>
        <v/>
      </c>
      <c r="D184" s="28" t="str">
        <f>IF(Feb!$C53="SI",Feb!$F53,"")</f>
        <v/>
      </c>
      <c r="E184" s="47" t="s">
        <v>108</v>
      </c>
    </row>
    <row r="185" spans="2:5" x14ac:dyDescent="0.2">
      <c r="B185" s="28" t="str">
        <f>IF(Feb!$C54="SI",Feb!$B$48,"")</f>
        <v/>
      </c>
      <c r="C185" s="28" t="str">
        <f>IF(Feb!$C54="SI",Feb!$B54,"")</f>
        <v/>
      </c>
      <c r="D185" s="28" t="str">
        <f>IF(Feb!$C54="SI",Feb!$F54,"")</f>
        <v/>
      </c>
      <c r="E185" s="47" t="s">
        <v>108</v>
      </c>
    </row>
    <row r="186" spans="2:5" x14ac:dyDescent="0.2">
      <c r="B186" s="28" t="str">
        <f>IF(Feb!$C58="SI",Feb!$B$57,"")</f>
        <v/>
      </c>
      <c r="C186" s="28" t="str">
        <f>IF(Feb!$C58="SI",Feb!$B58,"")</f>
        <v/>
      </c>
      <c r="D186" s="28" t="str">
        <f>IF(Feb!$C58="SI",Feb!$F58,"")</f>
        <v/>
      </c>
      <c r="E186" s="47" t="s">
        <v>108</v>
      </c>
    </row>
    <row r="187" spans="2:5" x14ac:dyDescent="0.2">
      <c r="B187" s="28" t="str">
        <f>IF(Feb!$C59="SI",Feb!$B$57,"")</f>
        <v/>
      </c>
      <c r="C187" s="28" t="str">
        <f>IF(Feb!$C59="SI",Feb!$B59,"")</f>
        <v/>
      </c>
      <c r="D187" s="28" t="str">
        <f>IF(Feb!$C59="SI",Feb!$F59,"")</f>
        <v/>
      </c>
      <c r="E187" s="47" t="s">
        <v>108</v>
      </c>
    </row>
    <row r="188" spans="2:5" x14ac:dyDescent="0.2">
      <c r="B188" s="28" t="str">
        <f>IF(Feb!$C60="SI",Feb!$B$57,"")</f>
        <v/>
      </c>
      <c r="C188" s="28" t="str">
        <f>IF(Feb!$C60="SI",Feb!$B60,"")</f>
        <v/>
      </c>
      <c r="D188" s="28" t="str">
        <f>IF(Feb!$C60="SI",Feb!$F60,"")</f>
        <v/>
      </c>
      <c r="E188" s="47" t="s">
        <v>108</v>
      </c>
    </row>
    <row r="189" spans="2:5" x14ac:dyDescent="0.2">
      <c r="B189" s="28" t="str">
        <f>IF(Feb!$C61="SI",Feb!$B$57,"")</f>
        <v/>
      </c>
      <c r="C189" s="28" t="str">
        <f>IF(Feb!$C61="SI",Feb!$B61,"")</f>
        <v/>
      </c>
      <c r="D189" s="28" t="str">
        <f>IF(Feb!$C61="SI",Feb!$F61,"")</f>
        <v/>
      </c>
      <c r="E189" s="47" t="s">
        <v>108</v>
      </c>
    </row>
    <row r="190" spans="2:5" x14ac:dyDescent="0.2">
      <c r="B190" s="28" t="str">
        <f>IF(Feb!$C62="SI",Feb!$B$57,"")</f>
        <v/>
      </c>
      <c r="C190" s="28" t="str">
        <f>IF(Feb!$C62="SI",Feb!$B62,"")</f>
        <v/>
      </c>
      <c r="D190" s="28" t="str">
        <f>IF(Feb!$C62="SI",Feb!$F62,"")</f>
        <v/>
      </c>
      <c r="E190" s="47" t="s">
        <v>108</v>
      </c>
    </row>
    <row r="191" spans="2:5" x14ac:dyDescent="0.2">
      <c r="B191" s="28" t="str">
        <f>IF(Feb!$C63="SI",Feb!$B$57,"")</f>
        <v/>
      </c>
      <c r="C191" s="28" t="str">
        <f>IF(Feb!$C63="SI",Feb!$B63,"")</f>
        <v/>
      </c>
      <c r="D191" s="28" t="str">
        <f>IF(Feb!$C63="SI",Feb!$F63,"")</f>
        <v/>
      </c>
      <c r="E191" s="47" t="s">
        <v>108</v>
      </c>
    </row>
    <row r="192" spans="2:5" x14ac:dyDescent="0.2">
      <c r="B192" s="28" t="str">
        <f>IF(Feb!$C64="SI",Feb!$B$57,"")</f>
        <v/>
      </c>
      <c r="C192" s="28" t="str">
        <f>IF(Feb!$C64="SI",Feb!$B64,"")</f>
        <v/>
      </c>
      <c r="D192" s="28" t="str">
        <f>IF(Feb!$C64="SI",Feb!$F64,"")</f>
        <v/>
      </c>
      <c r="E192" s="47" t="s">
        <v>108</v>
      </c>
    </row>
    <row r="193" spans="2:5" x14ac:dyDescent="0.2">
      <c r="B193" s="28" t="str">
        <f>IF(Feb!$C68="SI",Feb!$B$67,"")</f>
        <v/>
      </c>
      <c r="C193" s="28" t="str">
        <f>IF(Feb!$C68="SI",Feb!$B68,"")</f>
        <v/>
      </c>
      <c r="D193" s="28" t="str">
        <f>IF(Feb!$C68="SI",Feb!$F68,"")</f>
        <v/>
      </c>
      <c r="E193" s="47" t="s">
        <v>108</v>
      </c>
    </row>
    <row r="194" spans="2:5" x14ac:dyDescent="0.2">
      <c r="B194" s="28" t="str">
        <f>IF(Feb!$C69="SI",Feb!$B$67,"")</f>
        <v/>
      </c>
      <c r="C194" s="28" t="str">
        <f>IF(Feb!$C69="SI",Feb!$B69,"")</f>
        <v/>
      </c>
      <c r="D194" s="28" t="str">
        <f>IF(Feb!$C69="SI",Feb!$F69,"")</f>
        <v/>
      </c>
      <c r="E194" s="47" t="s">
        <v>108</v>
      </c>
    </row>
    <row r="195" spans="2:5" x14ac:dyDescent="0.2">
      <c r="B195" s="28" t="str">
        <f>IF(Feb!$C70="SI",Feb!$B$67,"")</f>
        <v/>
      </c>
      <c r="C195" s="28" t="str">
        <f>IF(Feb!$C70="SI",Feb!$B70,"")</f>
        <v/>
      </c>
      <c r="D195" s="28" t="str">
        <f>IF(Feb!$C70="SI",Feb!$F70,"")</f>
        <v/>
      </c>
      <c r="E195" s="47" t="s">
        <v>108</v>
      </c>
    </row>
    <row r="196" spans="2:5" x14ac:dyDescent="0.2">
      <c r="B196" s="28" t="str">
        <f>IF(Feb!$C71="SI",Feb!$B$67,"")</f>
        <v/>
      </c>
      <c r="C196" s="28" t="str">
        <f>IF(Feb!$C71="SI",Feb!$B71,"")</f>
        <v/>
      </c>
      <c r="D196" s="28" t="str">
        <f>IF(Feb!$C71="SI",Feb!$F71,"")</f>
        <v/>
      </c>
      <c r="E196" s="47" t="s">
        <v>108</v>
      </c>
    </row>
    <row r="197" spans="2:5" x14ac:dyDescent="0.2">
      <c r="B197" s="28" t="str">
        <f>IF(Feb!$C72="SI",Feb!$B$67,"")</f>
        <v/>
      </c>
      <c r="C197" s="28" t="str">
        <f>IF(Feb!$C72="SI",Feb!$B72,"")</f>
        <v/>
      </c>
      <c r="D197" s="28" t="str">
        <f>IF(Feb!$C72="SI",Feb!$F72,"")</f>
        <v/>
      </c>
      <c r="E197" s="47" t="s">
        <v>108</v>
      </c>
    </row>
    <row r="198" spans="2:5" x14ac:dyDescent="0.2">
      <c r="B198" s="28" t="str">
        <f>IF(Feb!$C73="SI",Feb!$B$67,"")</f>
        <v/>
      </c>
      <c r="C198" s="28" t="str">
        <f>IF(Feb!$C73="SI",Feb!$B73,"")</f>
        <v/>
      </c>
      <c r="D198" s="28" t="str">
        <f>IF(Feb!$C73="SI",Feb!$F73,"")</f>
        <v/>
      </c>
      <c r="E198" s="47" t="s">
        <v>108</v>
      </c>
    </row>
    <row r="199" spans="2:5" x14ac:dyDescent="0.2">
      <c r="B199" s="28" t="str">
        <f>IF(Feb!$C74="SI",Feb!$B$67,"")</f>
        <v/>
      </c>
      <c r="C199" s="28" t="str">
        <f>IF(Feb!$C74="SI",Feb!$B74,"")</f>
        <v/>
      </c>
      <c r="D199" s="28" t="str">
        <f>IF(Feb!$C74="SI",Feb!$F74,"")</f>
        <v/>
      </c>
      <c r="E199" s="47" t="s">
        <v>108</v>
      </c>
    </row>
    <row r="200" spans="2:5" x14ac:dyDescent="0.2">
      <c r="B200" s="28" t="str">
        <f>IF(Feb!$C75="SI",Feb!$B$67,"")</f>
        <v/>
      </c>
      <c r="C200" s="28" t="str">
        <f>IF(Feb!$C75="SI",Feb!$B75,"")</f>
        <v/>
      </c>
      <c r="D200" s="28" t="str">
        <f>IF(Feb!$C75="SI",Feb!$F75,"")</f>
        <v/>
      </c>
      <c r="E200" s="47" t="s">
        <v>108</v>
      </c>
    </row>
    <row r="201" spans="2:5" x14ac:dyDescent="0.2">
      <c r="B201" s="28" t="str">
        <f>IF(Feb!$C76="SI",Feb!$B$67,"")</f>
        <v/>
      </c>
      <c r="C201" s="28" t="str">
        <f>IF(Feb!$C76="SI",Feb!$B76,"")</f>
        <v/>
      </c>
      <c r="D201" s="28" t="str">
        <f>IF(Feb!$C76="SI",Feb!$F76,"")</f>
        <v/>
      </c>
      <c r="E201" s="47" t="s">
        <v>108</v>
      </c>
    </row>
    <row r="202" spans="2:5" x14ac:dyDescent="0.2">
      <c r="B202" s="28" t="str">
        <f>IF(Feb!$C77="SI",Feb!$B$67,"")</f>
        <v/>
      </c>
      <c r="C202" s="28" t="str">
        <f>IF(Feb!$C77="SI",Feb!$B77,"")</f>
        <v/>
      </c>
      <c r="D202" s="28" t="str">
        <f>IF(Feb!$C77="SI",Feb!$F77,"")</f>
        <v/>
      </c>
      <c r="E202" s="47" t="s">
        <v>108</v>
      </c>
    </row>
    <row r="203" spans="2:5" x14ac:dyDescent="0.2">
      <c r="B203" s="28" t="str">
        <f>IF(Feb!$C78="SI",Feb!$B$67,"")</f>
        <v/>
      </c>
      <c r="C203" s="28" t="str">
        <f>IF(Feb!$C78="SI",Feb!$B78,"")</f>
        <v/>
      </c>
      <c r="D203" s="28" t="str">
        <f>IF(Feb!$C78="SI",Feb!$F78,"")</f>
        <v/>
      </c>
      <c r="E203" s="47" t="s">
        <v>108</v>
      </c>
    </row>
    <row r="204" spans="2:5" x14ac:dyDescent="0.2">
      <c r="B204" s="28" t="str">
        <f>IF(Feb!$C82="SI",Feb!$B$81,"")</f>
        <v/>
      </c>
      <c r="C204" s="28" t="str">
        <f>IF(Feb!$C82="SI",Feb!$B82,"")</f>
        <v/>
      </c>
      <c r="D204" s="28" t="str">
        <f>IF(Feb!$C82="SI",Feb!$F82,"")</f>
        <v/>
      </c>
      <c r="E204" s="47" t="s">
        <v>108</v>
      </c>
    </row>
    <row r="205" spans="2:5" x14ac:dyDescent="0.2">
      <c r="B205" s="28" t="str">
        <f>IF(Feb!$C83="SI",Feb!$B$81,"")</f>
        <v/>
      </c>
      <c r="C205" s="28" t="str">
        <f>IF(Feb!$C83="SI",Feb!$B83,"")</f>
        <v/>
      </c>
      <c r="D205" s="28" t="str">
        <f>IF(Feb!$C83="SI",Feb!$F83,"")</f>
        <v/>
      </c>
      <c r="E205" s="47" t="s">
        <v>108</v>
      </c>
    </row>
    <row r="206" spans="2:5" x14ac:dyDescent="0.2">
      <c r="B206" s="28" t="str">
        <f>IF(Feb!$C84="SI",Feb!$B$81,"")</f>
        <v/>
      </c>
      <c r="C206" s="28" t="str">
        <f>IF(Feb!$C84="SI",Feb!$B84,"")</f>
        <v/>
      </c>
      <c r="D206" s="28" t="str">
        <f>IF(Feb!$C84="SI",Feb!$F84,"")</f>
        <v/>
      </c>
      <c r="E206" s="47" t="s">
        <v>108</v>
      </c>
    </row>
    <row r="207" spans="2:5" x14ac:dyDescent="0.2">
      <c r="B207" s="28" t="str">
        <f>IF(Feb!$C85="SI",Feb!$B$81,"")</f>
        <v/>
      </c>
      <c r="C207" s="28" t="str">
        <f>IF(Feb!$C85="SI",Feb!$B85,"")</f>
        <v/>
      </c>
      <c r="D207" s="28" t="str">
        <f>IF(Feb!$C85="SI",Feb!$F85,"")</f>
        <v/>
      </c>
      <c r="E207" s="47" t="s">
        <v>108</v>
      </c>
    </row>
    <row r="208" spans="2:5" x14ac:dyDescent="0.2">
      <c r="B208" s="28" t="str">
        <f>IF(Feb!$C86="SI",Feb!$B$81,"")</f>
        <v/>
      </c>
      <c r="C208" s="28" t="str">
        <f>IF(Feb!$C86="SI",Feb!$B86,"")</f>
        <v/>
      </c>
      <c r="D208" s="28" t="str">
        <f>IF(Feb!$C86="SI",Feb!$F86,"")</f>
        <v/>
      </c>
      <c r="E208" s="47" t="s">
        <v>108</v>
      </c>
    </row>
    <row r="209" spans="2:5" x14ac:dyDescent="0.2">
      <c r="B209" s="28" t="str">
        <f>IF(Feb!$C87="SI",Feb!$B$81,"")</f>
        <v/>
      </c>
      <c r="C209" s="28" t="str">
        <f>IF(Feb!$C87="SI",Feb!$B87,"")</f>
        <v/>
      </c>
      <c r="D209" s="28" t="str">
        <f>IF(Feb!$C87="SI",Feb!$F87,"")</f>
        <v/>
      </c>
      <c r="E209" s="47" t="s">
        <v>108</v>
      </c>
    </row>
    <row r="210" spans="2:5" x14ac:dyDescent="0.2">
      <c r="B210" s="28" t="str">
        <f>IF(Feb!$C91="SI",Feb!$B$90,"")</f>
        <v/>
      </c>
      <c r="C210" s="28" t="str">
        <f>IF(Feb!$C91="SI",Feb!$B91,"")</f>
        <v/>
      </c>
      <c r="D210" s="28" t="str">
        <f>IF(Feb!$C91="SI",Feb!$F91,"")</f>
        <v/>
      </c>
      <c r="E210" s="47" t="s">
        <v>108</v>
      </c>
    </row>
    <row r="211" spans="2:5" x14ac:dyDescent="0.2">
      <c r="B211" s="28" t="str">
        <f>IF(Feb!$C92="SI",Feb!$B$90,"")</f>
        <v/>
      </c>
      <c r="C211" s="28" t="str">
        <f>IF(Feb!$C92="SI",Feb!$B92,"")</f>
        <v/>
      </c>
      <c r="D211" s="28" t="str">
        <f>IF(Feb!$C92="SI",Feb!$F92,"")</f>
        <v/>
      </c>
      <c r="E211" s="47" t="s">
        <v>108</v>
      </c>
    </row>
    <row r="212" spans="2:5" x14ac:dyDescent="0.2">
      <c r="B212" s="28" t="str">
        <f>IF(Feb!$C93="SI",Feb!$B$90,"")</f>
        <v/>
      </c>
      <c r="C212" s="28" t="str">
        <f>IF(Feb!$C93="SI",Feb!$B93,"")</f>
        <v/>
      </c>
      <c r="D212" s="28" t="str">
        <f>IF(Feb!$C93="SI",Feb!$F93,"")</f>
        <v/>
      </c>
      <c r="E212" s="47" t="s">
        <v>108</v>
      </c>
    </row>
    <row r="213" spans="2:5" x14ac:dyDescent="0.2">
      <c r="B213" s="28" t="str">
        <f>IF(Feb!$C94="SI",Feb!$B$90,"")</f>
        <v/>
      </c>
      <c r="C213" s="28" t="str">
        <f>IF(Feb!$C94="SI",Feb!$B94,"")</f>
        <v/>
      </c>
      <c r="D213" s="28" t="str">
        <f>IF(Feb!$C94="SI",Feb!$F94,"")</f>
        <v/>
      </c>
      <c r="E213" s="47" t="s">
        <v>108</v>
      </c>
    </row>
    <row r="214" spans="2:5" x14ac:dyDescent="0.2">
      <c r="B214" s="28" t="str">
        <f>IF(Feb!$C95="SI",Feb!$B$90,"")</f>
        <v/>
      </c>
      <c r="C214" s="28" t="str">
        <f>IF(Feb!$C95="SI",Feb!$B95,"")</f>
        <v/>
      </c>
      <c r="D214" s="28" t="str">
        <f>IF(Feb!$C95="SI",Feb!$F95,"")</f>
        <v/>
      </c>
      <c r="E214" s="47" t="s">
        <v>108</v>
      </c>
    </row>
    <row r="215" spans="2:5" x14ac:dyDescent="0.2">
      <c r="B215" s="28" t="str">
        <f>IF(Feb!$C96="SI",Feb!$B$90,"")</f>
        <v/>
      </c>
      <c r="C215" s="28" t="str">
        <f>IF(Feb!$C96="SI",Feb!$B96,"")</f>
        <v/>
      </c>
      <c r="D215" s="28" t="str">
        <f>IF(Feb!$C96="SI",Feb!$F96,"")</f>
        <v/>
      </c>
      <c r="E215" s="47" t="s">
        <v>108</v>
      </c>
    </row>
    <row r="216" spans="2:5" x14ac:dyDescent="0.2">
      <c r="B216" s="28" t="str">
        <f>IF(Feb!$C97="SI",Feb!$B$90,"")</f>
        <v/>
      </c>
      <c r="C216" s="28" t="str">
        <f>IF(Feb!$C97="SI",Feb!$B97,"")</f>
        <v/>
      </c>
      <c r="D216" s="28" t="str">
        <f>IF(Feb!$C97="SI",Feb!$F97,"")</f>
        <v/>
      </c>
      <c r="E216" s="47" t="s">
        <v>108</v>
      </c>
    </row>
    <row r="217" spans="2:5" x14ac:dyDescent="0.2">
      <c r="B217" s="28" t="str">
        <f>IF(Feb!$C101="SI",Feb!$B$100,"")</f>
        <v/>
      </c>
      <c r="C217" s="28" t="str">
        <f>IF(Feb!$C101="SI",Feb!$B101,"")</f>
        <v/>
      </c>
      <c r="D217" s="28" t="str">
        <f>IF(Feb!$C101="SI",Feb!$F101,"")</f>
        <v/>
      </c>
      <c r="E217" s="47" t="s">
        <v>108</v>
      </c>
    </row>
    <row r="218" spans="2:5" x14ac:dyDescent="0.2">
      <c r="B218" s="28" t="str">
        <f>IF(Feb!$C102="SI",Feb!$B$100,"")</f>
        <v/>
      </c>
      <c r="C218" s="28" t="str">
        <f>IF(Feb!$C102="SI",Feb!$B102,"")</f>
        <v/>
      </c>
      <c r="D218" s="28" t="str">
        <f>IF(Feb!$C102="SI",Feb!$F102,"")</f>
        <v/>
      </c>
      <c r="E218" s="47" t="s">
        <v>108</v>
      </c>
    </row>
    <row r="219" spans="2:5" x14ac:dyDescent="0.2">
      <c r="B219" s="28" t="str">
        <f>IF(Feb!$C103="SI",Feb!$B$100,"")</f>
        <v/>
      </c>
      <c r="C219" s="28" t="str">
        <f>IF(Feb!$C103="SI",Feb!$B103,"")</f>
        <v/>
      </c>
      <c r="D219" s="28" t="str">
        <f>IF(Feb!$C103="SI",Feb!$F103,"")</f>
        <v/>
      </c>
      <c r="E219" s="47" t="s">
        <v>108</v>
      </c>
    </row>
    <row r="220" spans="2:5" x14ac:dyDescent="0.2">
      <c r="B220" s="28" t="str">
        <f>IF(Feb!$C104="SI",Feb!$B$100,"")</f>
        <v/>
      </c>
      <c r="C220" s="28" t="str">
        <f>IF(Feb!$C104="SI",Feb!$B104,"")</f>
        <v/>
      </c>
      <c r="D220" s="28" t="str">
        <f>IF(Feb!$C104="SI",Feb!$F104,"")</f>
        <v/>
      </c>
      <c r="E220" s="47" t="s">
        <v>108</v>
      </c>
    </row>
    <row r="221" spans="2:5" x14ac:dyDescent="0.2">
      <c r="B221" s="28" t="str">
        <f>IF(Feb!$C105="SI",Feb!$B$100,"")</f>
        <v/>
      </c>
      <c r="C221" s="28" t="str">
        <f>IF(Feb!$C105="SI",Feb!$B105,"")</f>
        <v/>
      </c>
      <c r="D221" s="28" t="str">
        <f>IF(Feb!$C105="SI",Feb!$F105,"")</f>
        <v/>
      </c>
      <c r="E221" s="47" t="s">
        <v>108</v>
      </c>
    </row>
    <row r="222" spans="2:5" x14ac:dyDescent="0.2">
      <c r="B222" s="28" t="str">
        <f>IF(Feb!$C106="SI",Feb!$B$100,"")</f>
        <v/>
      </c>
      <c r="C222" s="28" t="str">
        <f>IF(Feb!$C106="SI",Feb!$B106,"")</f>
        <v/>
      </c>
      <c r="D222" s="28" t="str">
        <f>IF(Feb!$C106="SI",Feb!$F106,"")</f>
        <v/>
      </c>
      <c r="E222" s="47" t="s">
        <v>108</v>
      </c>
    </row>
    <row r="223" spans="2:5" x14ac:dyDescent="0.2">
      <c r="B223" s="28" t="str">
        <f>IF(Feb!$C107="SI",Feb!$B$100,"")</f>
        <v/>
      </c>
      <c r="C223" s="28" t="str">
        <f>IF(Feb!$C107="SI",Feb!$B107,"")</f>
        <v/>
      </c>
      <c r="D223" s="28" t="str">
        <f>IF(Feb!$C107="SI",Feb!$F107,"")</f>
        <v/>
      </c>
      <c r="E223" s="47" t="s">
        <v>108</v>
      </c>
    </row>
    <row r="224" spans="2:5" x14ac:dyDescent="0.2">
      <c r="B224" s="29"/>
      <c r="C224" s="29"/>
      <c r="D224" s="29"/>
      <c r="E224" s="47" t="s">
        <v>108</v>
      </c>
    </row>
    <row r="225" spans="2:5" x14ac:dyDescent="0.2">
      <c r="B225" s="28" t="str">
        <f>IF(Feb!$I13="SI",Feb!$H$12,"")</f>
        <v/>
      </c>
      <c r="C225" s="28" t="str">
        <f>IF(Feb!$I13="SI",Feb!$H13,"")</f>
        <v/>
      </c>
      <c r="D225" s="28" t="str">
        <f>IF(Feb!$I13="SI",Feb!$L13,"")</f>
        <v/>
      </c>
      <c r="E225" s="47" t="s">
        <v>108</v>
      </c>
    </row>
    <row r="226" spans="2:5" x14ac:dyDescent="0.2">
      <c r="B226" s="28" t="str">
        <f>IF(Feb!$I14="SI",Feb!$H$12,"")</f>
        <v/>
      </c>
      <c r="C226" s="28" t="str">
        <f>IF(Feb!$I14="SI",Feb!$H14,"")</f>
        <v/>
      </c>
      <c r="D226" s="28" t="str">
        <f>IF(Feb!$I14="SI",Feb!$L14,"")</f>
        <v/>
      </c>
      <c r="E226" s="47" t="s">
        <v>108</v>
      </c>
    </row>
    <row r="227" spans="2:5" x14ac:dyDescent="0.2">
      <c r="B227" s="28" t="str">
        <f>IF(Feb!$I15="SI",Feb!$H$12,"")</f>
        <v/>
      </c>
      <c r="C227" s="28" t="str">
        <f>IF(Feb!$I15="SI",Feb!$H15,"")</f>
        <v/>
      </c>
      <c r="D227" s="28" t="str">
        <f>IF(Feb!$I15="SI",Feb!$L15,"")</f>
        <v/>
      </c>
      <c r="E227" s="47" t="s">
        <v>108</v>
      </c>
    </row>
    <row r="228" spans="2:5" x14ac:dyDescent="0.2">
      <c r="B228" s="28" t="str">
        <f>IF(Feb!$I16="SI",Feb!$H$12,"")</f>
        <v/>
      </c>
      <c r="C228" s="28" t="str">
        <f>IF(Feb!$I16="SI",Feb!$H16,"")</f>
        <v/>
      </c>
      <c r="D228" s="28" t="str">
        <f>IF(Feb!$I16="SI",Feb!$L16,"")</f>
        <v/>
      </c>
      <c r="E228" s="47" t="s">
        <v>108</v>
      </c>
    </row>
    <row r="229" spans="2:5" x14ac:dyDescent="0.2">
      <c r="B229" s="28" t="str">
        <f>IF(Feb!$I17="SI",Feb!$H$12,"")</f>
        <v/>
      </c>
      <c r="C229" s="28" t="str">
        <f>IF(Feb!$I17="SI",Feb!$H17,"")</f>
        <v/>
      </c>
      <c r="D229" s="28" t="str">
        <f>IF(Feb!$I17="SI",Feb!$L17,"")</f>
        <v/>
      </c>
      <c r="E229" s="47" t="s">
        <v>108</v>
      </c>
    </row>
    <row r="230" spans="2:5" x14ac:dyDescent="0.2">
      <c r="B230" s="28" t="str">
        <f>IF(Feb!$I18="SI",Feb!$H$12,"")</f>
        <v/>
      </c>
      <c r="C230" s="28" t="str">
        <f>IF(Feb!$I18="SI",Feb!$H18,"")</f>
        <v/>
      </c>
      <c r="D230" s="28" t="str">
        <f>IF(Feb!$I18="SI",Feb!$L18,"")</f>
        <v/>
      </c>
      <c r="E230" s="47" t="s">
        <v>108</v>
      </c>
    </row>
    <row r="231" spans="2:5" x14ac:dyDescent="0.2">
      <c r="B231" s="28" t="str">
        <f>IF(Feb!$I19="SI",Feb!$H$12,"")</f>
        <v/>
      </c>
      <c r="C231" s="28" t="str">
        <f>IF(Feb!$I19="SI",Feb!$H19,"")</f>
        <v/>
      </c>
      <c r="D231" s="28" t="str">
        <f>IF(Feb!$I19="SI",Feb!$L19,"")</f>
        <v/>
      </c>
      <c r="E231" s="47" t="s">
        <v>108</v>
      </c>
    </row>
    <row r="232" spans="2:5" x14ac:dyDescent="0.2">
      <c r="B232" s="28" t="str">
        <f>IF(Feb!$I20="SI",Feb!$H$12,"")</f>
        <v/>
      </c>
      <c r="C232" s="28" t="str">
        <f>IF(Feb!$I20="SI",Feb!$H20,"")</f>
        <v/>
      </c>
      <c r="D232" s="28" t="str">
        <f>IF(Feb!$I20="SI",Feb!$L20,"")</f>
        <v/>
      </c>
      <c r="E232" s="47" t="s">
        <v>108</v>
      </c>
    </row>
    <row r="233" spans="2:5" x14ac:dyDescent="0.2">
      <c r="B233" s="28" t="str">
        <f>IF(Feb!$I21="SI",Feb!$H$12,"")</f>
        <v/>
      </c>
      <c r="C233" s="28" t="str">
        <f>IF(Feb!$I21="SI",Feb!$H21,"")</f>
        <v/>
      </c>
      <c r="D233" s="28" t="str">
        <f>IF(Feb!$I21="SI",Feb!$L21,"")</f>
        <v/>
      </c>
      <c r="E233" s="47" t="s">
        <v>108</v>
      </c>
    </row>
    <row r="234" spans="2:5" x14ac:dyDescent="0.2">
      <c r="B234" s="28" t="str">
        <f>IF(Feb!$I22="SI",Feb!$H$12,"")</f>
        <v/>
      </c>
      <c r="C234" s="28" t="str">
        <f>IF(Feb!$I22="SI",Feb!$H22,"")</f>
        <v/>
      </c>
      <c r="D234" s="28" t="str">
        <f>IF(Feb!$I22="SI",Feb!$L22,"")</f>
        <v/>
      </c>
      <c r="E234" s="47" t="s">
        <v>108</v>
      </c>
    </row>
    <row r="235" spans="2:5" x14ac:dyDescent="0.2">
      <c r="B235" s="28" t="str">
        <f>IF(Feb!$I23="SI",Feb!$H$12,"")</f>
        <v/>
      </c>
      <c r="C235" s="28" t="str">
        <f>IF(Feb!$I23="SI",Feb!$H23,"")</f>
        <v/>
      </c>
      <c r="D235" s="28" t="str">
        <f>IF(Feb!$I23="SI",Feb!$L23,"")</f>
        <v/>
      </c>
      <c r="E235" s="47" t="s">
        <v>108</v>
      </c>
    </row>
    <row r="236" spans="2:5" x14ac:dyDescent="0.2">
      <c r="B236" s="28" t="str">
        <f>IF(Feb!$I24="SI",Feb!$H$12,"")</f>
        <v/>
      </c>
      <c r="C236" s="28" t="str">
        <f>IF(Feb!$I24="SI",Feb!$H24,"")</f>
        <v/>
      </c>
      <c r="D236" s="28" t="str">
        <f>IF(Feb!$I24="SI",Feb!$L24,"")</f>
        <v/>
      </c>
      <c r="E236" s="47" t="s">
        <v>108</v>
      </c>
    </row>
    <row r="237" spans="2:5" x14ac:dyDescent="0.2">
      <c r="B237" s="28" t="str">
        <f>IF(Feb!$I28="SI",Feb!$H$27,"")</f>
        <v/>
      </c>
      <c r="C237" s="28" t="str">
        <f>IF(Feb!$I28="SI",Feb!$H28,"")</f>
        <v/>
      </c>
      <c r="D237" s="28" t="str">
        <f>IF(Feb!$I28="SI",Feb!$L28,"")</f>
        <v/>
      </c>
      <c r="E237" s="47" t="s">
        <v>108</v>
      </c>
    </row>
    <row r="238" spans="2:5" x14ac:dyDescent="0.2">
      <c r="B238" s="28" t="str">
        <f>IF(Feb!$I29="SI",Feb!$H$27,"")</f>
        <v/>
      </c>
      <c r="C238" s="28" t="str">
        <f>IF(Feb!$I29="SI",Feb!$H29,"")</f>
        <v/>
      </c>
      <c r="D238" s="28" t="str">
        <f>IF(Feb!$I29="SI",Feb!$L29,"")</f>
        <v/>
      </c>
      <c r="E238" s="47" t="s">
        <v>108</v>
      </c>
    </row>
    <row r="239" spans="2:5" x14ac:dyDescent="0.2">
      <c r="B239" s="28" t="str">
        <f>IF(Feb!$I30="SI",Feb!$H$27,"")</f>
        <v/>
      </c>
      <c r="C239" s="28" t="str">
        <f>IF(Feb!$I30="SI",Feb!$H30,"")</f>
        <v/>
      </c>
      <c r="D239" s="28" t="str">
        <f>IF(Feb!$I30="SI",Feb!$L30,"")</f>
        <v/>
      </c>
      <c r="E239" s="47" t="s">
        <v>108</v>
      </c>
    </row>
    <row r="240" spans="2:5" x14ac:dyDescent="0.2">
      <c r="B240" s="28" t="str">
        <f>IF(Feb!$I31="SI",Feb!$H$27,"")</f>
        <v/>
      </c>
      <c r="C240" s="28" t="str">
        <f>IF(Feb!$I31="SI",Feb!$H31,"")</f>
        <v/>
      </c>
      <c r="D240" s="28" t="str">
        <f>IF(Feb!$I31="SI",Feb!$L31,"")</f>
        <v/>
      </c>
      <c r="E240" s="47" t="s">
        <v>108</v>
      </c>
    </row>
    <row r="241" spans="2:5" x14ac:dyDescent="0.2">
      <c r="B241" s="28" t="str">
        <f>IF(Feb!$I32="SI",Feb!$H$27,"")</f>
        <v/>
      </c>
      <c r="C241" s="28" t="str">
        <f>IF(Feb!$I32="SI",Feb!$H32,"")</f>
        <v/>
      </c>
      <c r="D241" s="28" t="str">
        <f>IF(Feb!$I32="SI",Feb!$L32,"")</f>
        <v/>
      </c>
      <c r="E241" s="47" t="s">
        <v>108</v>
      </c>
    </row>
    <row r="242" spans="2:5" x14ac:dyDescent="0.2">
      <c r="B242" s="28" t="str">
        <f>IF(Feb!$I33="SI",Feb!$H$27,"")</f>
        <v/>
      </c>
      <c r="C242" s="28" t="str">
        <f>IF(Feb!$I33="SI",Feb!$H33,"")</f>
        <v/>
      </c>
      <c r="D242" s="28" t="str">
        <f>IF(Feb!$I33="SI",Feb!$L33,"")</f>
        <v/>
      </c>
      <c r="E242" s="47" t="s">
        <v>108</v>
      </c>
    </row>
    <row r="243" spans="2:5" x14ac:dyDescent="0.2">
      <c r="B243" s="28" t="str">
        <f>IF(Feb!$I34="SI",Feb!$H$27,"")</f>
        <v/>
      </c>
      <c r="C243" s="28" t="str">
        <f>IF(Feb!$I34="SI",Feb!$H34,"")</f>
        <v/>
      </c>
      <c r="D243" s="28" t="str">
        <f>IF(Feb!$I34="SI",Feb!$L34,"")</f>
        <v/>
      </c>
      <c r="E243" s="47" t="s">
        <v>108</v>
      </c>
    </row>
    <row r="244" spans="2:5" x14ac:dyDescent="0.2">
      <c r="B244" s="28" t="str">
        <f>IF(Feb!$I35="SI",Feb!$H$27,"")</f>
        <v/>
      </c>
      <c r="C244" s="28" t="str">
        <f>IF(Feb!$I35="SI",Feb!$H35,"")</f>
        <v/>
      </c>
      <c r="D244" s="28" t="str">
        <f>IF(Feb!$I35="SI",Feb!$L35,"")</f>
        <v/>
      </c>
      <c r="E244" s="47" t="s">
        <v>108</v>
      </c>
    </row>
    <row r="245" spans="2:5" x14ac:dyDescent="0.2">
      <c r="B245" s="28" t="str">
        <f>IF(Feb!$I39="SI",Feb!$H$38,"")</f>
        <v/>
      </c>
      <c r="C245" s="28" t="str">
        <f>IF(Feb!$I39="SI",Feb!$H39,"")</f>
        <v/>
      </c>
      <c r="D245" s="28" t="str">
        <f>IF(Feb!$I39="SI",Feb!$L39,"")</f>
        <v/>
      </c>
      <c r="E245" s="47" t="s">
        <v>108</v>
      </c>
    </row>
    <row r="246" spans="2:5" x14ac:dyDescent="0.2">
      <c r="B246" s="28" t="str">
        <f>IF(Feb!$I40="SI",Feb!$H$38,"")</f>
        <v/>
      </c>
      <c r="C246" s="28" t="str">
        <f>IF(Feb!$I40="SI",Feb!$H40,"")</f>
        <v/>
      </c>
      <c r="D246" s="28" t="str">
        <f>IF(Feb!$I40="SI",Feb!$L40,"")</f>
        <v/>
      </c>
      <c r="E246" s="47" t="s">
        <v>108</v>
      </c>
    </row>
    <row r="247" spans="2:5" x14ac:dyDescent="0.2">
      <c r="B247" s="28" t="str">
        <f>IF(Feb!$I41="SI",Feb!$H$38,"")</f>
        <v/>
      </c>
      <c r="C247" s="28" t="str">
        <f>IF(Feb!$I41="SI",Feb!$H41,"")</f>
        <v/>
      </c>
      <c r="D247" s="28" t="str">
        <f>IF(Feb!$I41="SI",Feb!$L41,"")</f>
        <v/>
      </c>
      <c r="E247" s="47" t="s">
        <v>108</v>
      </c>
    </row>
    <row r="248" spans="2:5" x14ac:dyDescent="0.2">
      <c r="B248" s="28" t="str">
        <f>IF(Feb!$I42="SI",Feb!$H$38,"")</f>
        <v/>
      </c>
      <c r="C248" s="28" t="str">
        <f>IF(Feb!$I42="SI",Feb!$H42,"")</f>
        <v/>
      </c>
      <c r="D248" s="28" t="str">
        <f>IF(Feb!$I42="SI",Feb!$L42,"")</f>
        <v/>
      </c>
      <c r="E248" s="47" t="s">
        <v>108</v>
      </c>
    </row>
    <row r="249" spans="2:5" x14ac:dyDescent="0.2">
      <c r="B249" s="28" t="str">
        <f>IF(Feb!$I43="SI",Feb!$H$38,"")</f>
        <v/>
      </c>
      <c r="C249" s="28" t="str">
        <f>IF(Feb!$I43="SI",Feb!$H43,"")</f>
        <v/>
      </c>
      <c r="D249" s="28" t="str">
        <f>IF(Feb!$I43="SI",Feb!$L43,"")</f>
        <v/>
      </c>
      <c r="E249" s="47" t="s">
        <v>108</v>
      </c>
    </row>
    <row r="250" spans="2:5" x14ac:dyDescent="0.2">
      <c r="B250" s="28" t="str">
        <f>IF(Feb!$I44="SI",Feb!$H$38,"")</f>
        <v/>
      </c>
      <c r="C250" s="28" t="str">
        <f>IF(Feb!$I44="SI",Feb!$H44,"")</f>
        <v/>
      </c>
      <c r="D250" s="28" t="str">
        <f>IF(Feb!$I44="SI",Feb!$L44,"")</f>
        <v/>
      </c>
      <c r="E250" s="47" t="s">
        <v>108</v>
      </c>
    </row>
    <row r="251" spans="2:5" x14ac:dyDescent="0.2">
      <c r="B251" s="28" t="str">
        <f>IF(Feb!$I45="SI",Feb!$H$38,"")</f>
        <v/>
      </c>
      <c r="C251" s="28" t="str">
        <f>IF(Feb!$I45="SI",Feb!$H45,"")</f>
        <v/>
      </c>
      <c r="D251" s="28" t="str">
        <f>IF(Feb!$I45="SI",Feb!$L45,"")</f>
        <v/>
      </c>
      <c r="E251" s="47" t="s">
        <v>108</v>
      </c>
    </row>
    <row r="252" spans="2:5" x14ac:dyDescent="0.2">
      <c r="B252" s="28" t="str">
        <f>IF(Feb!$I49="SI",Feb!$H$48,"")</f>
        <v/>
      </c>
      <c r="C252" s="28" t="str">
        <f>IF(Feb!$I49="SI",Feb!$H49,"")</f>
        <v/>
      </c>
      <c r="D252" s="28" t="str">
        <f>IF(Feb!$I49="SI",Feb!$L49,"")</f>
        <v/>
      </c>
      <c r="E252" s="47" t="s">
        <v>108</v>
      </c>
    </row>
    <row r="253" spans="2:5" x14ac:dyDescent="0.2">
      <c r="B253" s="28" t="str">
        <f>IF(Feb!$I50="SI",Feb!$H$48,"")</f>
        <v/>
      </c>
      <c r="C253" s="28" t="str">
        <f>IF(Feb!$I50="SI",Feb!$H50,"")</f>
        <v/>
      </c>
      <c r="D253" s="28" t="str">
        <f>IF(Feb!$I50="SI",Feb!$L50,"")</f>
        <v/>
      </c>
      <c r="E253" s="47" t="s">
        <v>108</v>
      </c>
    </row>
    <row r="254" spans="2:5" x14ac:dyDescent="0.2">
      <c r="B254" s="28" t="str">
        <f>IF(Feb!$I51="SI",Feb!$H$48,"")</f>
        <v/>
      </c>
      <c r="C254" s="28" t="str">
        <f>IF(Feb!$I51="SI",Feb!$H51,"")</f>
        <v/>
      </c>
      <c r="D254" s="28" t="str">
        <f>IF(Feb!$I51="SI",Feb!$L51,"")</f>
        <v/>
      </c>
      <c r="E254" s="47" t="s">
        <v>108</v>
      </c>
    </row>
    <row r="255" spans="2:5" x14ac:dyDescent="0.2">
      <c r="B255" s="28" t="str">
        <f>IF(Feb!$I52="SI",Feb!$H$48,"")</f>
        <v/>
      </c>
      <c r="C255" s="28" t="str">
        <f>IF(Feb!$I52="SI",Feb!$H52,"")</f>
        <v/>
      </c>
      <c r="D255" s="28" t="str">
        <f>IF(Feb!$I52="SI",Feb!$L52,"")</f>
        <v/>
      </c>
      <c r="E255" s="47" t="s">
        <v>108</v>
      </c>
    </row>
    <row r="256" spans="2:5" x14ac:dyDescent="0.2">
      <c r="B256" s="28" t="str">
        <f>IF(Feb!$I53="SI",Feb!$H$48,"")</f>
        <v/>
      </c>
      <c r="C256" s="28" t="str">
        <f>IF(Feb!$I53="SI",Feb!$H53,"")</f>
        <v/>
      </c>
      <c r="D256" s="28" t="str">
        <f>IF(Feb!$I53="SI",Feb!$L53,"")</f>
        <v/>
      </c>
      <c r="E256" s="47" t="s">
        <v>108</v>
      </c>
    </row>
    <row r="257" spans="2:5" x14ac:dyDescent="0.2">
      <c r="B257" s="28" t="str">
        <f>IF(Feb!$I54="SI",Feb!$H$48,"")</f>
        <v/>
      </c>
      <c r="C257" s="28" t="str">
        <f>IF(Feb!$I54="SI",Feb!$H54,"")</f>
        <v/>
      </c>
      <c r="D257" s="28" t="str">
        <f>IF(Feb!$I54="SI",Feb!$L54,"")</f>
        <v/>
      </c>
      <c r="E257" s="47" t="s">
        <v>108</v>
      </c>
    </row>
    <row r="258" spans="2:5" x14ac:dyDescent="0.2">
      <c r="B258" s="28" t="str">
        <f>IF(Feb!$I58="SI",Feb!$H$57,"")</f>
        <v/>
      </c>
      <c r="C258" s="28" t="str">
        <f>IF(Feb!$I58="SI",Feb!$H58,"")</f>
        <v/>
      </c>
      <c r="D258" s="28" t="str">
        <f>IF(Feb!$I58="SI",Feb!$L58,"")</f>
        <v/>
      </c>
      <c r="E258" s="47" t="s">
        <v>108</v>
      </c>
    </row>
    <row r="259" spans="2:5" x14ac:dyDescent="0.2">
      <c r="B259" s="28" t="str">
        <f>IF(Feb!$I59="SI",Feb!$H$57,"")</f>
        <v/>
      </c>
      <c r="C259" s="28" t="str">
        <f>IF(Feb!$I59="SI",Feb!$H59,"")</f>
        <v/>
      </c>
      <c r="D259" s="28" t="str">
        <f>IF(Feb!$I59="SI",Feb!$L59,"")</f>
        <v/>
      </c>
      <c r="E259" s="47" t="s">
        <v>108</v>
      </c>
    </row>
    <row r="260" spans="2:5" x14ac:dyDescent="0.2">
      <c r="B260" s="28" t="str">
        <f>IF(Feb!$I60="SI",Feb!$H$57,"")</f>
        <v/>
      </c>
      <c r="C260" s="28" t="str">
        <f>IF(Feb!$I60="SI",Feb!$H60,"")</f>
        <v/>
      </c>
      <c r="D260" s="28" t="str">
        <f>IF(Feb!$I60="SI",Feb!$L60,"")</f>
        <v/>
      </c>
      <c r="E260" s="47" t="s">
        <v>108</v>
      </c>
    </row>
    <row r="261" spans="2:5" x14ac:dyDescent="0.2">
      <c r="B261" s="28" t="str">
        <f>IF(Feb!$I61="SI",Feb!$H$57,"")</f>
        <v/>
      </c>
      <c r="C261" s="28" t="str">
        <f>IF(Feb!$I61="SI",Feb!$H61,"")</f>
        <v/>
      </c>
      <c r="D261" s="28" t="str">
        <f>IF(Feb!$I61="SI",Feb!$L61,"")</f>
        <v/>
      </c>
      <c r="E261" s="47" t="s">
        <v>108</v>
      </c>
    </row>
    <row r="262" spans="2:5" x14ac:dyDescent="0.2">
      <c r="B262" s="28" t="str">
        <f>IF(Feb!$I62="SI",Feb!$H$57,"")</f>
        <v/>
      </c>
      <c r="C262" s="28" t="str">
        <f>IF(Feb!$I62="SI",Feb!$H62,"")</f>
        <v/>
      </c>
      <c r="D262" s="28" t="str">
        <f>IF(Feb!$I62="SI",Feb!$L62,"")</f>
        <v/>
      </c>
      <c r="E262" s="47" t="s">
        <v>108</v>
      </c>
    </row>
    <row r="263" spans="2:5" x14ac:dyDescent="0.2">
      <c r="B263" s="28" t="str">
        <f>IF(Feb!$I63="SI",Feb!$H$57,"")</f>
        <v/>
      </c>
      <c r="C263" s="28" t="str">
        <f>IF(Feb!$I63="SI",Feb!$H63,"")</f>
        <v/>
      </c>
      <c r="D263" s="28" t="str">
        <f>IF(Feb!$I63="SI",Feb!$L63,"")</f>
        <v/>
      </c>
      <c r="E263" s="47" t="s">
        <v>108</v>
      </c>
    </row>
    <row r="264" spans="2:5" x14ac:dyDescent="0.2">
      <c r="B264" s="28" t="str">
        <f>IF(Feb!$I64="SI",Feb!$H$57,"")</f>
        <v/>
      </c>
      <c r="C264" s="28" t="str">
        <f>IF(Feb!$I64="SI",Feb!$H64,"")</f>
        <v/>
      </c>
      <c r="D264" s="28" t="str">
        <f>IF(Feb!$I64="SI",Feb!$L64,"")</f>
        <v/>
      </c>
      <c r="E264" s="47" t="s">
        <v>108</v>
      </c>
    </row>
    <row r="265" spans="2:5" x14ac:dyDescent="0.2">
      <c r="B265" s="28" t="str">
        <f>IF(Feb!$I68="SI",Feb!$H$67,"")</f>
        <v/>
      </c>
      <c r="C265" s="28" t="str">
        <f>IF(Feb!$I68="SI",Feb!$H68,"")</f>
        <v/>
      </c>
      <c r="D265" s="28" t="str">
        <f>IF(Feb!$I68="SI",Feb!$L68,"")</f>
        <v/>
      </c>
      <c r="E265" s="47" t="s">
        <v>108</v>
      </c>
    </row>
    <row r="266" spans="2:5" x14ac:dyDescent="0.2">
      <c r="B266" s="28" t="str">
        <f>IF(Feb!$I69="SI",Feb!$H$67,"")</f>
        <v/>
      </c>
      <c r="C266" s="28" t="str">
        <f>IF(Feb!$I69="SI",Feb!$H69,"")</f>
        <v/>
      </c>
      <c r="D266" s="28" t="str">
        <f>IF(Feb!$I69="SI",Feb!$L69,"")</f>
        <v/>
      </c>
      <c r="E266" s="47" t="s">
        <v>108</v>
      </c>
    </row>
    <row r="267" spans="2:5" x14ac:dyDescent="0.2">
      <c r="B267" s="28" t="str">
        <f>IF(Feb!$I70="SI",Feb!$H$67,"")</f>
        <v/>
      </c>
      <c r="C267" s="28" t="str">
        <f>IF(Feb!$I70="SI",Feb!$H70,"")</f>
        <v/>
      </c>
      <c r="D267" s="28" t="str">
        <f>IF(Feb!$I70="SI",Feb!$L70,"")</f>
        <v/>
      </c>
      <c r="E267" s="47" t="s">
        <v>108</v>
      </c>
    </row>
    <row r="268" spans="2:5" x14ac:dyDescent="0.2">
      <c r="B268" s="28" t="str">
        <f>IF(Feb!$I71="SI",Feb!$H$67,"")</f>
        <v/>
      </c>
      <c r="C268" s="28" t="str">
        <f>IF(Feb!$I71="SI",Feb!$H71,"")</f>
        <v/>
      </c>
      <c r="D268" s="28" t="str">
        <f>IF(Feb!$I71="SI",Feb!$L71,"")</f>
        <v/>
      </c>
      <c r="E268" s="47" t="s">
        <v>108</v>
      </c>
    </row>
    <row r="269" spans="2:5" x14ac:dyDescent="0.2">
      <c r="B269" s="28" t="str">
        <f>IF(Feb!$I72="SI",Feb!$H$67,"")</f>
        <v/>
      </c>
      <c r="C269" s="28" t="str">
        <f>IF(Feb!$I72="SI",Feb!$H72,"")</f>
        <v/>
      </c>
      <c r="D269" s="28" t="str">
        <f>IF(Feb!$I72="SI",Feb!$L72,"")</f>
        <v/>
      </c>
      <c r="E269" s="47" t="s">
        <v>108</v>
      </c>
    </row>
    <row r="270" spans="2:5" x14ac:dyDescent="0.2">
      <c r="B270" s="28" t="str">
        <f>IF(Feb!$I73="SI",Feb!$H$67,"")</f>
        <v/>
      </c>
      <c r="C270" s="28" t="str">
        <f>IF(Feb!$I73="SI",Feb!$H73,"")</f>
        <v/>
      </c>
      <c r="D270" s="28" t="str">
        <f>IF(Feb!$I73="SI",Feb!$L73,"")</f>
        <v/>
      </c>
      <c r="E270" s="47" t="s">
        <v>108</v>
      </c>
    </row>
    <row r="271" spans="2:5" x14ac:dyDescent="0.2">
      <c r="B271" s="28" t="str">
        <f>IF(Feb!$I74="SI",Feb!$H$67,"")</f>
        <v/>
      </c>
      <c r="C271" s="28" t="str">
        <f>IF(Feb!$I74="SI",Feb!$H74,"")</f>
        <v/>
      </c>
      <c r="D271" s="28" t="str">
        <f>IF(Feb!$I74="SI",Feb!$L74,"")</f>
        <v/>
      </c>
      <c r="E271" s="47" t="s">
        <v>108</v>
      </c>
    </row>
    <row r="272" spans="2:5" x14ac:dyDescent="0.2">
      <c r="B272" s="28" t="str">
        <f>IF(Feb!$I75="SI",Feb!$H$67,"")</f>
        <v/>
      </c>
      <c r="C272" s="28" t="str">
        <f>IF(Feb!$I75="SI",Feb!$H75,"")</f>
        <v/>
      </c>
      <c r="D272" s="28" t="str">
        <f>IF(Feb!$I75="SI",Feb!$L75,"")</f>
        <v/>
      </c>
      <c r="E272" s="47" t="s">
        <v>108</v>
      </c>
    </row>
    <row r="273" spans="2:5" x14ac:dyDescent="0.2">
      <c r="B273" s="28" t="str">
        <f>IF(Feb!$I76="SI",Feb!$H$67,"")</f>
        <v/>
      </c>
      <c r="C273" s="28" t="str">
        <f>IF(Feb!$I76="SI",Feb!$H76,"")</f>
        <v/>
      </c>
      <c r="D273" s="28" t="str">
        <f>IF(Feb!$I76="SI",Feb!$L76,"")</f>
        <v/>
      </c>
      <c r="E273" s="47" t="s">
        <v>108</v>
      </c>
    </row>
    <row r="274" spans="2:5" x14ac:dyDescent="0.2">
      <c r="B274" s="28" t="str">
        <f>IF(Feb!$I77="SI",Feb!$H$67,"")</f>
        <v/>
      </c>
      <c r="C274" s="28" t="str">
        <f>IF(Feb!$I77="SI",Feb!$H77,"")</f>
        <v/>
      </c>
      <c r="D274" s="28" t="str">
        <f>IF(Feb!$I77="SI",Feb!$L77,"")</f>
        <v/>
      </c>
      <c r="E274" s="47" t="s">
        <v>108</v>
      </c>
    </row>
    <row r="275" spans="2:5" x14ac:dyDescent="0.2">
      <c r="B275" s="28" t="str">
        <f>IF(Feb!$I78="SI",Feb!$H$67,"")</f>
        <v/>
      </c>
      <c r="C275" s="28" t="str">
        <f>IF(Feb!$I78="SI",Feb!$H78,"")</f>
        <v/>
      </c>
      <c r="D275" s="28" t="str">
        <f>IF(Feb!$I78="SI",Feb!$L78,"")</f>
        <v/>
      </c>
      <c r="E275" s="47" t="s">
        <v>108</v>
      </c>
    </row>
    <row r="276" spans="2:5" x14ac:dyDescent="0.2">
      <c r="B276" s="28" t="str">
        <f>IF(Feb!$I82="SI",Feb!$H$81,"")</f>
        <v/>
      </c>
      <c r="C276" s="28" t="str">
        <f>IF(Feb!$I82="SI",Feb!$H82,"")</f>
        <v/>
      </c>
      <c r="D276" s="28" t="str">
        <f>IF(Feb!$I82="SI",Feb!$L82,"")</f>
        <v/>
      </c>
      <c r="E276" s="47" t="s">
        <v>108</v>
      </c>
    </row>
    <row r="277" spans="2:5" x14ac:dyDescent="0.2">
      <c r="B277" s="28" t="str">
        <f>IF(Feb!$I83="SI",Feb!$H$81,"")</f>
        <v/>
      </c>
      <c r="C277" s="28" t="str">
        <f>IF(Feb!$I83="SI",Feb!$H83,"")</f>
        <v/>
      </c>
      <c r="D277" s="28" t="str">
        <f>IF(Feb!$I83="SI",Feb!$L83,"")</f>
        <v/>
      </c>
      <c r="E277" s="47" t="s">
        <v>108</v>
      </c>
    </row>
    <row r="278" spans="2:5" x14ac:dyDescent="0.2">
      <c r="B278" s="28" t="str">
        <f>IF(Feb!$I84="SI",Feb!$H$81,"")</f>
        <v/>
      </c>
      <c r="C278" s="28" t="str">
        <f>IF(Feb!$I84="SI",Feb!$H84,"")</f>
        <v/>
      </c>
      <c r="D278" s="28" t="str">
        <f>IF(Feb!$I84="SI",Feb!$L84,"")</f>
        <v/>
      </c>
      <c r="E278" s="47" t="s">
        <v>108</v>
      </c>
    </row>
    <row r="279" spans="2:5" x14ac:dyDescent="0.2">
      <c r="B279" s="28" t="str">
        <f>IF(Feb!$I85="SI",Feb!$H$81,"")</f>
        <v/>
      </c>
      <c r="C279" s="28" t="str">
        <f>IF(Feb!$I85="SI",Feb!$H85,"")</f>
        <v/>
      </c>
      <c r="D279" s="28" t="str">
        <f>IF(Feb!$I85="SI",Feb!$L85,"")</f>
        <v/>
      </c>
      <c r="E279" s="47" t="s">
        <v>108</v>
      </c>
    </row>
    <row r="280" spans="2:5" x14ac:dyDescent="0.2">
      <c r="B280" s="28" t="str">
        <f>IF(Feb!$I86="SI",Feb!$H$81,"")</f>
        <v/>
      </c>
      <c r="C280" s="28" t="str">
        <f>IF(Feb!$I86="SI",Feb!$H86,"")</f>
        <v/>
      </c>
      <c r="D280" s="28" t="str">
        <f>IF(Feb!$I86="SI",Feb!$L86,"")</f>
        <v/>
      </c>
      <c r="E280" s="47" t="s">
        <v>108</v>
      </c>
    </row>
    <row r="281" spans="2:5" x14ac:dyDescent="0.2">
      <c r="B281" s="28" t="str">
        <f>IF(Feb!$I87="SI",Feb!$H$81,"")</f>
        <v/>
      </c>
      <c r="C281" s="28" t="str">
        <f>IF(Feb!$I87="SI",Feb!$H87,"")</f>
        <v/>
      </c>
      <c r="D281" s="28" t="str">
        <f>IF(Feb!$I87="SI",Feb!$L87,"")</f>
        <v/>
      </c>
      <c r="E281" s="47" t="s">
        <v>108</v>
      </c>
    </row>
    <row r="282" spans="2:5" x14ac:dyDescent="0.2">
      <c r="B282" s="28" t="str">
        <f>IF(Feb!$I91="SI",Feb!$H$90,"")</f>
        <v/>
      </c>
      <c r="C282" s="28" t="str">
        <f>IF(Feb!$I91="SI",Feb!$H91,"")</f>
        <v/>
      </c>
      <c r="D282" s="28" t="str">
        <f>IF(Feb!$I91="SI",Feb!$L91,"")</f>
        <v/>
      </c>
      <c r="E282" s="47" t="s">
        <v>108</v>
      </c>
    </row>
    <row r="283" spans="2:5" x14ac:dyDescent="0.2">
      <c r="B283" s="28" t="str">
        <f>IF(Feb!$I92="SI",Feb!$H$90,"")</f>
        <v/>
      </c>
      <c r="C283" s="28" t="str">
        <f>IF(Feb!$I92="SI",Feb!$H92,"")</f>
        <v/>
      </c>
      <c r="D283" s="28" t="str">
        <f>IF(Feb!$I92="SI",Feb!$L92,"")</f>
        <v/>
      </c>
      <c r="E283" s="47" t="s">
        <v>108</v>
      </c>
    </row>
    <row r="284" spans="2:5" x14ac:dyDescent="0.2">
      <c r="B284" s="28" t="str">
        <f>IF(Feb!$I93="SI",Feb!$H$90,"")</f>
        <v/>
      </c>
      <c r="C284" s="28" t="str">
        <f>IF(Feb!$I93="SI",Feb!$H93,"")</f>
        <v/>
      </c>
      <c r="D284" s="28" t="str">
        <f>IF(Feb!$I93="SI",Feb!$L93,"")</f>
        <v/>
      </c>
      <c r="E284" s="47" t="s">
        <v>108</v>
      </c>
    </row>
    <row r="285" spans="2:5" x14ac:dyDescent="0.2">
      <c r="B285" s="28" t="str">
        <f>IF(Feb!$I94="SI",Feb!$H$90,"")</f>
        <v/>
      </c>
      <c r="C285" s="28" t="str">
        <f>IF(Feb!$I94="SI",Feb!$H94,"")</f>
        <v/>
      </c>
      <c r="D285" s="28" t="str">
        <f>IF(Feb!$I94="SI",Feb!$L94,"")</f>
        <v/>
      </c>
      <c r="E285" s="47" t="s">
        <v>108</v>
      </c>
    </row>
    <row r="286" spans="2:5" x14ac:dyDescent="0.2">
      <c r="B286" s="28" t="str">
        <f>IF(Feb!$I95="SI",Feb!$H$90,"")</f>
        <v/>
      </c>
      <c r="C286" s="28" t="str">
        <f>IF(Feb!$I95="SI",Feb!$H95,"")</f>
        <v/>
      </c>
      <c r="D286" s="28" t="str">
        <f>IF(Feb!$I95="SI",Feb!$L95,"")</f>
        <v/>
      </c>
      <c r="E286" s="47" t="s">
        <v>108</v>
      </c>
    </row>
    <row r="287" spans="2:5" x14ac:dyDescent="0.2">
      <c r="B287" s="28" t="str">
        <f>IF(Feb!$I96="SI",Feb!$H$90,"")</f>
        <v/>
      </c>
      <c r="C287" s="28" t="str">
        <f>IF(Feb!$I96="SI",Feb!$H96,"")</f>
        <v/>
      </c>
      <c r="D287" s="28" t="str">
        <f>IF(Feb!$I96="SI",Feb!$L96,"")</f>
        <v/>
      </c>
      <c r="E287" s="47" t="s">
        <v>108</v>
      </c>
    </row>
    <row r="288" spans="2:5" x14ac:dyDescent="0.2">
      <c r="B288" s="28" t="str">
        <f>IF(Feb!$I97="SI",Feb!$H$90,"")</f>
        <v/>
      </c>
      <c r="C288" s="28" t="str">
        <f>IF(Feb!$I97="SI",Feb!$H97,"")</f>
        <v/>
      </c>
      <c r="D288" s="28" t="str">
        <f>IF(Feb!$I97="SI",Feb!$L97,"")</f>
        <v/>
      </c>
      <c r="E288" s="47" t="s">
        <v>108</v>
      </c>
    </row>
    <row r="289" spans="2:5" x14ac:dyDescent="0.2">
      <c r="B289" s="28" t="str">
        <f>IF(Feb!$I101="SI",Feb!$H$100,"")</f>
        <v/>
      </c>
      <c r="C289" s="28" t="str">
        <f>IF(Feb!$I101="SI",Feb!$H101,"")</f>
        <v/>
      </c>
      <c r="D289" s="28" t="str">
        <f>IF(Feb!$I101="SI",Feb!$L101,"")</f>
        <v/>
      </c>
      <c r="E289" s="47" t="s">
        <v>108</v>
      </c>
    </row>
    <row r="290" spans="2:5" x14ac:dyDescent="0.2">
      <c r="B290" s="28" t="str">
        <f>IF(Feb!$I102="SI",Feb!$H$100,"")</f>
        <v/>
      </c>
      <c r="C290" s="28" t="str">
        <f>IF(Feb!$I102="SI",Feb!$H102,"")</f>
        <v/>
      </c>
      <c r="D290" s="28" t="str">
        <f>IF(Feb!$I102="SI",Feb!$L102,"")</f>
        <v/>
      </c>
      <c r="E290" s="47" t="s">
        <v>108</v>
      </c>
    </row>
    <row r="291" spans="2:5" x14ac:dyDescent="0.2">
      <c r="B291" s="28" t="str">
        <f>IF(Feb!$I103="SI",Feb!$H$100,"")</f>
        <v/>
      </c>
      <c r="C291" s="28" t="str">
        <f>IF(Feb!$I103="SI",Feb!$H103,"")</f>
        <v/>
      </c>
      <c r="D291" s="28" t="str">
        <f>IF(Feb!$I103="SI",Feb!$L103,"")</f>
        <v/>
      </c>
      <c r="E291" s="47" t="s">
        <v>108</v>
      </c>
    </row>
    <row r="292" spans="2:5" x14ac:dyDescent="0.2">
      <c r="B292" s="28" t="str">
        <f>IF(Feb!$I104="SI",Feb!$H$100,"")</f>
        <v/>
      </c>
      <c r="C292" s="28" t="str">
        <f>IF(Feb!$I104="SI",Feb!$H104,"")</f>
        <v/>
      </c>
      <c r="D292" s="28" t="str">
        <f>IF(Feb!$I104="SI",Feb!$L104,"")</f>
        <v/>
      </c>
      <c r="E292" s="47" t="s">
        <v>108</v>
      </c>
    </row>
    <row r="293" spans="2:5" x14ac:dyDescent="0.2">
      <c r="B293" s="28" t="str">
        <f>IF(Feb!$I105="SI",Feb!$H$100,"")</f>
        <v/>
      </c>
      <c r="C293" s="28" t="str">
        <f>IF(Feb!$I105="SI",Feb!$H105,"")</f>
        <v/>
      </c>
      <c r="D293" s="28" t="str">
        <f>IF(Feb!$I105="SI",Feb!$L105,"")</f>
        <v/>
      </c>
      <c r="E293" s="47" t="s">
        <v>108</v>
      </c>
    </row>
    <row r="294" spans="2:5" x14ac:dyDescent="0.2">
      <c r="B294" s="28" t="str">
        <f>IF(Feb!$I106="SI",Feb!$H$100,"")</f>
        <v/>
      </c>
      <c r="C294" s="28" t="str">
        <f>IF(Feb!$I106="SI",Feb!$H106,"")</f>
        <v/>
      </c>
      <c r="D294" s="28" t="str">
        <f>IF(Feb!$I106="SI",Feb!$L106,"")</f>
        <v/>
      </c>
      <c r="E294" s="47" t="s">
        <v>108</v>
      </c>
    </row>
    <row r="295" spans="2:5" x14ac:dyDescent="0.2">
      <c r="B295" s="28" t="str">
        <f>IF(Feb!$I107="SI",Feb!$H$100,"")</f>
        <v/>
      </c>
      <c r="C295" s="28" t="str">
        <f>IF(Feb!$I107="SI",Feb!$H107,"")</f>
        <v/>
      </c>
      <c r="D295" s="28" t="str">
        <f>IF(Feb!$I107="SI",Feb!$L107,"")</f>
        <v/>
      </c>
      <c r="E295" s="47" t="s">
        <v>108</v>
      </c>
    </row>
    <row r="296" spans="2:5" x14ac:dyDescent="0.2">
      <c r="B296" s="29"/>
      <c r="C296" s="29"/>
      <c r="D296" s="29"/>
      <c r="E296" s="47" t="s">
        <v>108</v>
      </c>
    </row>
    <row r="297" spans="2:5" x14ac:dyDescent="0.2">
      <c r="B297" s="28" t="str">
        <f>IF(Mar!$C13="SI",Mar!$B$12,"")</f>
        <v/>
      </c>
      <c r="C297" s="28" t="str">
        <f>IF(Mar!$C13="SI",Mar!$B13,"")</f>
        <v/>
      </c>
      <c r="D297" s="28" t="str">
        <f>IF(Mar!$C13="SI",Mar!$F13,"")</f>
        <v/>
      </c>
      <c r="E297" s="47" t="s">
        <v>109</v>
      </c>
    </row>
    <row r="298" spans="2:5" x14ac:dyDescent="0.2">
      <c r="B298" s="28" t="str">
        <f>IF(Mar!$C14="SI",Mar!$B$12,"")</f>
        <v/>
      </c>
      <c r="C298" s="28" t="str">
        <f>IF(Mar!$C14="SI",Mar!$B14,"")</f>
        <v/>
      </c>
      <c r="D298" s="28" t="str">
        <f>IF(Mar!$C14="SI",Mar!$F14,"")</f>
        <v/>
      </c>
      <c r="E298" s="47" t="s">
        <v>109</v>
      </c>
    </row>
    <row r="299" spans="2:5" x14ac:dyDescent="0.2">
      <c r="B299" s="28" t="str">
        <f>IF(Mar!$C15="SI",Mar!$B$12,"")</f>
        <v/>
      </c>
      <c r="C299" s="28" t="str">
        <f>IF(Mar!$C15="SI",Mar!$B15,"")</f>
        <v/>
      </c>
      <c r="D299" s="28" t="str">
        <f>IF(Mar!$C15="SI",Mar!$F15,"")</f>
        <v/>
      </c>
      <c r="E299" s="47" t="s">
        <v>109</v>
      </c>
    </row>
    <row r="300" spans="2:5" x14ac:dyDescent="0.2">
      <c r="B300" s="28" t="str">
        <f>IF(Mar!$C16="SI",Mar!$B$12,"")</f>
        <v/>
      </c>
      <c r="C300" s="28" t="str">
        <f>IF(Mar!$C16="SI",Mar!$B16,"")</f>
        <v/>
      </c>
      <c r="D300" s="28" t="str">
        <f>IF(Mar!$C16="SI",Mar!$F16,"")</f>
        <v/>
      </c>
      <c r="E300" s="47" t="s">
        <v>109</v>
      </c>
    </row>
    <row r="301" spans="2:5" x14ac:dyDescent="0.2">
      <c r="B301" s="28" t="str">
        <f>IF(Mar!$C17="SI",Mar!$B$12,"")</f>
        <v/>
      </c>
      <c r="C301" s="28" t="str">
        <f>IF(Mar!$C17="SI",Mar!$B17,"")</f>
        <v/>
      </c>
      <c r="D301" s="28" t="str">
        <f>IF(Mar!$C17="SI",Mar!$F17,"")</f>
        <v/>
      </c>
      <c r="E301" s="47" t="s">
        <v>109</v>
      </c>
    </row>
    <row r="302" spans="2:5" x14ac:dyDescent="0.2">
      <c r="B302" s="28" t="str">
        <f>IF(Mar!$C18="SI",Mar!$B$12,"")</f>
        <v/>
      </c>
      <c r="C302" s="28" t="str">
        <f>IF(Mar!$C18="SI",Mar!$B18,"")</f>
        <v/>
      </c>
      <c r="D302" s="28" t="str">
        <f>IF(Mar!$C18="SI",Mar!$F18,"")</f>
        <v/>
      </c>
      <c r="E302" s="47" t="s">
        <v>109</v>
      </c>
    </row>
    <row r="303" spans="2:5" x14ac:dyDescent="0.2">
      <c r="B303" s="28" t="str">
        <f>IF(Mar!$C19="SI",Mar!$B$12,"")</f>
        <v/>
      </c>
      <c r="C303" s="28" t="str">
        <f>IF(Mar!$C19="SI",Mar!$B19,"")</f>
        <v/>
      </c>
      <c r="D303" s="28" t="str">
        <f>IF(Mar!$C19="SI",Mar!$F19,"")</f>
        <v/>
      </c>
      <c r="E303" s="47" t="s">
        <v>109</v>
      </c>
    </row>
    <row r="304" spans="2:5" x14ac:dyDescent="0.2">
      <c r="B304" s="28" t="str">
        <f>IF(Mar!$C20="SI",Mar!$B$12,"")</f>
        <v/>
      </c>
      <c r="C304" s="28" t="str">
        <f>IF(Mar!$C20="SI",Mar!$B20,"")</f>
        <v/>
      </c>
      <c r="D304" s="28" t="str">
        <f>IF(Mar!$C20="SI",Mar!$F20,"")</f>
        <v/>
      </c>
      <c r="E304" s="47" t="s">
        <v>109</v>
      </c>
    </row>
    <row r="305" spans="2:5" x14ac:dyDescent="0.2">
      <c r="B305" s="28" t="str">
        <f>IF(Mar!$C21="SI",Mar!$B$12,"")</f>
        <v/>
      </c>
      <c r="C305" s="28" t="str">
        <f>IF(Mar!$C21="SI",Mar!$B21,"")</f>
        <v/>
      </c>
      <c r="D305" s="28" t="str">
        <f>IF(Mar!$C21="SI",Mar!$F21,"")</f>
        <v/>
      </c>
      <c r="E305" s="47" t="s">
        <v>109</v>
      </c>
    </row>
    <row r="306" spans="2:5" x14ac:dyDescent="0.2">
      <c r="B306" s="28" t="str">
        <f>IF(Mar!$C22="SI",Mar!$B$12,"")</f>
        <v/>
      </c>
      <c r="C306" s="28" t="str">
        <f>IF(Mar!$C22="SI",Mar!$B22,"")</f>
        <v/>
      </c>
      <c r="D306" s="28" t="str">
        <f>IF(Mar!$C22="SI",Mar!$F22,"")</f>
        <v/>
      </c>
      <c r="E306" s="47" t="s">
        <v>109</v>
      </c>
    </row>
    <row r="307" spans="2:5" x14ac:dyDescent="0.2">
      <c r="B307" s="28" t="str">
        <f>IF(Mar!$C23="SI",Mar!$B$12,"")</f>
        <v/>
      </c>
      <c r="C307" s="28" t="str">
        <f>IF(Mar!$C23="SI",Mar!$B23,"")</f>
        <v/>
      </c>
      <c r="D307" s="28" t="str">
        <f>IF(Mar!$C23="SI",Mar!$F23,"")</f>
        <v/>
      </c>
      <c r="E307" s="47" t="s">
        <v>109</v>
      </c>
    </row>
    <row r="308" spans="2:5" x14ac:dyDescent="0.2">
      <c r="B308" s="28" t="str">
        <f>IF(Mar!$C24="SI",Mar!$B$12,"")</f>
        <v/>
      </c>
      <c r="C308" s="28" t="str">
        <f>IF(Mar!$C24="SI",Mar!$B24,"")</f>
        <v/>
      </c>
      <c r="D308" s="28" t="str">
        <f>IF(Mar!$C24="SI",Mar!$F24,"")</f>
        <v/>
      </c>
      <c r="E308" s="47" t="s">
        <v>109</v>
      </c>
    </row>
    <row r="309" spans="2:5" x14ac:dyDescent="0.2">
      <c r="B309" s="28" t="str">
        <f>IF(Mar!$C28="SI",Mar!$B$27,"")</f>
        <v/>
      </c>
      <c r="C309" s="28" t="str">
        <f>IF(Mar!$C28="SI",Mar!$B28,"")</f>
        <v/>
      </c>
      <c r="D309" s="28" t="str">
        <f>IF(Mar!$C28="SI",Mar!$F28,"")</f>
        <v/>
      </c>
      <c r="E309" s="47" t="s">
        <v>109</v>
      </c>
    </row>
    <row r="310" spans="2:5" x14ac:dyDescent="0.2">
      <c r="B310" s="28" t="str">
        <f>IF(Mar!$C29="SI",Mar!$B$27,"")</f>
        <v/>
      </c>
      <c r="C310" s="28" t="str">
        <f>IF(Mar!$C29="SI",Mar!$B29,"")</f>
        <v/>
      </c>
      <c r="D310" s="28" t="str">
        <f>IF(Mar!$C29="SI",Mar!$F29,"")</f>
        <v/>
      </c>
      <c r="E310" s="47" t="s">
        <v>109</v>
      </c>
    </row>
    <row r="311" spans="2:5" x14ac:dyDescent="0.2">
      <c r="B311" s="28" t="str">
        <f>IF(Mar!$C30="SI",Mar!$B$27,"")</f>
        <v/>
      </c>
      <c r="C311" s="28" t="str">
        <f>IF(Mar!$C30="SI",Mar!$B30,"")</f>
        <v/>
      </c>
      <c r="D311" s="28" t="str">
        <f>IF(Mar!$C30="SI",Mar!$F30,"")</f>
        <v/>
      </c>
      <c r="E311" s="47" t="s">
        <v>109</v>
      </c>
    </row>
    <row r="312" spans="2:5" x14ac:dyDescent="0.2">
      <c r="B312" s="28" t="str">
        <f>IF(Mar!$C31="SI",Mar!$B$27,"")</f>
        <v/>
      </c>
      <c r="C312" s="28" t="str">
        <f>IF(Mar!$C31="SI",Mar!$B31,"")</f>
        <v/>
      </c>
      <c r="D312" s="28" t="str">
        <f>IF(Mar!$C31="SI",Mar!$F31,"")</f>
        <v/>
      </c>
      <c r="E312" s="47" t="s">
        <v>109</v>
      </c>
    </row>
    <row r="313" spans="2:5" x14ac:dyDescent="0.2">
      <c r="B313" s="28" t="str">
        <f>IF(Mar!$C32="SI",Mar!$B$27,"")</f>
        <v/>
      </c>
      <c r="C313" s="28" t="str">
        <f>IF(Mar!$C32="SI",Mar!$B32,"")</f>
        <v/>
      </c>
      <c r="D313" s="28" t="str">
        <f>IF(Mar!$C32="SI",Mar!$F32,"")</f>
        <v/>
      </c>
      <c r="E313" s="47" t="s">
        <v>109</v>
      </c>
    </row>
    <row r="314" spans="2:5" x14ac:dyDescent="0.2">
      <c r="B314" s="28" t="str">
        <f>IF(Mar!$C33="SI",Mar!$B$27,"")</f>
        <v/>
      </c>
      <c r="C314" s="28" t="str">
        <f>IF(Mar!$C33="SI",Mar!$B33,"")</f>
        <v/>
      </c>
      <c r="D314" s="28" t="str">
        <f>IF(Mar!$C33="SI",Mar!$F33,"")</f>
        <v/>
      </c>
      <c r="E314" s="47" t="s">
        <v>109</v>
      </c>
    </row>
    <row r="315" spans="2:5" x14ac:dyDescent="0.2">
      <c r="B315" s="28" t="str">
        <f>IF(Mar!$C34="SI",Mar!$B$27,"")</f>
        <v/>
      </c>
      <c r="C315" s="28" t="str">
        <f>IF(Mar!$C34="SI",Mar!$B34,"")</f>
        <v/>
      </c>
      <c r="D315" s="28" t="str">
        <f>IF(Mar!$C34="SI",Mar!$F34,"")</f>
        <v/>
      </c>
      <c r="E315" s="47" t="s">
        <v>109</v>
      </c>
    </row>
    <row r="316" spans="2:5" x14ac:dyDescent="0.2">
      <c r="B316" s="28" t="str">
        <f>IF(Mar!$C35="SI",Mar!$B$27,"")</f>
        <v/>
      </c>
      <c r="C316" s="28" t="str">
        <f>IF(Mar!$C35="SI",Mar!$B35,"")</f>
        <v/>
      </c>
      <c r="D316" s="28" t="str">
        <f>IF(Mar!$C35="SI",Mar!$F35,"")</f>
        <v/>
      </c>
      <c r="E316" s="47" t="s">
        <v>109</v>
      </c>
    </row>
    <row r="317" spans="2:5" x14ac:dyDescent="0.2">
      <c r="B317" s="28" t="str">
        <f>IF(Mar!$C39="SI",Mar!$B$38,"")</f>
        <v/>
      </c>
      <c r="C317" s="28" t="str">
        <f>IF(Mar!$C39="SI",Mar!$B39,"")</f>
        <v/>
      </c>
      <c r="D317" s="28" t="str">
        <f>IF(Mar!$C39="SI",Mar!$F39,"")</f>
        <v/>
      </c>
      <c r="E317" s="47" t="s">
        <v>109</v>
      </c>
    </row>
    <row r="318" spans="2:5" x14ac:dyDescent="0.2">
      <c r="B318" s="28" t="str">
        <f>IF(Mar!$C40="SI",Mar!$B$38,"")</f>
        <v/>
      </c>
      <c r="C318" s="28" t="str">
        <f>IF(Mar!$C40="SI",Mar!$B40,"")</f>
        <v/>
      </c>
      <c r="D318" s="28" t="str">
        <f>IF(Mar!$C40="SI",Mar!$F40,"")</f>
        <v/>
      </c>
      <c r="E318" s="47" t="s">
        <v>109</v>
      </c>
    </row>
    <row r="319" spans="2:5" x14ac:dyDescent="0.2">
      <c r="B319" s="28" t="str">
        <f>IF(Mar!$C41="SI",Mar!$B$38,"")</f>
        <v/>
      </c>
      <c r="C319" s="28" t="str">
        <f>IF(Mar!$C41="SI",Mar!$B41,"")</f>
        <v/>
      </c>
      <c r="D319" s="28" t="str">
        <f>IF(Mar!$C41="SI",Mar!$F41,"")</f>
        <v/>
      </c>
      <c r="E319" s="47" t="s">
        <v>109</v>
      </c>
    </row>
    <row r="320" spans="2:5" x14ac:dyDescent="0.2">
      <c r="B320" s="28" t="str">
        <f>IF(Mar!$C42="SI",Mar!$B$38,"")</f>
        <v/>
      </c>
      <c r="C320" s="28" t="str">
        <f>IF(Mar!$C42="SI",Mar!$B42,"")</f>
        <v/>
      </c>
      <c r="D320" s="28" t="str">
        <f>IF(Mar!$C42="SI",Mar!$F42,"")</f>
        <v/>
      </c>
      <c r="E320" s="47" t="s">
        <v>109</v>
      </c>
    </row>
    <row r="321" spans="2:5" x14ac:dyDescent="0.2">
      <c r="B321" s="28" t="str">
        <f>IF(Mar!$C43="SI",Mar!$B$38,"")</f>
        <v/>
      </c>
      <c r="C321" s="28" t="str">
        <f>IF(Mar!$C43="SI",Mar!$B43,"")</f>
        <v/>
      </c>
      <c r="D321" s="28" t="str">
        <f>IF(Mar!$C43="SI",Mar!$F43,"")</f>
        <v/>
      </c>
      <c r="E321" s="47" t="s">
        <v>109</v>
      </c>
    </row>
    <row r="322" spans="2:5" x14ac:dyDescent="0.2">
      <c r="B322" s="28" t="str">
        <f>IF(Mar!$C44="SI",Mar!$B$38,"")</f>
        <v/>
      </c>
      <c r="C322" s="28" t="str">
        <f>IF(Mar!$C44="SI",Mar!$B44,"")</f>
        <v/>
      </c>
      <c r="D322" s="28" t="str">
        <f>IF(Mar!$C44="SI",Mar!$F44,"")</f>
        <v/>
      </c>
      <c r="E322" s="47" t="s">
        <v>109</v>
      </c>
    </row>
    <row r="323" spans="2:5" x14ac:dyDescent="0.2">
      <c r="B323" s="28" t="str">
        <f>IF(Mar!$C45="SI",Mar!$B$38,"")</f>
        <v/>
      </c>
      <c r="C323" s="28" t="str">
        <f>IF(Mar!$C45="SI",Mar!$B45,"")</f>
        <v/>
      </c>
      <c r="D323" s="28" t="str">
        <f>IF(Mar!$C45="SI",Mar!$F45,"")</f>
        <v/>
      </c>
      <c r="E323" s="47" t="s">
        <v>109</v>
      </c>
    </row>
    <row r="324" spans="2:5" x14ac:dyDescent="0.2">
      <c r="B324" s="28" t="str">
        <f>IF(Mar!$C49="SI",Mar!$B$48,"")</f>
        <v/>
      </c>
      <c r="C324" s="28" t="str">
        <f>IF(Mar!$C49="SI",Mar!$B49,"")</f>
        <v/>
      </c>
      <c r="D324" s="28" t="str">
        <f>IF(Mar!$C49="SI",Mar!$F49,"")</f>
        <v/>
      </c>
      <c r="E324" s="47" t="s">
        <v>109</v>
      </c>
    </row>
    <row r="325" spans="2:5" x14ac:dyDescent="0.2">
      <c r="B325" s="28" t="str">
        <f>IF(Mar!$C50="SI",Mar!$B$48,"")</f>
        <v/>
      </c>
      <c r="C325" s="28" t="str">
        <f>IF(Mar!$C50="SI",Mar!$B50,"")</f>
        <v/>
      </c>
      <c r="D325" s="28" t="str">
        <f>IF(Mar!$C50="SI",Mar!$F50,"")</f>
        <v/>
      </c>
      <c r="E325" s="47" t="s">
        <v>109</v>
      </c>
    </row>
    <row r="326" spans="2:5" x14ac:dyDescent="0.2">
      <c r="B326" s="28" t="str">
        <f>IF(Mar!$C51="SI",Mar!$B$48,"")</f>
        <v/>
      </c>
      <c r="C326" s="28" t="str">
        <f>IF(Mar!$C51="SI",Mar!$B51,"")</f>
        <v/>
      </c>
      <c r="D326" s="28" t="str">
        <f>IF(Mar!$C51="SI",Mar!$F51,"")</f>
        <v/>
      </c>
      <c r="E326" s="47" t="s">
        <v>109</v>
      </c>
    </row>
    <row r="327" spans="2:5" x14ac:dyDescent="0.2">
      <c r="B327" s="28" t="str">
        <f>IF(Mar!$C52="SI",Mar!$B$48,"")</f>
        <v/>
      </c>
      <c r="C327" s="28" t="str">
        <f>IF(Mar!$C52="SI",Mar!$B52,"")</f>
        <v/>
      </c>
      <c r="D327" s="28" t="str">
        <f>IF(Mar!$C52="SI",Mar!$F52,"")</f>
        <v/>
      </c>
      <c r="E327" s="47" t="s">
        <v>109</v>
      </c>
    </row>
    <row r="328" spans="2:5" x14ac:dyDescent="0.2">
      <c r="B328" s="28" t="str">
        <f>IF(Mar!$C53="SI",Mar!$B$48,"")</f>
        <v/>
      </c>
      <c r="C328" s="28" t="str">
        <f>IF(Mar!$C53="SI",Mar!$B53,"")</f>
        <v/>
      </c>
      <c r="D328" s="28" t="str">
        <f>IF(Mar!$C53="SI",Mar!$F53,"")</f>
        <v/>
      </c>
      <c r="E328" s="47" t="s">
        <v>109</v>
      </c>
    </row>
    <row r="329" spans="2:5" x14ac:dyDescent="0.2">
      <c r="B329" s="28" t="str">
        <f>IF(Mar!$C54="SI",Mar!$B$48,"")</f>
        <v/>
      </c>
      <c r="C329" s="28" t="str">
        <f>IF(Mar!$C54="SI",Mar!$B54,"")</f>
        <v/>
      </c>
      <c r="D329" s="28" t="str">
        <f>IF(Mar!$C54="SI",Mar!$F54,"")</f>
        <v/>
      </c>
      <c r="E329" s="47" t="s">
        <v>109</v>
      </c>
    </row>
    <row r="330" spans="2:5" x14ac:dyDescent="0.2">
      <c r="B330" s="28" t="str">
        <f>IF(Mar!$C58="SI",Mar!$B$57,"")</f>
        <v/>
      </c>
      <c r="C330" s="28" t="str">
        <f>IF(Mar!$C58="SI",Mar!$B58,"")</f>
        <v/>
      </c>
      <c r="D330" s="28" t="str">
        <f>IF(Mar!$C58="SI",Mar!$F58,"")</f>
        <v/>
      </c>
      <c r="E330" s="47" t="s">
        <v>109</v>
      </c>
    </row>
    <row r="331" spans="2:5" x14ac:dyDescent="0.2">
      <c r="B331" s="28" t="str">
        <f>IF(Mar!$C59="SI",Mar!$B$57,"")</f>
        <v/>
      </c>
      <c r="C331" s="28" t="str">
        <f>IF(Mar!$C59="SI",Mar!$B59,"")</f>
        <v/>
      </c>
      <c r="D331" s="28" t="str">
        <f>IF(Mar!$C59="SI",Mar!$F59,"")</f>
        <v/>
      </c>
      <c r="E331" s="47" t="s">
        <v>109</v>
      </c>
    </row>
    <row r="332" spans="2:5" x14ac:dyDescent="0.2">
      <c r="B332" s="28" t="str">
        <f>IF(Mar!$C60="SI",Mar!$B$57,"")</f>
        <v/>
      </c>
      <c r="C332" s="28" t="str">
        <f>IF(Mar!$C60="SI",Mar!$B60,"")</f>
        <v/>
      </c>
      <c r="D332" s="28" t="str">
        <f>IF(Mar!$C60="SI",Mar!$F60,"")</f>
        <v/>
      </c>
      <c r="E332" s="47" t="s">
        <v>109</v>
      </c>
    </row>
    <row r="333" spans="2:5" x14ac:dyDescent="0.2">
      <c r="B333" s="28" t="str">
        <f>IF(Mar!$C61="SI",Mar!$B$57,"")</f>
        <v/>
      </c>
      <c r="C333" s="28" t="str">
        <f>IF(Mar!$C61="SI",Mar!$B61,"")</f>
        <v/>
      </c>
      <c r="D333" s="28" t="str">
        <f>IF(Mar!$C61="SI",Mar!$F61,"")</f>
        <v/>
      </c>
      <c r="E333" s="47" t="s">
        <v>109</v>
      </c>
    </row>
    <row r="334" spans="2:5" x14ac:dyDescent="0.2">
      <c r="B334" s="28" t="str">
        <f>IF(Mar!$C62="SI",Mar!$B$57,"")</f>
        <v/>
      </c>
      <c r="C334" s="28" t="str">
        <f>IF(Mar!$C62="SI",Mar!$B62,"")</f>
        <v/>
      </c>
      <c r="D334" s="28" t="str">
        <f>IF(Mar!$C62="SI",Mar!$F62,"")</f>
        <v/>
      </c>
      <c r="E334" s="47" t="s">
        <v>109</v>
      </c>
    </row>
    <row r="335" spans="2:5" x14ac:dyDescent="0.2">
      <c r="B335" s="28" t="str">
        <f>IF(Mar!$C63="SI",Mar!$B$57,"")</f>
        <v/>
      </c>
      <c r="C335" s="28" t="str">
        <f>IF(Mar!$C63="SI",Mar!$B63,"")</f>
        <v/>
      </c>
      <c r="D335" s="28" t="str">
        <f>IF(Mar!$C63="SI",Mar!$F63,"")</f>
        <v/>
      </c>
      <c r="E335" s="47" t="s">
        <v>109</v>
      </c>
    </row>
    <row r="336" spans="2:5" x14ac:dyDescent="0.2">
      <c r="B336" s="28" t="str">
        <f>IF(Mar!$C64="SI",Mar!$B$57,"")</f>
        <v/>
      </c>
      <c r="C336" s="28" t="str">
        <f>IF(Mar!$C64="SI",Mar!$B64,"")</f>
        <v/>
      </c>
      <c r="D336" s="28" t="str">
        <f>IF(Mar!$C64="SI",Mar!$F64,"")</f>
        <v/>
      </c>
      <c r="E336" s="47" t="s">
        <v>109</v>
      </c>
    </row>
    <row r="337" spans="2:5" x14ac:dyDescent="0.2">
      <c r="B337" s="28" t="str">
        <f>IF(Mar!$C68="SI",Mar!$B$67,"")</f>
        <v/>
      </c>
      <c r="C337" s="28" t="str">
        <f>IF(Mar!$C68="SI",Mar!$B68,"")</f>
        <v/>
      </c>
      <c r="D337" s="28" t="str">
        <f>IF(Mar!$C68="SI",Mar!$F68,"")</f>
        <v/>
      </c>
      <c r="E337" s="47" t="s">
        <v>109</v>
      </c>
    </row>
    <row r="338" spans="2:5" x14ac:dyDescent="0.2">
      <c r="B338" s="28" t="str">
        <f>IF(Mar!$C69="SI",Mar!$B$67,"")</f>
        <v/>
      </c>
      <c r="C338" s="28" t="str">
        <f>IF(Mar!$C69="SI",Mar!$B69,"")</f>
        <v/>
      </c>
      <c r="D338" s="28" t="str">
        <f>IF(Mar!$C69="SI",Mar!$F69,"")</f>
        <v/>
      </c>
      <c r="E338" s="47" t="s">
        <v>109</v>
      </c>
    </row>
    <row r="339" spans="2:5" x14ac:dyDescent="0.2">
      <c r="B339" s="28" t="str">
        <f>IF(Mar!$C70="SI",Mar!$B$67,"")</f>
        <v/>
      </c>
      <c r="C339" s="28" t="str">
        <f>IF(Mar!$C70="SI",Mar!$B70,"")</f>
        <v/>
      </c>
      <c r="D339" s="28" t="str">
        <f>IF(Mar!$C70="SI",Mar!$F70,"")</f>
        <v/>
      </c>
      <c r="E339" s="47" t="s">
        <v>109</v>
      </c>
    </row>
    <row r="340" spans="2:5" x14ac:dyDescent="0.2">
      <c r="B340" s="28" t="str">
        <f>IF(Mar!$C71="SI",Mar!$B$67,"")</f>
        <v/>
      </c>
      <c r="C340" s="28" t="str">
        <f>IF(Mar!$C71="SI",Mar!$B71,"")</f>
        <v/>
      </c>
      <c r="D340" s="28" t="str">
        <f>IF(Mar!$C71="SI",Mar!$F71,"")</f>
        <v/>
      </c>
      <c r="E340" s="47" t="s">
        <v>109</v>
      </c>
    </row>
    <row r="341" spans="2:5" x14ac:dyDescent="0.2">
      <c r="B341" s="28" t="str">
        <f>IF(Mar!$C72="SI",Mar!$B$67,"")</f>
        <v/>
      </c>
      <c r="C341" s="28" t="str">
        <f>IF(Mar!$C72="SI",Mar!$B72,"")</f>
        <v/>
      </c>
      <c r="D341" s="28" t="str">
        <f>IF(Mar!$C72="SI",Mar!$F72,"")</f>
        <v/>
      </c>
      <c r="E341" s="47" t="s">
        <v>109</v>
      </c>
    </row>
    <row r="342" spans="2:5" x14ac:dyDescent="0.2">
      <c r="B342" s="28" t="str">
        <f>IF(Mar!$C73="SI",Mar!$B$67,"")</f>
        <v/>
      </c>
      <c r="C342" s="28" t="str">
        <f>IF(Mar!$C73="SI",Mar!$B73,"")</f>
        <v/>
      </c>
      <c r="D342" s="28" t="str">
        <f>IF(Mar!$C73="SI",Mar!$F73,"")</f>
        <v/>
      </c>
      <c r="E342" s="47" t="s">
        <v>109</v>
      </c>
    </row>
    <row r="343" spans="2:5" x14ac:dyDescent="0.2">
      <c r="B343" s="28" t="str">
        <f>IF(Mar!$C74="SI",Mar!$B$67,"")</f>
        <v/>
      </c>
      <c r="C343" s="28" t="str">
        <f>IF(Mar!$C74="SI",Mar!$B74,"")</f>
        <v/>
      </c>
      <c r="D343" s="28" t="str">
        <f>IF(Mar!$C74="SI",Mar!$F74,"")</f>
        <v/>
      </c>
      <c r="E343" s="47" t="s">
        <v>109</v>
      </c>
    </row>
    <row r="344" spans="2:5" x14ac:dyDescent="0.2">
      <c r="B344" s="28" t="str">
        <f>IF(Mar!$C75="SI",Mar!$B$67,"")</f>
        <v/>
      </c>
      <c r="C344" s="28" t="str">
        <f>IF(Mar!$C75="SI",Mar!$B75,"")</f>
        <v/>
      </c>
      <c r="D344" s="28" t="str">
        <f>IF(Mar!$C75="SI",Mar!$F75,"")</f>
        <v/>
      </c>
      <c r="E344" s="47" t="s">
        <v>109</v>
      </c>
    </row>
    <row r="345" spans="2:5" x14ac:dyDescent="0.2">
      <c r="B345" s="28" t="str">
        <f>IF(Mar!$C76="SI",Mar!$B$67,"")</f>
        <v/>
      </c>
      <c r="C345" s="28" t="str">
        <f>IF(Mar!$C76="SI",Mar!$B76,"")</f>
        <v/>
      </c>
      <c r="D345" s="28" t="str">
        <f>IF(Mar!$C76="SI",Mar!$F76,"")</f>
        <v/>
      </c>
      <c r="E345" s="47" t="s">
        <v>109</v>
      </c>
    </row>
    <row r="346" spans="2:5" x14ac:dyDescent="0.2">
      <c r="B346" s="28" t="str">
        <f>IF(Mar!$C77="SI",Mar!$B$67,"")</f>
        <v/>
      </c>
      <c r="C346" s="28" t="str">
        <f>IF(Mar!$C77="SI",Mar!$B77,"")</f>
        <v/>
      </c>
      <c r="D346" s="28" t="str">
        <f>IF(Mar!$C77="SI",Mar!$F77,"")</f>
        <v/>
      </c>
      <c r="E346" s="47" t="s">
        <v>109</v>
      </c>
    </row>
    <row r="347" spans="2:5" x14ac:dyDescent="0.2">
      <c r="B347" s="28" t="str">
        <f>IF(Mar!$C78="SI",Mar!$B$67,"")</f>
        <v/>
      </c>
      <c r="C347" s="28" t="str">
        <f>IF(Mar!$C78="SI",Mar!$B78,"")</f>
        <v/>
      </c>
      <c r="D347" s="28" t="str">
        <f>IF(Mar!$C78="SI",Mar!$F78,"")</f>
        <v/>
      </c>
      <c r="E347" s="47" t="s">
        <v>109</v>
      </c>
    </row>
    <row r="348" spans="2:5" x14ac:dyDescent="0.2">
      <c r="B348" s="28" t="str">
        <f>IF(Mar!$C82="SI",Mar!$B$81,"")</f>
        <v/>
      </c>
      <c r="C348" s="28" t="str">
        <f>IF(Mar!$C82="SI",Mar!$B82,"")</f>
        <v/>
      </c>
      <c r="D348" s="28" t="str">
        <f>IF(Mar!$C82="SI",Mar!$F82,"")</f>
        <v/>
      </c>
      <c r="E348" s="47" t="s">
        <v>109</v>
      </c>
    </row>
    <row r="349" spans="2:5" x14ac:dyDescent="0.2">
      <c r="B349" s="28" t="str">
        <f>IF(Mar!$C83="SI",Mar!$B$81,"")</f>
        <v/>
      </c>
      <c r="C349" s="28" t="str">
        <f>IF(Mar!$C83="SI",Mar!$B83,"")</f>
        <v/>
      </c>
      <c r="D349" s="28" t="str">
        <f>IF(Mar!$C83="SI",Mar!$F83,"")</f>
        <v/>
      </c>
      <c r="E349" s="47" t="s">
        <v>109</v>
      </c>
    </row>
    <row r="350" spans="2:5" x14ac:dyDescent="0.2">
      <c r="B350" s="28" t="str">
        <f>IF(Mar!$C84="SI",Mar!$B$81,"")</f>
        <v/>
      </c>
      <c r="C350" s="28" t="str">
        <f>IF(Mar!$C84="SI",Mar!$B84,"")</f>
        <v/>
      </c>
      <c r="D350" s="28" t="str">
        <f>IF(Mar!$C84="SI",Mar!$F84,"")</f>
        <v/>
      </c>
      <c r="E350" s="47" t="s">
        <v>109</v>
      </c>
    </row>
    <row r="351" spans="2:5" x14ac:dyDescent="0.2">
      <c r="B351" s="28" t="str">
        <f>IF(Mar!$C85="SI",Mar!$B$81,"")</f>
        <v/>
      </c>
      <c r="C351" s="28" t="str">
        <f>IF(Mar!$C85="SI",Mar!$B85,"")</f>
        <v/>
      </c>
      <c r="D351" s="28" t="str">
        <f>IF(Mar!$C85="SI",Mar!$F85,"")</f>
        <v/>
      </c>
      <c r="E351" s="47" t="s">
        <v>109</v>
      </c>
    </row>
    <row r="352" spans="2:5" x14ac:dyDescent="0.2">
      <c r="B352" s="28" t="str">
        <f>IF(Mar!$C86="SI",Mar!$B$81,"")</f>
        <v/>
      </c>
      <c r="C352" s="28" t="str">
        <f>IF(Mar!$C86="SI",Mar!$B86,"")</f>
        <v/>
      </c>
      <c r="D352" s="28" t="str">
        <f>IF(Mar!$C86="SI",Mar!$F86,"")</f>
        <v/>
      </c>
      <c r="E352" s="47" t="s">
        <v>109</v>
      </c>
    </row>
    <row r="353" spans="2:5" x14ac:dyDescent="0.2">
      <c r="B353" s="28" t="str">
        <f>IF(Mar!$C87="SI",Mar!$B$81,"")</f>
        <v/>
      </c>
      <c r="C353" s="28" t="str">
        <f>IF(Mar!$C87="SI",Mar!$B87,"")</f>
        <v/>
      </c>
      <c r="D353" s="28" t="str">
        <f>IF(Mar!$C87="SI",Mar!$F87,"")</f>
        <v/>
      </c>
      <c r="E353" s="47" t="s">
        <v>109</v>
      </c>
    </row>
    <row r="354" spans="2:5" x14ac:dyDescent="0.2">
      <c r="B354" s="28" t="str">
        <f>IF(Mar!$C91="SI",Mar!$B$90,"")</f>
        <v/>
      </c>
      <c r="C354" s="28" t="str">
        <f>IF(Mar!$C91="SI",Mar!$B91,"")</f>
        <v/>
      </c>
      <c r="D354" s="28" t="str">
        <f>IF(Mar!$C91="SI",Mar!$F91,"")</f>
        <v/>
      </c>
      <c r="E354" s="47" t="s">
        <v>109</v>
      </c>
    </row>
    <row r="355" spans="2:5" x14ac:dyDescent="0.2">
      <c r="B355" s="28" t="str">
        <f>IF(Mar!$C92="SI",Mar!$B$90,"")</f>
        <v/>
      </c>
      <c r="C355" s="28" t="str">
        <f>IF(Mar!$C92="SI",Mar!$B92,"")</f>
        <v/>
      </c>
      <c r="D355" s="28" t="str">
        <f>IF(Mar!$C92="SI",Mar!$F92,"")</f>
        <v/>
      </c>
      <c r="E355" s="47" t="s">
        <v>109</v>
      </c>
    </row>
    <row r="356" spans="2:5" x14ac:dyDescent="0.2">
      <c r="B356" s="28" t="str">
        <f>IF(Mar!$C93="SI",Mar!$B$90,"")</f>
        <v/>
      </c>
      <c r="C356" s="28" t="str">
        <f>IF(Mar!$C93="SI",Mar!$B93,"")</f>
        <v/>
      </c>
      <c r="D356" s="28" t="str">
        <f>IF(Mar!$C93="SI",Mar!$F93,"")</f>
        <v/>
      </c>
      <c r="E356" s="47" t="s">
        <v>109</v>
      </c>
    </row>
    <row r="357" spans="2:5" x14ac:dyDescent="0.2">
      <c r="B357" s="28" t="str">
        <f>IF(Mar!$C94="SI",Mar!$B$90,"")</f>
        <v/>
      </c>
      <c r="C357" s="28" t="str">
        <f>IF(Mar!$C94="SI",Mar!$B94,"")</f>
        <v/>
      </c>
      <c r="D357" s="28" t="str">
        <f>IF(Mar!$C94="SI",Mar!$F94,"")</f>
        <v/>
      </c>
      <c r="E357" s="47" t="s">
        <v>109</v>
      </c>
    </row>
    <row r="358" spans="2:5" x14ac:dyDescent="0.2">
      <c r="B358" s="28" t="str">
        <f>IF(Mar!$C95="SI",Mar!$B$90,"")</f>
        <v/>
      </c>
      <c r="C358" s="28" t="str">
        <f>IF(Mar!$C95="SI",Mar!$B95,"")</f>
        <v/>
      </c>
      <c r="D358" s="28" t="str">
        <f>IF(Mar!$C95="SI",Mar!$F95,"")</f>
        <v/>
      </c>
      <c r="E358" s="47" t="s">
        <v>109</v>
      </c>
    </row>
    <row r="359" spans="2:5" x14ac:dyDescent="0.2">
      <c r="B359" s="28" t="str">
        <f>IF(Mar!$C96="SI",Mar!$B$90,"")</f>
        <v/>
      </c>
      <c r="C359" s="28" t="str">
        <f>IF(Mar!$C96="SI",Mar!$B96,"")</f>
        <v/>
      </c>
      <c r="D359" s="28" t="str">
        <f>IF(Mar!$C96="SI",Mar!$F96,"")</f>
        <v/>
      </c>
      <c r="E359" s="47" t="s">
        <v>109</v>
      </c>
    </row>
    <row r="360" spans="2:5" x14ac:dyDescent="0.2">
      <c r="B360" s="28" t="str">
        <f>IF(Mar!$C97="SI",Mar!$B$90,"")</f>
        <v/>
      </c>
      <c r="C360" s="28" t="str">
        <f>IF(Mar!$C97="SI",Mar!$B97,"")</f>
        <v/>
      </c>
      <c r="D360" s="28" t="str">
        <f>IF(Mar!$C97="SI",Mar!$F97,"")</f>
        <v/>
      </c>
      <c r="E360" s="47" t="s">
        <v>109</v>
      </c>
    </row>
    <row r="361" spans="2:5" x14ac:dyDescent="0.2">
      <c r="B361" s="28" t="str">
        <f>IF(Mar!$C101="SI",Mar!$B$100,"")</f>
        <v/>
      </c>
      <c r="C361" s="28" t="str">
        <f>IF(Mar!$C101="SI",Mar!$B101,"")</f>
        <v/>
      </c>
      <c r="D361" s="28" t="str">
        <f>IF(Mar!$C101="SI",Mar!$F101,"")</f>
        <v/>
      </c>
      <c r="E361" s="47" t="s">
        <v>109</v>
      </c>
    </row>
    <row r="362" spans="2:5" x14ac:dyDescent="0.2">
      <c r="B362" s="28" t="str">
        <f>IF(Mar!$C102="SI",Mar!$B$100,"")</f>
        <v/>
      </c>
      <c r="C362" s="28" t="str">
        <f>IF(Mar!$C102="SI",Mar!$B102,"")</f>
        <v/>
      </c>
      <c r="D362" s="28" t="str">
        <f>IF(Mar!$C102="SI",Mar!$F102,"")</f>
        <v/>
      </c>
      <c r="E362" s="47" t="s">
        <v>109</v>
      </c>
    </row>
    <row r="363" spans="2:5" x14ac:dyDescent="0.2">
      <c r="B363" s="28" t="str">
        <f>IF(Mar!$C103="SI",Mar!$B$100,"")</f>
        <v/>
      </c>
      <c r="C363" s="28" t="str">
        <f>IF(Mar!$C103="SI",Mar!$B103,"")</f>
        <v/>
      </c>
      <c r="D363" s="28" t="str">
        <f>IF(Mar!$C103="SI",Mar!$F103,"")</f>
        <v/>
      </c>
      <c r="E363" s="47" t="s">
        <v>109</v>
      </c>
    </row>
    <row r="364" spans="2:5" x14ac:dyDescent="0.2">
      <c r="B364" s="28" t="str">
        <f>IF(Mar!$C104="SI",Mar!$B$100,"")</f>
        <v/>
      </c>
      <c r="C364" s="28" t="str">
        <f>IF(Mar!$C104="SI",Mar!$B104,"")</f>
        <v/>
      </c>
      <c r="D364" s="28" t="str">
        <f>IF(Mar!$C104="SI",Mar!$F104,"")</f>
        <v/>
      </c>
      <c r="E364" s="47" t="s">
        <v>109</v>
      </c>
    </row>
    <row r="365" spans="2:5" x14ac:dyDescent="0.2">
      <c r="B365" s="28" t="str">
        <f>IF(Mar!$C105="SI",Mar!$B$100,"")</f>
        <v/>
      </c>
      <c r="C365" s="28" t="str">
        <f>IF(Mar!$C105="SI",Mar!$B105,"")</f>
        <v/>
      </c>
      <c r="D365" s="28" t="str">
        <f>IF(Mar!$C105="SI",Mar!$F105,"")</f>
        <v/>
      </c>
      <c r="E365" s="47" t="s">
        <v>109</v>
      </c>
    </row>
    <row r="366" spans="2:5" x14ac:dyDescent="0.2">
      <c r="B366" s="28" t="str">
        <f>IF(Mar!$C106="SI",Mar!$B$100,"")</f>
        <v/>
      </c>
      <c r="C366" s="28" t="str">
        <f>IF(Mar!$C106="SI",Mar!$B106,"")</f>
        <v/>
      </c>
      <c r="D366" s="28" t="str">
        <f>IF(Mar!$C106="SI",Mar!$F106,"")</f>
        <v/>
      </c>
      <c r="E366" s="47" t="s">
        <v>109</v>
      </c>
    </row>
    <row r="367" spans="2:5" x14ac:dyDescent="0.2">
      <c r="B367" s="28" t="str">
        <f>IF(Mar!$C107="SI",Mar!$B$100,"")</f>
        <v/>
      </c>
      <c r="C367" s="28" t="str">
        <f>IF(Mar!$C107="SI",Mar!$B107,"")</f>
        <v/>
      </c>
      <c r="D367" s="28" t="str">
        <f>IF(Mar!$C107="SI",Mar!$F107,"")</f>
        <v/>
      </c>
      <c r="E367" s="47" t="s">
        <v>109</v>
      </c>
    </row>
    <row r="368" spans="2:5" x14ac:dyDescent="0.2">
      <c r="B368" s="29"/>
      <c r="C368" s="29"/>
      <c r="D368" s="29"/>
      <c r="E368" s="47" t="s">
        <v>109</v>
      </c>
    </row>
    <row r="369" spans="2:5" x14ac:dyDescent="0.2">
      <c r="B369" s="28" t="str">
        <f>IF(Mar!$I13="SI",Mar!$H$12,"")</f>
        <v/>
      </c>
      <c r="C369" s="28" t="str">
        <f>IF(Mar!$I13="SI",Mar!$H13,"")</f>
        <v/>
      </c>
      <c r="D369" s="28" t="str">
        <f>IF(Mar!$I13="SI",Mar!$L13,"")</f>
        <v/>
      </c>
      <c r="E369" s="47" t="s">
        <v>109</v>
      </c>
    </row>
    <row r="370" spans="2:5" x14ac:dyDescent="0.2">
      <c r="B370" s="28" t="str">
        <f>IF(Mar!$I14="SI",Mar!$H$12,"")</f>
        <v/>
      </c>
      <c r="C370" s="28" t="str">
        <f>IF(Mar!$I14="SI",Mar!$H14,"")</f>
        <v/>
      </c>
      <c r="D370" s="28" t="str">
        <f>IF(Mar!$I14="SI",Mar!$L14,"")</f>
        <v/>
      </c>
      <c r="E370" s="47" t="s">
        <v>109</v>
      </c>
    </row>
    <row r="371" spans="2:5" x14ac:dyDescent="0.2">
      <c r="B371" s="28" t="str">
        <f>IF(Mar!$I15="SI",Mar!$H$12,"")</f>
        <v/>
      </c>
      <c r="C371" s="28" t="str">
        <f>IF(Mar!$I15="SI",Mar!$H15,"")</f>
        <v/>
      </c>
      <c r="D371" s="28" t="str">
        <f>IF(Mar!$I15="SI",Mar!$L15,"")</f>
        <v/>
      </c>
      <c r="E371" s="47" t="s">
        <v>109</v>
      </c>
    </row>
    <row r="372" spans="2:5" x14ac:dyDescent="0.2">
      <c r="B372" s="28" t="str">
        <f>IF(Mar!$I16="SI",Mar!$H$12,"")</f>
        <v/>
      </c>
      <c r="C372" s="28" t="str">
        <f>IF(Mar!$I16="SI",Mar!$H16,"")</f>
        <v/>
      </c>
      <c r="D372" s="28" t="str">
        <f>IF(Mar!$I16="SI",Mar!$L16,"")</f>
        <v/>
      </c>
      <c r="E372" s="47" t="s">
        <v>109</v>
      </c>
    </row>
    <row r="373" spans="2:5" x14ac:dyDescent="0.2">
      <c r="B373" s="28" t="str">
        <f>IF(Mar!$I17="SI",Mar!$H$12,"")</f>
        <v/>
      </c>
      <c r="C373" s="28" t="str">
        <f>IF(Mar!$I17="SI",Mar!$H17,"")</f>
        <v/>
      </c>
      <c r="D373" s="28" t="str">
        <f>IF(Mar!$I17="SI",Mar!$L17,"")</f>
        <v/>
      </c>
      <c r="E373" s="47" t="s">
        <v>109</v>
      </c>
    </row>
    <row r="374" spans="2:5" x14ac:dyDescent="0.2">
      <c r="B374" s="28" t="str">
        <f>IF(Mar!$I18="SI",Mar!$H$12,"")</f>
        <v/>
      </c>
      <c r="C374" s="28" t="str">
        <f>IF(Mar!$I18="SI",Mar!$H18,"")</f>
        <v/>
      </c>
      <c r="D374" s="28" t="str">
        <f>IF(Mar!$I18="SI",Mar!$L18,"")</f>
        <v/>
      </c>
      <c r="E374" s="47" t="s">
        <v>109</v>
      </c>
    </row>
    <row r="375" spans="2:5" x14ac:dyDescent="0.2">
      <c r="B375" s="28" t="str">
        <f>IF(Mar!$I19="SI",Mar!$H$12,"")</f>
        <v/>
      </c>
      <c r="C375" s="28" t="str">
        <f>IF(Mar!$I19="SI",Mar!$H19,"")</f>
        <v/>
      </c>
      <c r="D375" s="28" t="str">
        <f>IF(Mar!$I19="SI",Mar!$L19,"")</f>
        <v/>
      </c>
      <c r="E375" s="47" t="s">
        <v>109</v>
      </c>
    </row>
    <row r="376" spans="2:5" x14ac:dyDescent="0.2">
      <c r="B376" s="28" t="str">
        <f>IF(Mar!$I20="SI",Mar!$H$12,"")</f>
        <v/>
      </c>
      <c r="C376" s="28" t="str">
        <f>IF(Mar!$I20="SI",Mar!$H20,"")</f>
        <v/>
      </c>
      <c r="D376" s="28" t="str">
        <f>IF(Mar!$I20="SI",Mar!$L20,"")</f>
        <v/>
      </c>
      <c r="E376" s="47" t="s">
        <v>109</v>
      </c>
    </row>
    <row r="377" spans="2:5" x14ac:dyDescent="0.2">
      <c r="B377" s="28" t="str">
        <f>IF(Mar!$I21="SI",Mar!$H$12,"")</f>
        <v/>
      </c>
      <c r="C377" s="28" t="str">
        <f>IF(Mar!$I21="SI",Mar!$H21,"")</f>
        <v/>
      </c>
      <c r="D377" s="28" t="str">
        <f>IF(Mar!$I21="SI",Mar!$L21,"")</f>
        <v/>
      </c>
      <c r="E377" s="47" t="s">
        <v>109</v>
      </c>
    </row>
    <row r="378" spans="2:5" x14ac:dyDescent="0.2">
      <c r="B378" s="28" t="str">
        <f>IF(Mar!$I22="SI",Mar!$H$12,"")</f>
        <v/>
      </c>
      <c r="C378" s="28" t="str">
        <f>IF(Mar!$I22="SI",Mar!$H22,"")</f>
        <v/>
      </c>
      <c r="D378" s="28" t="str">
        <f>IF(Mar!$I22="SI",Mar!$L22,"")</f>
        <v/>
      </c>
      <c r="E378" s="47" t="s">
        <v>109</v>
      </c>
    </row>
    <row r="379" spans="2:5" x14ac:dyDescent="0.2">
      <c r="B379" s="28" t="str">
        <f>IF(Mar!$I23="SI",Mar!$H$12,"")</f>
        <v/>
      </c>
      <c r="C379" s="28" t="str">
        <f>IF(Mar!$I23="SI",Mar!$H23,"")</f>
        <v/>
      </c>
      <c r="D379" s="28" t="str">
        <f>IF(Mar!$I23="SI",Mar!$L23,"")</f>
        <v/>
      </c>
      <c r="E379" s="47" t="s">
        <v>109</v>
      </c>
    </row>
    <row r="380" spans="2:5" x14ac:dyDescent="0.2">
      <c r="B380" s="28" t="str">
        <f>IF(Mar!$I24="SI",Mar!$H$12,"")</f>
        <v/>
      </c>
      <c r="C380" s="28" t="str">
        <f>IF(Mar!$I24="SI",Mar!$H24,"")</f>
        <v/>
      </c>
      <c r="D380" s="28" t="str">
        <f>IF(Mar!$I24="SI",Mar!$L24,"")</f>
        <v/>
      </c>
      <c r="E380" s="47" t="s">
        <v>109</v>
      </c>
    </row>
    <row r="381" spans="2:5" x14ac:dyDescent="0.2">
      <c r="B381" s="28" t="str">
        <f>IF(Mar!$I28="SI",Mar!$H$27,"")</f>
        <v/>
      </c>
      <c r="C381" s="28" t="str">
        <f>IF(Mar!$I28="SI",Mar!$H28,"")</f>
        <v/>
      </c>
      <c r="D381" s="28" t="str">
        <f>IF(Mar!$I28="SI",Mar!$L28,"")</f>
        <v/>
      </c>
      <c r="E381" s="47" t="s">
        <v>109</v>
      </c>
    </row>
    <row r="382" spans="2:5" x14ac:dyDescent="0.2">
      <c r="B382" s="28" t="str">
        <f>IF(Mar!$I29="SI",Mar!$H$27,"")</f>
        <v/>
      </c>
      <c r="C382" s="28" t="str">
        <f>IF(Mar!$I29="SI",Mar!$H29,"")</f>
        <v/>
      </c>
      <c r="D382" s="28" t="str">
        <f>IF(Mar!$I29="SI",Mar!$L29,"")</f>
        <v/>
      </c>
      <c r="E382" s="47" t="s">
        <v>109</v>
      </c>
    </row>
    <row r="383" spans="2:5" x14ac:dyDescent="0.2">
      <c r="B383" s="28" t="str">
        <f>IF(Mar!$I30="SI",Mar!$H$27,"")</f>
        <v/>
      </c>
      <c r="C383" s="28" t="str">
        <f>IF(Mar!$I30="SI",Mar!$H30,"")</f>
        <v/>
      </c>
      <c r="D383" s="28" t="str">
        <f>IF(Mar!$I30="SI",Mar!$L30,"")</f>
        <v/>
      </c>
      <c r="E383" s="47" t="s">
        <v>109</v>
      </c>
    </row>
    <row r="384" spans="2:5" x14ac:dyDescent="0.2">
      <c r="B384" s="28" t="str">
        <f>IF(Mar!$I31="SI",Mar!$H$27,"")</f>
        <v/>
      </c>
      <c r="C384" s="28" t="str">
        <f>IF(Mar!$I31="SI",Mar!$H31,"")</f>
        <v/>
      </c>
      <c r="D384" s="28" t="str">
        <f>IF(Mar!$I31="SI",Mar!$L31,"")</f>
        <v/>
      </c>
      <c r="E384" s="47" t="s">
        <v>109</v>
      </c>
    </row>
    <row r="385" spans="2:5" x14ac:dyDescent="0.2">
      <c r="B385" s="28" t="str">
        <f>IF(Mar!$I32="SI",Mar!$H$27,"")</f>
        <v/>
      </c>
      <c r="C385" s="28" t="str">
        <f>IF(Mar!$I32="SI",Mar!$H32,"")</f>
        <v/>
      </c>
      <c r="D385" s="28" t="str">
        <f>IF(Mar!$I32="SI",Mar!$L32,"")</f>
        <v/>
      </c>
      <c r="E385" s="47" t="s">
        <v>109</v>
      </c>
    </row>
    <row r="386" spans="2:5" x14ac:dyDescent="0.2">
      <c r="B386" s="28" t="str">
        <f>IF(Mar!$I33="SI",Mar!$H$27,"")</f>
        <v/>
      </c>
      <c r="C386" s="28" t="str">
        <f>IF(Mar!$I33="SI",Mar!$H33,"")</f>
        <v/>
      </c>
      <c r="D386" s="28" t="str">
        <f>IF(Mar!$I33="SI",Mar!$L33,"")</f>
        <v/>
      </c>
      <c r="E386" s="47" t="s">
        <v>109</v>
      </c>
    </row>
    <row r="387" spans="2:5" x14ac:dyDescent="0.2">
      <c r="B387" s="28" t="str">
        <f>IF(Mar!$I34="SI",Mar!$H$27,"")</f>
        <v/>
      </c>
      <c r="C387" s="28" t="str">
        <f>IF(Mar!$I34="SI",Mar!$H34,"")</f>
        <v/>
      </c>
      <c r="D387" s="28" t="str">
        <f>IF(Mar!$I34="SI",Mar!$L34,"")</f>
        <v/>
      </c>
      <c r="E387" s="47" t="s">
        <v>109</v>
      </c>
    </row>
    <row r="388" spans="2:5" x14ac:dyDescent="0.2">
      <c r="B388" s="28" t="str">
        <f>IF(Mar!$I35="SI",Mar!$H$27,"")</f>
        <v/>
      </c>
      <c r="C388" s="28" t="str">
        <f>IF(Mar!$I35="SI",Mar!$H35,"")</f>
        <v/>
      </c>
      <c r="D388" s="28" t="str">
        <f>IF(Mar!$I35="SI",Mar!$L35,"")</f>
        <v/>
      </c>
      <c r="E388" s="47" t="s">
        <v>109</v>
      </c>
    </row>
    <row r="389" spans="2:5" x14ac:dyDescent="0.2">
      <c r="B389" s="28" t="str">
        <f>IF(Mar!$I39="SI",Mar!$H$38,"")</f>
        <v/>
      </c>
      <c r="C389" s="28" t="str">
        <f>IF(Mar!$I39="SI",Mar!$H39,"")</f>
        <v/>
      </c>
      <c r="D389" s="28" t="str">
        <f>IF(Mar!$I39="SI",Mar!$L39,"")</f>
        <v/>
      </c>
      <c r="E389" s="47" t="s">
        <v>109</v>
      </c>
    </row>
    <row r="390" spans="2:5" x14ac:dyDescent="0.2">
      <c r="B390" s="28" t="str">
        <f>IF(Mar!$I40="SI",Mar!$H$38,"")</f>
        <v/>
      </c>
      <c r="C390" s="28" t="str">
        <f>IF(Mar!$I40="SI",Mar!$H40,"")</f>
        <v/>
      </c>
      <c r="D390" s="28" t="str">
        <f>IF(Mar!$I40="SI",Mar!$L40,"")</f>
        <v/>
      </c>
      <c r="E390" s="47" t="s">
        <v>109</v>
      </c>
    </row>
    <row r="391" spans="2:5" x14ac:dyDescent="0.2">
      <c r="B391" s="28" t="str">
        <f>IF(Mar!$I41="SI",Mar!$H$38,"")</f>
        <v/>
      </c>
      <c r="C391" s="28" t="str">
        <f>IF(Mar!$I41="SI",Mar!$H41,"")</f>
        <v/>
      </c>
      <c r="D391" s="28" t="str">
        <f>IF(Mar!$I41="SI",Mar!$L41,"")</f>
        <v/>
      </c>
      <c r="E391" s="47" t="s">
        <v>109</v>
      </c>
    </row>
    <row r="392" spans="2:5" x14ac:dyDescent="0.2">
      <c r="B392" s="28" t="str">
        <f>IF(Mar!$I42="SI",Mar!$H$38,"")</f>
        <v/>
      </c>
      <c r="C392" s="28" t="str">
        <f>IF(Mar!$I42="SI",Mar!$H42,"")</f>
        <v/>
      </c>
      <c r="D392" s="28" t="str">
        <f>IF(Mar!$I42="SI",Mar!$L42,"")</f>
        <v/>
      </c>
      <c r="E392" s="47" t="s">
        <v>109</v>
      </c>
    </row>
    <row r="393" spans="2:5" x14ac:dyDescent="0.2">
      <c r="B393" s="28" t="str">
        <f>IF(Mar!$I43="SI",Mar!$H$38,"")</f>
        <v/>
      </c>
      <c r="C393" s="28" t="str">
        <f>IF(Mar!$I43="SI",Mar!$H43,"")</f>
        <v/>
      </c>
      <c r="D393" s="28" t="str">
        <f>IF(Mar!$I43="SI",Mar!$L43,"")</f>
        <v/>
      </c>
      <c r="E393" s="47" t="s">
        <v>109</v>
      </c>
    </row>
    <row r="394" spans="2:5" x14ac:dyDescent="0.2">
      <c r="B394" s="28" t="str">
        <f>IF(Mar!$I44="SI",Mar!$H$38,"")</f>
        <v/>
      </c>
      <c r="C394" s="28" t="str">
        <f>IF(Mar!$I44="SI",Mar!$H44,"")</f>
        <v/>
      </c>
      <c r="D394" s="28" t="str">
        <f>IF(Mar!$I44="SI",Mar!$L44,"")</f>
        <v/>
      </c>
      <c r="E394" s="47" t="s">
        <v>109</v>
      </c>
    </row>
    <row r="395" spans="2:5" x14ac:dyDescent="0.2">
      <c r="B395" s="28" t="str">
        <f>IF(Mar!$I45="SI",Mar!$H$38,"")</f>
        <v/>
      </c>
      <c r="C395" s="28" t="str">
        <f>IF(Mar!$I45="SI",Mar!$H45,"")</f>
        <v/>
      </c>
      <c r="D395" s="28" t="str">
        <f>IF(Mar!$I45="SI",Mar!$L45,"")</f>
        <v/>
      </c>
      <c r="E395" s="47" t="s">
        <v>109</v>
      </c>
    </row>
    <row r="396" spans="2:5" x14ac:dyDescent="0.2">
      <c r="B396" s="28" t="str">
        <f>IF(Mar!$I49="SI",Mar!$H$48,"")</f>
        <v/>
      </c>
      <c r="C396" s="28" t="str">
        <f>IF(Mar!$I49="SI",Mar!$H49,"")</f>
        <v/>
      </c>
      <c r="D396" s="28" t="str">
        <f>IF(Mar!$I49="SI",Mar!$L49,"")</f>
        <v/>
      </c>
      <c r="E396" s="47" t="s">
        <v>109</v>
      </c>
    </row>
    <row r="397" spans="2:5" x14ac:dyDescent="0.2">
      <c r="B397" s="28" t="str">
        <f>IF(Mar!$I50="SI",Mar!$H$48,"")</f>
        <v/>
      </c>
      <c r="C397" s="28" t="str">
        <f>IF(Mar!$I50="SI",Mar!$H50,"")</f>
        <v/>
      </c>
      <c r="D397" s="28" t="str">
        <f>IF(Mar!$I50="SI",Mar!$L50,"")</f>
        <v/>
      </c>
      <c r="E397" s="47" t="s">
        <v>109</v>
      </c>
    </row>
    <row r="398" spans="2:5" x14ac:dyDescent="0.2">
      <c r="B398" s="28" t="str">
        <f>IF(Mar!$I51="SI",Mar!$H$48,"")</f>
        <v/>
      </c>
      <c r="C398" s="28" t="str">
        <f>IF(Mar!$I51="SI",Mar!$H51,"")</f>
        <v/>
      </c>
      <c r="D398" s="28" t="str">
        <f>IF(Mar!$I51="SI",Mar!$L51,"")</f>
        <v/>
      </c>
      <c r="E398" s="47" t="s">
        <v>109</v>
      </c>
    </row>
    <row r="399" spans="2:5" x14ac:dyDescent="0.2">
      <c r="B399" s="28" t="str">
        <f>IF(Mar!$I52="SI",Mar!$H$48,"")</f>
        <v/>
      </c>
      <c r="C399" s="28" t="str">
        <f>IF(Mar!$I52="SI",Mar!$H52,"")</f>
        <v/>
      </c>
      <c r="D399" s="28" t="str">
        <f>IF(Mar!$I52="SI",Mar!$L52,"")</f>
        <v/>
      </c>
      <c r="E399" s="47" t="s">
        <v>109</v>
      </c>
    </row>
    <row r="400" spans="2:5" x14ac:dyDescent="0.2">
      <c r="B400" s="28" t="str">
        <f>IF(Mar!$I53="SI",Mar!$H$48,"")</f>
        <v/>
      </c>
      <c r="C400" s="28" t="str">
        <f>IF(Mar!$I53="SI",Mar!$H53,"")</f>
        <v/>
      </c>
      <c r="D400" s="28" t="str">
        <f>IF(Mar!$I53="SI",Mar!$L53,"")</f>
        <v/>
      </c>
      <c r="E400" s="47" t="s">
        <v>109</v>
      </c>
    </row>
    <row r="401" spans="2:5" x14ac:dyDescent="0.2">
      <c r="B401" s="28" t="str">
        <f>IF(Mar!$I54="SI",Mar!$H$48,"")</f>
        <v/>
      </c>
      <c r="C401" s="28" t="str">
        <f>IF(Mar!$I54="SI",Mar!$H54,"")</f>
        <v/>
      </c>
      <c r="D401" s="28" t="str">
        <f>IF(Mar!$I54="SI",Mar!$L54,"")</f>
        <v/>
      </c>
      <c r="E401" s="47" t="s">
        <v>109</v>
      </c>
    </row>
    <row r="402" spans="2:5" x14ac:dyDescent="0.2">
      <c r="B402" s="28" t="str">
        <f>IF(Mar!$I58="SI",Mar!$H$57,"")</f>
        <v/>
      </c>
      <c r="C402" s="28" t="str">
        <f>IF(Mar!$I58="SI",Mar!$H58,"")</f>
        <v/>
      </c>
      <c r="D402" s="28" t="str">
        <f>IF(Mar!$I58="SI",Mar!$L58,"")</f>
        <v/>
      </c>
      <c r="E402" s="47" t="s">
        <v>109</v>
      </c>
    </row>
    <row r="403" spans="2:5" x14ac:dyDescent="0.2">
      <c r="B403" s="28" t="str">
        <f>IF(Mar!$I59="SI",Mar!$H$57,"")</f>
        <v/>
      </c>
      <c r="C403" s="28" t="str">
        <f>IF(Mar!$I59="SI",Mar!$H59,"")</f>
        <v/>
      </c>
      <c r="D403" s="28" t="str">
        <f>IF(Mar!$I59="SI",Mar!$L59,"")</f>
        <v/>
      </c>
      <c r="E403" s="47" t="s">
        <v>109</v>
      </c>
    </row>
    <row r="404" spans="2:5" x14ac:dyDescent="0.2">
      <c r="B404" s="28" t="str">
        <f>IF(Mar!$I60="SI",Mar!$H$57,"")</f>
        <v/>
      </c>
      <c r="C404" s="28" t="str">
        <f>IF(Mar!$I60="SI",Mar!$H60,"")</f>
        <v/>
      </c>
      <c r="D404" s="28" t="str">
        <f>IF(Mar!$I60="SI",Mar!$L60,"")</f>
        <v/>
      </c>
      <c r="E404" s="47" t="s">
        <v>109</v>
      </c>
    </row>
    <row r="405" spans="2:5" x14ac:dyDescent="0.2">
      <c r="B405" s="28" t="str">
        <f>IF(Mar!$I61="SI",Mar!$H$57,"")</f>
        <v/>
      </c>
      <c r="C405" s="28" t="str">
        <f>IF(Mar!$I61="SI",Mar!$H61,"")</f>
        <v/>
      </c>
      <c r="D405" s="28" t="str">
        <f>IF(Mar!$I61="SI",Mar!$L61,"")</f>
        <v/>
      </c>
      <c r="E405" s="47" t="s">
        <v>109</v>
      </c>
    </row>
    <row r="406" spans="2:5" x14ac:dyDescent="0.2">
      <c r="B406" s="28" t="str">
        <f>IF(Mar!$I62="SI",Mar!$H$57,"")</f>
        <v/>
      </c>
      <c r="C406" s="28" t="str">
        <f>IF(Mar!$I62="SI",Mar!$H62,"")</f>
        <v/>
      </c>
      <c r="D406" s="28" t="str">
        <f>IF(Mar!$I62="SI",Mar!$L62,"")</f>
        <v/>
      </c>
      <c r="E406" s="47" t="s">
        <v>109</v>
      </c>
    </row>
    <row r="407" spans="2:5" x14ac:dyDescent="0.2">
      <c r="B407" s="28" t="str">
        <f>IF(Mar!$I63="SI",Mar!$H$57,"")</f>
        <v/>
      </c>
      <c r="C407" s="28" t="str">
        <f>IF(Mar!$I63="SI",Mar!$H63,"")</f>
        <v/>
      </c>
      <c r="D407" s="28" t="str">
        <f>IF(Mar!$I63="SI",Mar!$L63,"")</f>
        <v/>
      </c>
      <c r="E407" s="47" t="s">
        <v>109</v>
      </c>
    </row>
    <row r="408" spans="2:5" x14ac:dyDescent="0.2">
      <c r="B408" s="28" t="str">
        <f>IF(Mar!$I64="SI",Mar!$H$57,"")</f>
        <v/>
      </c>
      <c r="C408" s="28" t="str">
        <f>IF(Mar!$I64="SI",Mar!$H64,"")</f>
        <v/>
      </c>
      <c r="D408" s="28" t="str">
        <f>IF(Mar!$I64="SI",Mar!$L64,"")</f>
        <v/>
      </c>
      <c r="E408" s="47" t="s">
        <v>109</v>
      </c>
    </row>
    <row r="409" spans="2:5" x14ac:dyDescent="0.2">
      <c r="B409" s="28" t="str">
        <f>IF(Mar!$I68="SI",Mar!$H$67,"")</f>
        <v/>
      </c>
      <c r="C409" s="28" t="str">
        <f>IF(Mar!$I68="SI",Mar!$H68,"")</f>
        <v/>
      </c>
      <c r="D409" s="28" t="str">
        <f>IF(Mar!$I68="SI",Mar!$L68,"")</f>
        <v/>
      </c>
      <c r="E409" s="47" t="s">
        <v>109</v>
      </c>
    </row>
    <row r="410" spans="2:5" x14ac:dyDescent="0.2">
      <c r="B410" s="28" t="str">
        <f>IF(Mar!$I69="SI",Mar!$H$67,"")</f>
        <v/>
      </c>
      <c r="C410" s="28" t="str">
        <f>IF(Mar!$I69="SI",Mar!$H69,"")</f>
        <v/>
      </c>
      <c r="D410" s="28" t="str">
        <f>IF(Mar!$I69="SI",Mar!$L69,"")</f>
        <v/>
      </c>
      <c r="E410" s="47" t="s">
        <v>109</v>
      </c>
    </row>
    <row r="411" spans="2:5" x14ac:dyDescent="0.2">
      <c r="B411" s="28" t="str">
        <f>IF(Mar!$I70="SI",Mar!$H$67,"")</f>
        <v/>
      </c>
      <c r="C411" s="28" t="str">
        <f>IF(Mar!$I70="SI",Mar!$H70,"")</f>
        <v/>
      </c>
      <c r="D411" s="28" t="str">
        <f>IF(Mar!$I70="SI",Mar!$L70,"")</f>
        <v/>
      </c>
      <c r="E411" s="47" t="s">
        <v>109</v>
      </c>
    </row>
    <row r="412" spans="2:5" x14ac:dyDescent="0.2">
      <c r="B412" s="28" t="str">
        <f>IF(Mar!$I71="SI",Mar!$H$67,"")</f>
        <v/>
      </c>
      <c r="C412" s="28" t="str">
        <f>IF(Mar!$I71="SI",Mar!$H71,"")</f>
        <v/>
      </c>
      <c r="D412" s="28" t="str">
        <f>IF(Mar!$I71="SI",Mar!$L71,"")</f>
        <v/>
      </c>
      <c r="E412" s="47" t="s">
        <v>109</v>
      </c>
    </row>
    <row r="413" spans="2:5" x14ac:dyDescent="0.2">
      <c r="B413" s="28" t="str">
        <f>IF(Mar!$I72="SI",Mar!$H$67,"")</f>
        <v/>
      </c>
      <c r="C413" s="28" t="str">
        <f>IF(Mar!$I72="SI",Mar!$H72,"")</f>
        <v/>
      </c>
      <c r="D413" s="28" t="str">
        <f>IF(Mar!$I72="SI",Mar!$L72,"")</f>
        <v/>
      </c>
      <c r="E413" s="47" t="s">
        <v>109</v>
      </c>
    </row>
    <row r="414" spans="2:5" x14ac:dyDescent="0.2">
      <c r="B414" s="28" t="str">
        <f>IF(Mar!$I73="SI",Mar!$H$67,"")</f>
        <v/>
      </c>
      <c r="C414" s="28" t="str">
        <f>IF(Mar!$I73="SI",Mar!$H73,"")</f>
        <v/>
      </c>
      <c r="D414" s="28" t="str">
        <f>IF(Mar!$I73="SI",Mar!$L73,"")</f>
        <v/>
      </c>
      <c r="E414" s="47" t="s">
        <v>109</v>
      </c>
    </row>
    <row r="415" spans="2:5" x14ac:dyDescent="0.2">
      <c r="B415" s="28" t="str">
        <f>IF(Mar!$I74="SI",Mar!$H$67,"")</f>
        <v/>
      </c>
      <c r="C415" s="28" t="str">
        <f>IF(Mar!$I74="SI",Mar!$H74,"")</f>
        <v/>
      </c>
      <c r="D415" s="28" t="str">
        <f>IF(Mar!$I74="SI",Mar!$L74,"")</f>
        <v/>
      </c>
      <c r="E415" s="47" t="s">
        <v>109</v>
      </c>
    </row>
    <row r="416" spans="2:5" x14ac:dyDescent="0.2">
      <c r="B416" s="28" t="str">
        <f>IF(Mar!$I75="SI",Mar!$H$67,"")</f>
        <v/>
      </c>
      <c r="C416" s="28" t="str">
        <f>IF(Mar!$I75="SI",Mar!$H75,"")</f>
        <v/>
      </c>
      <c r="D416" s="28" t="str">
        <f>IF(Mar!$I75="SI",Mar!$L75,"")</f>
        <v/>
      </c>
      <c r="E416" s="47" t="s">
        <v>109</v>
      </c>
    </row>
    <row r="417" spans="2:5" x14ac:dyDescent="0.2">
      <c r="B417" s="28" t="str">
        <f>IF(Mar!$I76="SI",Mar!$H$67,"")</f>
        <v/>
      </c>
      <c r="C417" s="28" t="str">
        <f>IF(Mar!$I76="SI",Mar!$H76,"")</f>
        <v/>
      </c>
      <c r="D417" s="28" t="str">
        <f>IF(Mar!$I76="SI",Mar!$L76,"")</f>
        <v/>
      </c>
      <c r="E417" s="47" t="s">
        <v>109</v>
      </c>
    </row>
    <row r="418" spans="2:5" x14ac:dyDescent="0.2">
      <c r="B418" s="28" t="str">
        <f>IF(Mar!$I77="SI",Mar!$H$67,"")</f>
        <v/>
      </c>
      <c r="C418" s="28" t="str">
        <f>IF(Mar!$I77="SI",Mar!$H77,"")</f>
        <v/>
      </c>
      <c r="D418" s="28" t="str">
        <f>IF(Mar!$I77="SI",Mar!$L77,"")</f>
        <v/>
      </c>
      <c r="E418" s="47" t="s">
        <v>109</v>
      </c>
    </row>
    <row r="419" spans="2:5" x14ac:dyDescent="0.2">
      <c r="B419" s="28" t="str">
        <f>IF(Mar!$I78="SI",Mar!$H$67,"")</f>
        <v/>
      </c>
      <c r="C419" s="28" t="str">
        <f>IF(Mar!$I78="SI",Mar!$H78,"")</f>
        <v/>
      </c>
      <c r="D419" s="28" t="str">
        <f>IF(Mar!$I78="SI",Mar!$L78,"")</f>
        <v/>
      </c>
      <c r="E419" s="47" t="s">
        <v>109</v>
      </c>
    </row>
    <row r="420" spans="2:5" x14ac:dyDescent="0.2">
      <c r="B420" s="28" t="str">
        <f>IF(Mar!$I82="SI",Mar!$H$81,"")</f>
        <v/>
      </c>
      <c r="C420" s="28" t="str">
        <f>IF(Mar!$I82="SI",Mar!$H82,"")</f>
        <v/>
      </c>
      <c r="D420" s="28" t="str">
        <f>IF(Mar!$I82="SI",Mar!$L82,"")</f>
        <v/>
      </c>
      <c r="E420" s="47" t="s">
        <v>109</v>
      </c>
    </row>
    <row r="421" spans="2:5" x14ac:dyDescent="0.2">
      <c r="B421" s="28" t="str">
        <f>IF(Mar!$I83="SI",Mar!$H$81,"")</f>
        <v/>
      </c>
      <c r="C421" s="28" t="str">
        <f>IF(Mar!$I83="SI",Mar!$H83,"")</f>
        <v/>
      </c>
      <c r="D421" s="28" t="str">
        <f>IF(Mar!$I83="SI",Mar!$L83,"")</f>
        <v/>
      </c>
      <c r="E421" s="47" t="s">
        <v>109</v>
      </c>
    </row>
    <row r="422" spans="2:5" x14ac:dyDescent="0.2">
      <c r="B422" s="28" t="str">
        <f>IF(Mar!$I84="SI",Mar!$H$81,"")</f>
        <v/>
      </c>
      <c r="C422" s="28" t="str">
        <f>IF(Mar!$I84="SI",Mar!$H84,"")</f>
        <v/>
      </c>
      <c r="D422" s="28" t="str">
        <f>IF(Mar!$I84="SI",Mar!$L84,"")</f>
        <v/>
      </c>
      <c r="E422" s="47" t="s">
        <v>109</v>
      </c>
    </row>
    <row r="423" spans="2:5" x14ac:dyDescent="0.2">
      <c r="B423" s="28" t="str">
        <f>IF(Mar!$I85="SI",Mar!$H$81,"")</f>
        <v/>
      </c>
      <c r="C423" s="28" t="str">
        <f>IF(Mar!$I85="SI",Mar!$H85,"")</f>
        <v/>
      </c>
      <c r="D423" s="28" t="str">
        <f>IF(Mar!$I85="SI",Mar!$L85,"")</f>
        <v/>
      </c>
      <c r="E423" s="47" t="s">
        <v>109</v>
      </c>
    </row>
    <row r="424" spans="2:5" x14ac:dyDescent="0.2">
      <c r="B424" s="28" t="str">
        <f>IF(Mar!$I86="SI",Mar!$H$81,"")</f>
        <v/>
      </c>
      <c r="C424" s="28" t="str">
        <f>IF(Mar!$I86="SI",Mar!$H86,"")</f>
        <v/>
      </c>
      <c r="D424" s="28" t="str">
        <f>IF(Mar!$I86="SI",Mar!$L86,"")</f>
        <v/>
      </c>
      <c r="E424" s="47" t="s">
        <v>109</v>
      </c>
    </row>
    <row r="425" spans="2:5" x14ac:dyDescent="0.2">
      <c r="B425" s="28" t="str">
        <f>IF(Mar!$I87="SI",Mar!$H$81,"")</f>
        <v/>
      </c>
      <c r="C425" s="28" t="str">
        <f>IF(Mar!$I87="SI",Mar!$H87,"")</f>
        <v/>
      </c>
      <c r="D425" s="28" t="str">
        <f>IF(Mar!$I87="SI",Mar!$L87,"")</f>
        <v/>
      </c>
      <c r="E425" s="47" t="s">
        <v>109</v>
      </c>
    </row>
    <row r="426" spans="2:5" x14ac:dyDescent="0.2">
      <c r="B426" s="28" t="str">
        <f>IF(Mar!$I91="SI",Mar!$H$90,"")</f>
        <v/>
      </c>
      <c r="C426" s="28" t="str">
        <f>IF(Mar!$I91="SI",Mar!$H91,"")</f>
        <v/>
      </c>
      <c r="D426" s="28" t="str">
        <f>IF(Mar!$I91="SI",Mar!$L91,"")</f>
        <v/>
      </c>
      <c r="E426" s="47" t="s">
        <v>109</v>
      </c>
    </row>
    <row r="427" spans="2:5" x14ac:dyDescent="0.2">
      <c r="B427" s="28" t="str">
        <f>IF(Mar!$I92="SI",Mar!$H$90,"")</f>
        <v/>
      </c>
      <c r="C427" s="28" t="str">
        <f>IF(Mar!$I92="SI",Mar!$H92,"")</f>
        <v/>
      </c>
      <c r="D427" s="28" t="str">
        <f>IF(Mar!$I92="SI",Mar!$L92,"")</f>
        <v/>
      </c>
      <c r="E427" s="47" t="s">
        <v>109</v>
      </c>
    </row>
    <row r="428" spans="2:5" x14ac:dyDescent="0.2">
      <c r="B428" s="28" t="str">
        <f>IF(Mar!$I93="SI",Mar!$H$90,"")</f>
        <v/>
      </c>
      <c r="C428" s="28" t="str">
        <f>IF(Mar!$I93="SI",Mar!$H93,"")</f>
        <v/>
      </c>
      <c r="D428" s="28" t="str">
        <f>IF(Mar!$I93="SI",Mar!$L93,"")</f>
        <v/>
      </c>
      <c r="E428" s="47" t="s">
        <v>109</v>
      </c>
    </row>
    <row r="429" spans="2:5" x14ac:dyDescent="0.2">
      <c r="B429" s="28" t="str">
        <f>IF(Mar!$I94="SI",Mar!$H$90,"")</f>
        <v/>
      </c>
      <c r="C429" s="28" t="str">
        <f>IF(Mar!$I94="SI",Mar!$H94,"")</f>
        <v/>
      </c>
      <c r="D429" s="28" t="str">
        <f>IF(Mar!$I94="SI",Mar!$L94,"")</f>
        <v/>
      </c>
      <c r="E429" s="47" t="s">
        <v>109</v>
      </c>
    </row>
    <row r="430" spans="2:5" x14ac:dyDescent="0.2">
      <c r="B430" s="28" t="str">
        <f>IF(Mar!$I95="SI",Mar!$H$90,"")</f>
        <v/>
      </c>
      <c r="C430" s="28" t="str">
        <f>IF(Mar!$I95="SI",Mar!$H95,"")</f>
        <v/>
      </c>
      <c r="D430" s="28" t="str">
        <f>IF(Mar!$I95="SI",Mar!$L95,"")</f>
        <v/>
      </c>
      <c r="E430" s="47" t="s">
        <v>109</v>
      </c>
    </row>
    <row r="431" spans="2:5" x14ac:dyDescent="0.2">
      <c r="B431" s="28" t="str">
        <f>IF(Mar!$I96="SI",Mar!$H$90,"")</f>
        <v/>
      </c>
      <c r="C431" s="28" t="str">
        <f>IF(Mar!$I96="SI",Mar!$H96,"")</f>
        <v/>
      </c>
      <c r="D431" s="28" t="str">
        <f>IF(Mar!$I96="SI",Mar!$L96,"")</f>
        <v/>
      </c>
      <c r="E431" s="47" t="s">
        <v>109</v>
      </c>
    </row>
    <row r="432" spans="2:5" x14ac:dyDescent="0.2">
      <c r="B432" s="28" t="str">
        <f>IF(Mar!$I97="SI",Mar!$H$90,"")</f>
        <v/>
      </c>
      <c r="C432" s="28" t="str">
        <f>IF(Mar!$I97="SI",Mar!$H97,"")</f>
        <v/>
      </c>
      <c r="D432" s="28" t="str">
        <f>IF(Mar!$I97="SI",Mar!$L97,"")</f>
        <v/>
      </c>
      <c r="E432" s="47" t="s">
        <v>109</v>
      </c>
    </row>
    <row r="433" spans="2:5" x14ac:dyDescent="0.2">
      <c r="B433" s="28" t="str">
        <f>IF(Mar!$I101="SI",Mar!$H$100,"")</f>
        <v/>
      </c>
      <c r="C433" s="28" t="str">
        <f>IF(Mar!$I101="SI",Mar!$H101,"")</f>
        <v/>
      </c>
      <c r="D433" s="28" t="str">
        <f>IF(Mar!$I101="SI",Mar!$L101,"")</f>
        <v/>
      </c>
      <c r="E433" s="47" t="s">
        <v>109</v>
      </c>
    </row>
    <row r="434" spans="2:5" x14ac:dyDescent="0.2">
      <c r="B434" s="28" t="str">
        <f>IF(Mar!$I102="SI",Mar!$H$100,"")</f>
        <v/>
      </c>
      <c r="C434" s="28" t="str">
        <f>IF(Mar!$I102="SI",Mar!$H102,"")</f>
        <v/>
      </c>
      <c r="D434" s="28" t="str">
        <f>IF(Mar!$I102="SI",Mar!$L102,"")</f>
        <v/>
      </c>
      <c r="E434" s="47" t="s">
        <v>109</v>
      </c>
    </row>
    <row r="435" spans="2:5" x14ac:dyDescent="0.2">
      <c r="B435" s="28" t="str">
        <f>IF(Mar!$I103="SI",Mar!$H$100,"")</f>
        <v/>
      </c>
      <c r="C435" s="28" t="str">
        <f>IF(Mar!$I103="SI",Mar!$H103,"")</f>
        <v/>
      </c>
      <c r="D435" s="28" t="str">
        <f>IF(Mar!$I103="SI",Mar!$L103,"")</f>
        <v/>
      </c>
      <c r="E435" s="47" t="s">
        <v>109</v>
      </c>
    </row>
    <row r="436" spans="2:5" x14ac:dyDescent="0.2">
      <c r="B436" s="28" t="str">
        <f>IF(Mar!$I104="SI",Mar!$H$100,"")</f>
        <v/>
      </c>
      <c r="C436" s="28" t="str">
        <f>IF(Mar!$I104="SI",Mar!$H104,"")</f>
        <v/>
      </c>
      <c r="D436" s="28" t="str">
        <f>IF(Mar!$I104="SI",Mar!$L104,"")</f>
        <v/>
      </c>
      <c r="E436" s="47" t="s">
        <v>109</v>
      </c>
    </row>
    <row r="437" spans="2:5" x14ac:dyDescent="0.2">
      <c r="B437" s="28" t="str">
        <f>IF(Mar!$I105="SI",Mar!$H$100,"")</f>
        <v/>
      </c>
      <c r="C437" s="28" t="str">
        <f>IF(Mar!$I105="SI",Mar!$H105,"")</f>
        <v/>
      </c>
      <c r="D437" s="28" t="str">
        <f>IF(Mar!$I105="SI",Mar!$L105,"")</f>
        <v/>
      </c>
      <c r="E437" s="47" t="s">
        <v>109</v>
      </c>
    </row>
    <row r="438" spans="2:5" x14ac:dyDescent="0.2">
      <c r="B438" s="28" t="str">
        <f>IF(Mar!$I106="SI",Mar!$H$100,"")</f>
        <v/>
      </c>
      <c r="C438" s="28" t="str">
        <f>IF(Mar!$I106="SI",Mar!$H106,"")</f>
        <v/>
      </c>
      <c r="D438" s="28" t="str">
        <f>IF(Mar!$I106="SI",Mar!$L106,"")</f>
        <v/>
      </c>
      <c r="E438" s="47" t="s">
        <v>109</v>
      </c>
    </row>
    <row r="439" spans="2:5" x14ac:dyDescent="0.2">
      <c r="B439" s="28" t="str">
        <f>IF(Mar!$I107="SI",Mar!$H$100,"")</f>
        <v/>
      </c>
      <c r="C439" s="28" t="str">
        <f>IF(Mar!$I107="SI",Mar!$H107,"")</f>
        <v/>
      </c>
      <c r="D439" s="28" t="str">
        <f>IF(Mar!$I107="SI",Mar!$L107,"")</f>
        <v/>
      </c>
      <c r="E439" s="47" t="s">
        <v>109</v>
      </c>
    </row>
    <row r="440" spans="2:5" x14ac:dyDescent="0.2">
      <c r="B440" s="29"/>
      <c r="C440" s="29"/>
      <c r="D440" s="29"/>
      <c r="E440" s="47" t="s">
        <v>109</v>
      </c>
    </row>
    <row r="441" spans="2:5" x14ac:dyDescent="0.2">
      <c r="B441" s="28" t="str">
        <f>IF(Abr!$C13="SI",Abr!$B$12,"")</f>
        <v/>
      </c>
      <c r="C441" s="28" t="str">
        <f>IF(Abr!$C13="SI",Abr!$B13,"")</f>
        <v/>
      </c>
      <c r="D441" s="28" t="str">
        <f>IF(Abr!$C13="SI",Abr!$F13,"")</f>
        <v/>
      </c>
      <c r="E441" s="47" t="s">
        <v>110</v>
      </c>
    </row>
    <row r="442" spans="2:5" x14ac:dyDescent="0.2">
      <c r="B442" s="28" t="str">
        <f>IF(Abr!$C14="SI",Abr!$B$12,"")</f>
        <v/>
      </c>
      <c r="C442" s="28" t="str">
        <f>IF(Abr!$C14="SI",Abr!$B14,"")</f>
        <v/>
      </c>
      <c r="D442" s="28" t="str">
        <f>IF(Abr!$C14="SI",Abr!$F14,"")</f>
        <v/>
      </c>
      <c r="E442" s="47" t="s">
        <v>110</v>
      </c>
    </row>
    <row r="443" spans="2:5" x14ac:dyDescent="0.2">
      <c r="B443" s="28" t="str">
        <f>IF(Abr!$C15="SI",Abr!$B$12,"")</f>
        <v/>
      </c>
      <c r="C443" s="28" t="str">
        <f>IF(Abr!$C15="SI",Abr!$B15,"")</f>
        <v/>
      </c>
      <c r="D443" s="28" t="str">
        <f>IF(Abr!$C15="SI",Abr!$F15,"")</f>
        <v/>
      </c>
      <c r="E443" s="47" t="s">
        <v>110</v>
      </c>
    </row>
    <row r="444" spans="2:5" x14ac:dyDescent="0.2">
      <c r="B444" s="28" t="str">
        <f>IF(Abr!$C16="SI",Abr!$B$12,"")</f>
        <v/>
      </c>
      <c r="C444" s="28" t="str">
        <f>IF(Abr!$C16="SI",Abr!$B16,"")</f>
        <v/>
      </c>
      <c r="D444" s="28" t="str">
        <f>IF(Abr!$C16="SI",Abr!$F16,"")</f>
        <v/>
      </c>
      <c r="E444" s="47" t="s">
        <v>110</v>
      </c>
    </row>
    <row r="445" spans="2:5" x14ac:dyDescent="0.2">
      <c r="B445" s="28" t="str">
        <f>IF(Abr!$C17="SI",Abr!$B$12,"")</f>
        <v/>
      </c>
      <c r="C445" s="28" t="str">
        <f>IF(Abr!$C17="SI",Abr!$B17,"")</f>
        <v/>
      </c>
      <c r="D445" s="28" t="str">
        <f>IF(Abr!$C17="SI",Abr!$F17,"")</f>
        <v/>
      </c>
      <c r="E445" s="47" t="s">
        <v>110</v>
      </c>
    </row>
    <row r="446" spans="2:5" x14ac:dyDescent="0.2">
      <c r="B446" s="28" t="str">
        <f>IF(Abr!$C18="SI",Abr!$B$12,"")</f>
        <v/>
      </c>
      <c r="C446" s="28" t="str">
        <f>IF(Abr!$C18="SI",Abr!$B18,"")</f>
        <v/>
      </c>
      <c r="D446" s="28" t="str">
        <f>IF(Abr!$C18="SI",Abr!$F18,"")</f>
        <v/>
      </c>
      <c r="E446" s="47" t="s">
        <v>110</v>
      </c>
    </row>
    <row r="447" spans="2:5" x14ac:dyDescent="0.2">
      <c r="B447" s="28" t="str">
        <f>IF(Abr!$C19="SI",Abr!$B$12,"")</f>
        <v/>
      </c>
      <c r="C447" s="28" t="str">
        <f>IF(Abr!$C19="SI",Abr!$B19,"")</f>
        <v/>
      </c>
      <c r="D447" s="28" t="str">
        <f>IF(Abr!$C19="SI",Abr!$F19,"")</f>
        <v/>
      </c>
      <c r="E447" s="47" t="s">
        <v>110</v>
      </c>
    </row>
    <row r="448" spans="2:5" x14ac:dyDescent="0.2">
      <c r="B448" s="28" t="str">
        <f>IF(Abr!$C20="SI",Abr!$B$12,"")</f>
        <v/>
      </c>
      <c r="C448" s="28" t="str">
        <f>IF(Abr!$C20="SI",Abr!$B20,"")</f>
        <v/>
      </c>
      <c r="D448" s="28" t="str">
        <f>IF(Abr!$C20="SI",Abr!$F20,"")</f>
        <v/>
      </c>
      <c r="E448" s="47" t="s">
        <v>110</v>
      </c>
    </row>
    <row r="449" spans="2:5" x14ac:dyDescent="0.2">
      <c r="B449" s="28" t="str">
        <f>IF(Abr!$C21="SI",Abr!$B$12,"")</f>
        <v/>
      </c>
      <c r="C449" s="28" t="str">
        <f>IF(Abr!$C21="SI",Abr!$B21,"")</f>
        <v/>
      </c>
      <c r="D449" s="28" t="str">
        <f>IF(Abr!$C21="SI",Abr!$F21,"")</f>
        <v/>
      </c>
      <c r="E449" s="47" t="s">
        <v>110</v>
      </c>
    </row>
    <row r="450" spans="2:5" x14ac:dyDescent="0.2">
      <c r="B450" s="28" t="str">
        <f>IF(Abr!$C22="SI",Abr!$B$12,"")</f>
        <v/>
      </c>
      <c r="C450" s="28" t="str">
        <f>IF(Abr!$C22="SI",Abr!$B22,"")</f>
        <v/>
      </c>
      <c r="D450" s="28" t="str">
        <f>IF(Abr!$C22="SI",Abr!$F22,"")</f>
        <v/>
      </c>
      <c r="E450" s="47" t="s">
        <v>110</v>
      </c>
    </row>
    <row r="451" spans="2:5" x14ac:dyDescent="0.2">
      <c r="B451" s="28" t="str">
        <f>IF(Abr!$C23="SI",Abr!$B$12,"")</f>
        <v/>
      </c>
      <c r="C451" s="28" t="str">
        <f>IF(Abr!$C23="SI",Abr!$B23,"")</f>
        <v/>
      </c>
      <c r="D451" s="28" t="str">
        <f>IF(Abr!$C23="SI",Abr!$F23,"")</f>
        <v/>
      </c>
      <c r="E451" s="47" t="s">
        <v>110</v>
      </c>
    </row>
    <row r="452" spans="2:5" x14ac:dyDescent="0.2">
      <c r="B452" s="28" t="str">
        <f>IF(Abr!$C24="SI",Abr!$B$12,"")</f>
        <v/>
      </c>
      <c r="C452" s="28" t="str">
        <f>IF(Abr!$C24="SI",Abr!$B24,"")</f>
        <v/>
      </c>
      <c r="D452" s="28" t="str">
        <f>IF(Abr!$C24="SI",Abr!$F24,"")</f>
        <v/>
      </c>
      <c r="E452" s="47" t="s">
        <v>110</v>
      </c>
    </row>
    <row r="453" spans="2:5" x14ac:dyDescent="0.2">
      <c r="B453" s="28" t="str">
        <f>IF(Abr!$C28="SI",Abr!$B$27,"")</f>
        <v/>
      </c>
      <c r="C453" s="28" t="str">
        <f>IF(Abr!$C28="SI",Abr!$B28,"")</f>
        <v/>
      </c>
      <c r="D453" s="28" t="str">
        <f>IF(Abr!$C28="SI",Abr!$F28,"")</f>
        <v/>
      </c>
      <c r="E453" s="47" t="s">
        <v>110</v>
      </c>
    </row>
    <row r="454" spans="2:5" x14ac:dyDescent="0.2">
      <c r="B454" s="28" t="str">
        <f>IF(Abr!$C29="SI",Abr!$B$27,"")</f>
        <v/>
      </c>
      <c r="C454" s="28" t="str">
        <f>IF(Abr!$C29="SI",Abr!$B29,"")</f>
        <v/>
      </c>
      <c r="D454" s="28" t="str">
        <f>IF(Abr!$C29="SI",Abr!$F29,"")</f>
        <v/>
      </c>
      <c r="E454" s="47" t="s">
        <v>110</v>
      </c>
    </row>
    <row r="455" spans="2:5" x14ac:dyDescent="0.2">
      <c r="B455" s="28" t="str">
        <f>IF(Abr!$C30="SI",Abr!$B$27,"")</f>
        <v/>
      </c>
      <c r="C455" s="28" t="str">
        <f>IF(Abr!$C30="SI",Abr!$B30,"")</f>
        <v/>
      </c>
      <c r="D455" s="28" t="str">
        <f>IF(Abr!$C30="SI",Abr!$F30,"")</f>
        <v/>
      </c>
      <c r="E455" s="47" t="s">
        <v>110</v>
      </c>
    </row>
    <row r="456" spans="2:5" x14ac:dyDescent="0.2">
      <c r="B456" s="28" t="str">
        <f>IF(Abr!$C31="SI",Abr!$B$27,"")</f>
        <v/>
      </c>
      <c r="C456" s="28" t="str">
        <f>IF(Abr!$C31="SI",Abr!$B31,"")</f>
        <v/>
      </c>
      <c r="D456" s="28" t="str">
        <f>IF(Abr!$C31="SI",Abr!$F31,"")</f>
        <v/>
      </c>
      <c r="E456" s="47" t="s">
        <v>110</v>
      </c>
    </row>
    <row r="457" spans="2:5" x14ac:dyDescent="0.2">
      <c r="B457" s="28" t="str">
        <f>IF(Abr!$C32="SI",Abr!$B$27,"")</f>
        <v/>
      </c>
      <c r="C457" s="28" t="str">
        <f>IF(Abr!$C32="SI",Abr!$B32,"")</f>
        <v/>
      </c>
      <c r="D457" s="28" t="str">
        <f>IF(Abr!$C32="SI",Abr!$F32,"")</f>
        <v/>
      </c>
      <c r="E457" s="47" t="s">
        <v>110</v>
      </c>
    </row>
    <row r="458" spans="2:5" x14ac:dyDescent="0.2">
      <c r="B458" s="28" t="str">
        <f>IF(Abr!$C33="SI",Abr!$B$27,"")</f>
        <v/>
      </c>
      <c r="C458" s="28" t="str">
        <f>IF(Abr!$C33="SI",Abr!$B33,"")</f>
        <v/>
      </c>
      <c r="D458" s="28" t="str">
        <f>IF(Abr!$C33="SI",Abr!$F33,"")</f>
        <v/>
      </c>
      <c r="E458" s="47" t="s">
        <v>110</v>
      </c>
    </row>
    <row r="459" spans="2:5" x14ac:dyDescent="0.2">
      <c r="B459" s="28" t="str">
        <f>IF(Abr!$C34="SI",Abr!$B$27,"")</f>
        <v/>
      </c>
      <c r="C459" s="28" t="str">
        <f>IF(Abr!$C34="SI",Abr!$B34,"")</f>
        <v/>
      </c>
      <c r="D459" s="28" t="str">
        <f>IF(Abr!$C34="SI",Abr!$F34,"")</f>
        <v/>
      </c>
      <c r="E459" s="47" t="s">
        <v>110</v>
      </c>
    </row>
    <row r="460" spans="2:5" x14ac:dyDescent="0.2">
      <c r="B460" s="28" t="str">
        <f>IF(Abr!$C35="SI",Abr!$B$27,"")</f>
        <v/>
      </c>
      <c r="C460" s="28" t="str">
        <f>IF(Abr!$C35="SI",Abr!$B35,"")</f>
        <v/>
      </c>
      <c r="D460" s="28" t="str">
        <f>IF(Abr!$C35="SI",Abr!$F35,"")</f>
        <v/>
      </c>
      <c r="E460" s="47" t="s">
        <v>110</v>
      </c>
    </row>
    <row r="461" spans="2:5" x14ac:dyDescent="0.2">
      <c r="B461" s="28" t="str">
        <f>IF(Abr!$C39="SI",Abr!$B$38,"")</f>
        <v/>
      </c>
      <c r="C461" s="28" t="str">
        <f>IF(Abr!$C39="SI",Abr!$B39,"")</f>
        <v/>
      </c>
      <c r="D461" s="28" t="str">
        <f>IF(Abr!$C39="SI",Abr!$F39,"")</f>
        <v/>
      </c>
      <c r="E461" s="47" t="s">
        <v>110</v>
      </c>
    </row>
    <row r="462" spans="2:5" x14ac:dyDescent="0.2">
      <c r="B462" s="28" t="str">
        <f>IF(Abr!$C40="SI",Abr!$B$38,"")</f>
        <v/>
      </c>
      <c r="C462" s="28" t="str">
        <f>IF(Abr!$C40="SI",Abr!$B40,"")</f>
        <v/>
      </c>
      <c r="D462" s="28" t="str">
        <f>IF(Abr!$C40="SI",Abr!$F40,"")</f>
        <v/>
      </c>
      <c r="E462" s="47" t="s">
        <v>110</v>
      </c>
    </row>
    <row r="463" spans="2:5" x14ac:dyDescent="0.2">
      <c r="B463" s="28" t="str">
        <f>IF(Abr!$C41="SI",Abr!$B$38,"")</f>
        <v/>
      </c>
      <c r="C463" s="28" t="str">
        <f>IF(Abr!$C41="SI",Abr!$B41,"")</f>
        <v/>
      </c>
      <c r="D463" s="28" t="str">
        <f>IF(Abr!$C41="SI",Abr!$F41,"")</f>
        <v/>
      </c>
      <c r="E463" s="47" t="s">
        <v>110</v>
      </c>
    </row>
    <row r="464" spans="2:5" x14ac:dyDescent="0.2">
      <c r="B464" s="28" t="str">
        <f>IF(Abr!$C42="SI",Abr!$B$38,"")</f>
        <v/>
      </c>
      <c r="C464" s="28" t="str">
        <f>IF(Abr!$C42="SI",Abr!$B42,"")</f>
        <v/>
      </c>
      <c r="D464" s="28" t="str">
        <f>IF(Abr!$C42="SI",Abr!$F42,"")</f>
        <v/>
      </c>
      <c r="E464" s="47" t="s">
        <v>110</v>
      </c>
    </row>
    <row r="465" spans="2:5" x14ac:dyDescent="0.2">
      <c r="B465" s="28" t="str">
        <f>IF(Abr!$C43="SI",Abr!$B$38,"")</f>
        <v/>
      </c>
      <c r="C465" s="28" t="str">
        <f>IF(Abr!$C43="SI",Abr!$B43,"")</f>
        <v/>
      </c>
      <c r="D465" s="28" t="str">
        <f>IF(Abr!$C43="SI",Abr!$F43,"")</f>
        <v/>
      </c>
      <c r="E465" s="47" t="s">
        <v>110</v>
      </c>
    </row>
    <row r="466" spans="2:5" x14ac:dyDescent="0.2">
      <c r="B466" s="28" t="str">
        <f>IF(Abr!$C44="SI",Abr!$B$38,"")</f>
        <v/>
      </c>
      <c r="C466" s="28" t="str">
        <f>IF(Abr!$C44="SI",Abr!$B44,"")</f>
        <v/>
      </c>
      <c r="D466" s="28" t="str">
        <f>IF(Abr!$C44="SI",Abr!$F44,"")</f>
        <v/>
      </c>
      <c r="E466" s="47" t="s">
        <v>110</v>
      </c>
    </row>
    <row r="467" spans="2:5" x14ac:dyDescent="0.2">
      <c r="B467" s="28" t="str">
        <f>IF(Abr!$C45="SI",Abr!$B$38,"")</f>
        <v/>
      </c>
      <c r="C467" s="28" t="str">
        <f>IF(Abr!$C45="SI",Abr!$B45,"")</f>
        <v/>
      </c>
      <c r="D467" s="28" t="str">
        <f>IF(Abr!$C45="SI",Abr!$F45,"")</f>
        <v/>
      </c>
      <c r="E467" s="47" t="s">
        <v>110</v>
      </c>
    </row>
    <row r="468" spans="2:5" x14ac:dyDescent="0.2">
      <c r="B468" s="28" t="str">
        <f>IF(Abr!$C49="SI",Abr!$B$48,"")</f>
        <v/>
      </c>
      <c r="C468" s="28" t="str">
        <f>IF(Abr!$C49="SI",Abr!$B49,"")</f>
        <v/>
      </c>
      <c r="D468" s="28" t="str">
        <f>IF(Abr!$C49="SI",Abr!$F49,"")</f>
        <v/>
      </c>
      <c r="E468" s="47" t="s">
        <v>110</v>
      </c>
    </row>
    <row r="469" spans="2:5" x14ac:dyDescent="0.2">
      <c r="B469" s="28" t="str">
        <f>IF(Abr!$C50="SI",Abr!$B$48,"")</f>
        <v/>
      </c>
      <c r="C469" s="28" t="str">
        <f>IF(Abr!$C50="SI",Abr!$B50,"")</f>
        <v/>
      </c>
      <c r="D469" s="28" t="str">
        <f>IF(Abr!$C50="SI",Abr!$F50,"")</f>
        <v/>
      </c>
      <c r="E469" s="47" t="s">
        <v>110</v>
      </c>
    </row>
    <row r="470" spans="2:5" x14ac:dyDescent="0.2">
      <c r="B470" s="28" t="str">
        <f>IF(Abr!$C51="SI",Abr!$B$48,"")</f>
        <v/>
      </c>
      <c r="C470" s="28" t="str">
        <f>IF(Abr!$C51="SI",Abr!$B51,"")</f>
        <v/>
      </c>
      <c r="D470" s="28" t="str">
        <f>IF(Abr!$C51="SI",Abr!$F51,"")</f>
        <v/>
      </c>
      <c r="E470" s="47" t="s">
        <v>110</v>
      </c>
    </row>
    <row r="471" spans="2:5" x14ac:dyDescent="0.2">
      <c r="B471" s="28" t="str">
        <f>IF(Abr!$C52="SI",Abr!$B$48,"")</f>
        <v/>
      </c>
      <c r="C471" s="28" t="str">
        <f>IF(Abr!$C52="SI",Abr!$B52,"")</f>
        <v/>
      </c>
      <c r="D471" s="28" t="str">
        <f>IF(Abr!$C52="SI",Abr!$F52,"")</f>
        <v/>
      </c>
      <c r="E471" s="47" t="s">
        <v>110</v>
      </c>
    </row>
    <row r="472" spans="2:5" x14ac:dyDescent="0.2">
      <c r="B472" s="28" t="str">
        <f>IF(Abr!$C53="SI",Abr!$B$48,"")</f>
        <v/>
      </c>
      <c r="C472" s="28" t="str">
        <f>IF(Abr!$C53="SI",Abr!$B53,"")</f>
        <v/>
      </c>
      <c r="D472" s="28" t="str">
        <f>IF(Abr!$C53="SI",Abr!$F53,"")</f>
        <v/>
      </c>
      <c r="E472" s="47" t="s">
        <v>110</v>
      </c>
    </row>
    <row r="473" spans="2:5" x14ac:dyDescent="0.2">
      <c r="B473" s="28" t="str">
        <f>IF(Abr!$C54="SI",Abr!$B$48,"")</f>
        <v/>
      </c>
      <c r="C473" s="28" t="str">
        <f>IF(Abr!$C54="SI",Abr!$B54,"")</f>
        <v/>
      </c>
      <c r="D473" s="28" t="str">
        <f>IF(Abr!$C54="SI",Abr!$F54,"")</f>
        <v/>
      </c>
      <c r="E473" s="47" t="s">
        <v>110</v>
      </c>
    </row>
    <row r="474" spans="2:5" x14ac:dyDescent="0.2">
      <c r="B474" s="28" t="str">
        <f>IF(Abr!$C58="SI",Abr!$B$57,"")</f>
        <v/>
      </c>
      <c r="C474" s="28" t="str">
        <f>IF(Abr!$C58="SI",Abr!$B58,"")</f>
        <v/>
      </c>
      <c r="D474" s="28" t="str">
        <f>IF(Abr!$C58="SI",Abr!$F58,"")</f>
        <v/>
      </c>
      <c r="E474" s="47" t="s">
        <v>110</v>
      </c>
    </row>
    <row r="475" spans="2:5" x14ac:dyDescent="0.2">
      <c r="B475" s="28" t="str">
        <f>IF(Abr!$C59="SI",Abr!$B$57,"")</f>
        <v/>
      </c>
      <c r="C475" s="28" t="str">
        <f>IF(Abr!$C59="SI",Abr!$B59,"")</f>
        <v/>
      </c>
      <c r="D475" s="28" t="str">
        <f>IF(Abr!$C59="SI",Abr!$F59,"")</f>
        <v/>
      </c>
      <c r="E475" s="47" t="s">
        <v>110</v>
      </c>
    </row>
    <row r="476" spans="2:5" x14ac:dyDescent="0.2">
      <c r="B476" s="28" t="str">
        <f>IF(Abr!$C60="SI",Abr!$B$57,"")</f>
        <v/>
      </c>
      <c r="C476" s="28" t="str">
        <f>IF(Abr!$C60="SI",Abr!$B60,"")</f>
        <v/>
      </c>
      <c r="D476" s="28" t="str">
        <f>IF(Abr!$C60="SI",Abr!$F60,"")</f>
        <v/>
      </c>
      <c r="E476" s="47" t="s">
        <v>110</v>
      </c>
    </row>
    <row r="477" spans="2:5" x14ac:dyDescent="0.2">
      <c r="B477" s="28" t="str">
        <f>IF(Abr!$C61="SI",Abr!$B$57,"")</f>
        <v/>
      </c>
      <c r="C477" s="28" t="str">
        <f>IF(Abr!$C61="SI",Abr!$B61,"")</f>
        <v/>
      </c>
      <c r="D477" s="28" t="str">
        <f>IF(Abr!$C61="SI",Abr!$F61,"")</f>
        <v/>
      </c>
      <c r="E477" s="47" t="s">
        <v>110</v>
      </c>
    </row>
    <row r="478" spans="2:5" x14ac:dyDescent="0.2">
      <c r="B478" s="28" t="str">
        <f>IF(Abr!$C62="SI",Abr!$B$57,"")</f>
        <v/>
      </c>
      <c r="C478" s="28" t="str">
        <f>IF(Abr!$C62="SI",Abr!$B62,"")</f>
        <v/>
      </c>
      <c r="D478" s="28" t="str">
        <f>IF(Abr!$C62="SI",Abr!$F62,"")</f>
        <v/>
      </c>
      <c r="E478" s="47" t="s">
        <v>110</v>
      </c>
    </row>
    <row r="479" spans="2:5" x14ac:dyDescent="0.2">
      <c r="B479" s="28" t="str">
        <f>IF(Abr!$C63="SI",Abr!$B$57,"")</f>
        <v/>
      </c>
      <c r="C479" s="28" t="str">
        <f>IF(Abr!$C63="SI",Abr!$B63,"")</f>
        <v/>
      </c>
      <c r="D479" s="28" t="str">
        <f>IF(Abr!$C63="SI",Abr!$F63,"")</f>
        <v/>
      </c>
      <c r="E479" s="47" t="s">
        <v>110</v>
      </c>
    </row>
    <row r="480" spans="2:5" x14ac:dyDescent="0.2">
      <c r="B480" s="28" t="str">
        <f>IF(Abr!$C64="SI",Abr!$B$57,"")</f>
        <v/>
      </c>
      <c r="C480" s="28" t="str">
        <f>IF(Abr!$C64="SI",Abr!$B64,"")</f>
        <v/>
      </c>
      <c r="D480" s="28" t="str">
        <f>IF(Abr!$C64="SI",Abr!$F64,"")</f>
        <v/>
      </c>
      <c r="E480" s="47" t="s">
        <v>110</v>
      </c>
    </row>
    <row r="481" spans="2:5" x14ac:dyDescent="0.2">
      <c r="B481" s="28" t="str">
        <f>IF(Abr!$C68="SI",Abr!$B$67,"")</f>
        <v/>
      </c>
      <c r="C481" s="28" t="str">
        <f>IF(Abr!$C68="SI",Abr!$B68,"")</f>
        <v/>
      </c>
      <c r="D481" s="28" t="str">
        <f>IF(Abr!$C68="SI",Abr!$F68,"")</f>
        <v/>
      </c>
      <c r="E481" s="47" t="s">
        <v>110</v>
      </c>
    </row>
    <row r="482" spans="2:5" x14ac:dyDescent="0.2">
      <c r="B482" s="28" t="str">
        <f>IF(Abr!$C69="SI",Abr!$B$67,"")</f>
        <v/>
      </c>
      <c r="C482" s="28" t="str">
        <f>IF(Abr!$C69="SI",Abr!$B69,"")</f>
        <v/>
      </c>
      <c r="D482" s="28" t="str">
        <f>IF(Abr!$C69="SI",Abr!$F69,"")</f>
        <v/>
      </c>
      <c r="E482" s="47" t="s">
        <v>110</v>
      </c>
    </row>
    <row r="483" spans="2:5" x14ac:dyDescent="0.2">
      <c r="B483" s="28" t="str">
        <f>IF(Abr!$C70="SI",Abr!$B$67,"")</f>
        <v/>
      </c>
      <c r="C483" s="28" t="str">
        <f>IF(Abr!$C70="SI",Abr!$B70,"")</f>
        <v/>
      </c>
      <c r="D483" s="28" t="str">
        <f>IF(Abr!$C70="SI",Abr!$F70,"")</f>
        <v/>
      </c>
      <c r="E483" s="47" t="s">
        <v>110</v>
      </c>
    </row>
    <row r="484" spans="2:5" x14ac:dyDescent="0.2">
      <c r="B484" s="28" t="str">
        <f>IF(Abr!$C71="SI",Abr!$B$67,"")</f>
        <v/>
      </c>
      <c r="C484" s="28" t="str">
        <f>IF(Abr!$C71="SI",Abr!$B71,"")</f>
        <v/>
      </c>
      <c r="D484" s="28" t="str">
        <f>IF(Abr!$C71="SI",Abr!$F71,"")</f>
        <v/>
      </c>
      <c r="E484" s="47" t="s">
        <v>110</v>
      </c>
    </row>
    <row r="485" spans="2:5" x14ac:dyDescent="0.2">
      <c r="B485" s="28" t="str">
        <f>IF(Abr!$C72="SI",Abr!$B$67,"")</f>
        <v/>
      </c>
      <c r="C485" s="28" t="str">
        <f>IF(Abr!$C72="SI",Abr!$B72,"")</f>
        <v/>
      </c>
      <c r="D485" s="28" t="str">
        <f>IF(Abr!$C72="SI",Abr!$F72,"")</f>
        <v/>
      </c>
      <c r="E485" s="47" t="s">
        <v>110</v>
      </c>
    </row>
    <row r="486" spans="2:5" x14ac:dyDescent="0.2">
      <c r="B486" s="28" t="str">
        <f>IF(Abr!$C73="SI",Abr!$B$67,"")</f>
        <v/>
      </c>
      <c r="C486" s="28" t="str">
        <f>IF(Abr!$C73="SI",Abr!$B73,"")</f>
        <v/>
      </c>
      <c r="D486" s="28" t="str">
        <f>IF(Abr!$C73="SI",Abr!$F73,"")</f>
        <v/>
      </c>
      <c r="E486" s="47" t="s">
        <v>110</v>
      </c>
    </row>
    <row r="487" spans="2:5" x14ac:dyDescent="0.2">
      <c r="B487" s="28" t="str">
        <f>IF(Abr!$C74="SI",Abr!$B$67,"")</f>
        <v/>
      </c>
      <c r="C487" s="28" t="str">
        <f>IF(Abr!$C74="SI",Abr!$B74,"")</f>
        <v/>
      </c>
      <c r="D487" s="28" t="str">
        <f>IF(Abr!$C74="SI",Abr!$F74,"")</f>
        <v/>
      </c>
      <c r="E487" s="47" t="s">
        <v>110</v>
      </c>
    </row>
    <row r="488" spans="2:5" x14ac:dyDescent="0.2">
      <c r="B488" s="28" t="str">
        <f>IF(Abr!$C75="SI",Abr!$B$67,"")</f>
        <v/>
      </c>
      <c r="C488" s="28" t="str">
        <f>IF(Abr!$C75="SI",Abr!$B75,"")</f>
        <v/>
      </c>
      <c r="D488" s="28" t="str">
        <f>IF(Abr!$C75="SI",Abr!$F75,"")</f>
        <v/>
      </c>
      <c r="E488" s="47" t="s">
        <v>110</v>
      </c>
    </row>
    <row r="489" spans="2:5" x14ac:dyDescent="0.2">
      <c r="B489" s="28" t="str">
        <f>IF(Abr!$C76="SI",Abr!$B$67,"")</f>
        <v/>
      </c>
      <c r="C489" s="28" t="str">
        <f>IF(Abr!$C76="SI",Abr!$B76,"")</f>
        <v/>
      </c>
      <c r="D489" s="28" t="str">
        <f>IF(Abr!$C76="SI",Abr!$F76,"")</f>
        <v/>
      </c>
      <c r="E489" s="47" t="s">
        <v>110</v>
      </c>
    </row>
    <row r="490" spans="2:5" x14ac:dyDescent="0.2">
      <c r="B490" s="28" t="str">
        <f>IF(Abr!$C77="SI",Abr!$B$67,"")</f>
        <v/>
      </c>
      <c r="C490" s="28" t="str">
        <f>IF(Abr!$C77="SI",Abr!$B77,"")</f>
        <v/>
      </c>
      <c r="D490" s="28" t="str">
        <f>IF(Abr!$C77="SI",Abr!$F77,"")</f>
        <v/>
      </c>
      <c r="E490" s="47" t="s">
        <v>110</v>
      </c>
    </row>
    <row r="491" spans="2:5" x14ac:dyDescent="0.2">
      <c r="B491" s="28" t="str">
        <f>IF(Abr!$C78="SI",Abr!$B$67,"")</f>
        <v/>
      </c>
      <c r="C491" s="28" t="str">
        <f>IF(Abr!$C78="SI",Abr!$B78,"")</f>
        <v/>
      </c>
      <c r="D491" s="28" t="str">
        <f>IF(Abr!$C78="SI",Abr!$F78,"")</f>
        <v/>
      </c>
      <c r="E491" s="47" t="s">
        <v>110</v>
      </c>
    </row>
    <row r="492" spans="2:5" x14ac:dyDescent="0.2">
      <c r="B492" s="28" t="str">
        <f>IF(Abr!$C82="SI",Abr!$B$81,"")</f>
        <v/>
      </c>
      <c r="C492" s="28" t="str">
        <f>IF(Abr!$C82="SI",Abr!$B82,"")</f>
        <v/>
      </c>
      <c r="D492" s="28" t="str">
        <f>IF(Abr!$C82="SI",Abr!$F82,"")</f>
        <v/>
      </c>
      <c r="E492" s="47" t="s">
        <v>110</v>
      </c>
    </row>
    <row r="493" spans="2:5" x14ac:dyDescent="0.2">
      <c r="B493" s="28" t="str">
        <f>IF(Abr!$C83="SI",Abr!$B$81,"")</f>
        <v/>
      </c>
      <c r="C493" s="28" t="str">
        <f>IF(Abr!$C83="SI",Abr!$B83,"")</f>
        <v/>
      </c>
      <c r="D493" s="28" t="str">
        <f>IF(Abr!$C83="SI",Abr!$F83,"")</f>
        <v/>
      </c>
      <c r="E493" s="47" t="s">
        <v>110</v>
      </c>
    </row>
    <row r="494" spans="2:5" x14ac:dyDescent="0.2">
      <c r="B494" s="28" t="str">
        <f>IF(Abr!$C84="SI",Abr!$B$81,"")</f>
        <v/>
      </c>
      <c r="C494" s="28" t="str">
        <f>IF(Abr!$C84="SI",Abr!$B84,"")</f>
        <v/>
      </c>
      <c r="D494" s="28" t="str">
        <f>IF(Abr!$C84="SI",Abr!$F84,"")</f>
        <v/>
      </c>
      <c r="E494" s="47" t="s">
        <v>110</v>
      </c>
    </row>
    <row r="495" spans="2:5" x14ac:dyDescent="0.2">
      <c r="B495" s="28" t="str">
        <f>IF(Abr!$C85="SI",Abr!$B$81,"")</f>
        <v/>
      </c>
      <c r="C495" s="28" t="str">
        <f>IF(Abr!$C85="SI",Abr!$B85,"")</f>
        <v/>
      </c>
      <c r="D495" s="28" t="str">
        <f>IF(Abr!$C85="SI",Abr!$F85,"")</f>
        <v/>
      </c>
      <c r="E495" s="47" t="s">
        <v>110</v>
      </c>
    </row>
    <row r="496" spans="2:5" x14ac:dyDescent="0.2">
      <c r="B496" s="28" t="str">
        <f>IF(Abr!$C86="SI",Abr!$B$81,"")</f>
        <v/>
      </c>
      <c r="C496" s="28" t="str">
        <f>IF(Abr!$C86="SI",Abr!$B86,"")</f>
        <v/>
      </c>
      <c r="D496" s="28" t="str">
        <f>IF(Abr!$C86="SI",Abr!$F86,"")</f>
        <v/>
      </c>
      <c r="E496" s="47" t="s">
        <v>110</v>
      </c>
    </row>
    <row r="497" spans="2:5" x14ac:dyDescent="0.2">
      <c r="B497" s="28" t="str">
        <f>IF(Abr!$C87="SI",Abr!$B$81,"")</f>
        <v/>
      </c>
      <c r="C497" s="28" t="str">
        <f>IF(Abr!$C87="SI",Abr!$B87,"")</f>
        <v/>
      </c>
      <c r="D497" s="28" t="str">
        <f>IF(Abr!$C87="SI",Abr!$F87,"")</f>
        <v/>
      </c>
      <c r="E497" s="47" t="s">
        <v>110</v>
      </c>
    </row>
    <row r="498" spans="2:5" x14ac:dyDescent="0.2">
      <c r="B498" s="28" t="str">
        <f>IF(Abr!$C91="SI",Abr!$B$90,"")</f>
        <v/>
      </c>
      <c r="C498" s="28" t="str">
        <f>IF(Abr!$C91="SI",Abr!$B91,"")</f>
        <v/>
      </c>
      <c r="D498" s="28" t="str">
        <f>IF(Abr!$C91="SI",Abr!$F91,"")</f>
        <v/>
      </c>
      <c r="E498" s="47" t="s">
        <v>110</v>
      </c>
    </row>
    <row r="499" spans="2:5" x14ac:dyDescent="0.2">
      <c r="B499" s="28" t="str">
        <f>IF(Abr!$C92="SI",Abr!$B$90,"")</f>
        <v/>
      </c>
      <c r="C499" s="28" t="str">
        <f>IF(Abr!$C92="SI",Abr!$B92,"")</f>
        <v/>
      </c>
      <c r="D499" s="28" t="str">
        <f>IF(Abr!$C92="SI",Abr!$F92,"")</f>
        <v/>
      </c>
      <c r="E499" s="47" t="s">
        <v>110</v>
      </c>
    </row>
    <row r="500" spans="2:5" x14ac:dyDescent="0.2">
      <c r="B500" s="28" t="str">
        <f>IF(Abr!$C93="SI",Abr!$B$90,"")</f>
        <v/>
      </c>
      <c r="C500" s="28" t="str">
        <f>IF(Abr!$C93="SI",Abr!$B93,"")</f>
        <v/>
      </c>
      <c r="D500" s="28" t="str">
        <f>IF(Abr!$C93="SI",Abr!$F93,"")</f>
        <v/>
      </c>
      <c r="E500" s="47" t="s">
        <v>110</v>
      </c>
    </row>
    <row r="501" spans="2:5" x14ac:dyDescent="0.2">
      <c r="B501" s="28" t="str">
        <f>IF(Abr!$C94="SI",Abr!$B$90,"")</f>
        <v/>
      </c>
      <c r="C501" s="28" t="str">
        <f>IF(Abr!$C94="SI",Abr!$B94,"")</f>
        <v/>
      </c>
      <c r="D501" s="28" t="str">
        <f>IF(Abr!$C94="SI",Abr!$F94,"")</f>
        <v/>
      </c>
      <c r="E501" s="47" t="s">
        <v>110</v>
      </c>
    </row>
    <row r="502" spans="2:5" x14ac:dyDescent="0.2">
      <c r="B502" s="28" t="str">
        <f>IF(Abr!$C95="SI",Abr!$B$90,"")</f>
        <v/>
      </c>
      <c r="C502" s="28" t="str">
        <f>IF(Abr!$C95="SI",Abr!$B95,"")</f>
        <v/>
      </c>
      <c r="D502" s="28" t="str">
        <f>IF(Abr!$C95="SI",Abr!$F95,"")</f>
        <v/>
      </c>
      <c r="E502" s="47" t="s">
        <v>110</v>
      </c>
    </row>
    <row r="503" spans="2:5" x14ac:dyDescent="0.2">
      <c r="B503" s="28" t="str">
        <f>IF(Abr!$C96="SI",Abr!$B$90,"")</f>
        <v/>
      </c>
      <c r="C503" s="28" t="str">
        <f>IF(Abr!$C96="SI",Abr!$B96,"")</f>
        <v/>
      </c>
      <c r="D503" s="28" t="str">
        <f>IF(Abr!$C96="SI",Abr!$F96,"")</f>
        <v/>
      </c>
      <c r="E503" s="47" t="s">
        <v>110</v>
      </c>
    </row>
    <row r="504" spans="2:5" x14ac:dyDescent="0.2">
      <c r="B504" s="28" t="str">
        <f>IF(Abr!$C97="SI",Abr!$B$90,"")</f>
        <v/>
      </c>
      <c r="C504" s="28" t="str">
        <f>IF(Abr!$C97="SI",Abr!$B97,"")</f>
        <v/>
      </c>
      <c r="D504" s="28" t="str">
        <f>IF(Abr!$C97="SI",Abr!$F97,"")</f>
        <v/>
      </c>
      <c r="E504" s="47" t="s">
        <v>110</v>
      </c>
    </row>
    <row r="505" spans="2:5" x14ac:dyDescent="0.2">
      <c r="B505" s="28" t="str">
        <f>IF(Abr!$C101="SI",Abr!$B$100,"")</f>
        <v/>
      </c>
      <c r="C505" s="28" t="str">
        <f>IF(Abr!$C101="SI",Abr!$B101,"")</f>
        <v/>
      </c>
      <c r="D505" s="28" t="str">
        <f>IF(Abr!$C101="SI",Abr!$F101,"")</f>
        <v/>
      </c>
      <c r="E505" s="47" t="s">
        <v>110</v>
      </c>
    </row>
    <row r="506" spans="2:5" x14ac:dyDescent="0.2">
      <c r="B506" s="28" t="str">
        <f>IF(Abr!$C102="SI",Abr!$B$100,"")</f>
        <v/>
      </c>
      <c r="C506" s="28" t="str">
        <f>IF(Abr!$C102="SI",Abr!$B102,"")</f>
        <v/>
      </c>
      <c r="D506" s="28" t="str">
        <f>IF(Abr!$C102="SI",Abr!$F102,"")</f>
        <v/>
      </c>
      <c r="E506" s="47" t="s">
        <v>110</v>
      </c>
    </row>
    <row r="507" spans="2:5" x14ac:dyDescent="0.2">
      <c r="B507" s="28" t="str">
        <f>IF(Abr!$C103="SI",Abr!$B$100,"")</f>
        <v/>
      </c>
      <c r="C507" s="28" t="str">
        <f>IF(Abr!$C103="SI",Abr!$B103,"")</f>
        <v/>
      </c>
      <c r="D507" s="28" t="str">
        <f>IF(Abr!$C103="SI",Abr!$F103,"")</f>
        <v/>
      </c>
      <c r="E507" s="47" t="s">
        <v>110</v>
      </c>
    </row>
    <row r="508" spans="2:5" x14ac:dyDescent="0.2">
      <c r="B508" s="28" t="str">
        <f>IF(Abr!$C104="SI",Abr!$B$100,"")</f>
        <v/>
      </c>
      <c r="C508" s="28" t="str">
        <f>IF(Abr!$C104="SI",Abr!$B104,"")</f>
        <v/>
      </c>
      <c r="D508" s="28" t="str">
        <f>IF(Abr!$C104="SI",Abr!$F104,"")</f>
        <v/>
      </c>
      <c r="E508" s="47" t="s">
        <v>110</v>
      </c>
    </row>
    <row r="509" spans="2:5" x14ac:dyDescent="0.2">
      <c r="B509" s="28" t="str">
        <f>IF(Abr!$C105="SI",Abr!$B$100,"")</f>
        <v/>
      </c>
      <c r="C509" s="28" t="str">
        <f>IF(Abr!$C105="SI",Abr!$B105,"")</f>
        <v/>
      </c>
      <c r="D509" s="28" t="str">
        <f>IF(Abr!$C105="SI",Abr!$F105,"")</f>
        <v/>
      </c>
      <c r="E509" s="47" t="s">
        <v>110</v>
      </c>
    </row>
    <row r="510" spans="2:5" x14ac:dyDescent="0.2">
      <c r="B510" s="28" t="str">
        <f>IF(Abr!$C106="SI",Abr!$B$100,"")</f>
        <v/>
      </c>
      <c r="C510" s="28" t="str">
        <f>IF(Abr!$C106="SI",Abr!$B106,"")</f>
        <v/>
      </c>
      <c r="D510" s="28" t="str">
        <f>IF(Abr!$C106="SI",Abr!$F106,"")</f>
        <v/>
      </c>
      <c r="E510" s="47" t="s">
        <v>110</v>
      </c>
    </row>
    <row r="511" spans="2:5" x14ac:dyDescent="0.2">
      <c r="B511" s="28" t="str">
        <f>IF(Abr!$C107="SI",Abr!$B$100,"")</f>
        <v/>
      </c>
      <c r="C511" s="28" t="str">
        <f>IF(Abr!$C107="SI",Abr!$B107,"")</f>
        <v/>
      </c>
      <c r="D511" s="28" t="str">
        <f>IF(Abr!$C107="SI",Abr!$F107,"")</f>
        <v/>
      </c>
      <c r="E511" s="47" t="s">
        <v>110</v>
      </c>
    </row>
    <row r="512" spans="2:5" x14ac:dyDescent="0.2">
      <c r="B512" s="29"/>
      <c r="C512" s="29"/>
      <c r="D512" s="29"/>
      <c r="E512" s="47" t="s">
        <v>110</v>
      </c>
    </row>
    <row r="513" spans="2:5" x14ac:dyDescent="0.2">
      <c r="B513" s="28" t="str">
        <f>IF(Abr!$I13="SI",Abr!$H$12,"")</f>
        <v/>
      </c>
      <c r="C513" s="28" t="str">
        <f>IF(Abr!$I13="SI",Abr!$H13,"")</f>
        <v/>
      </c>
      <c r="D513" s="28" t="str">
        <f>IF(Abr!$I13="SI",Abr!$L13,"")</f>
        <v/>
      </c>
      <c r="E513" s="47" t="s">
        <v>110</v>
      </c>
    </row>
    <row r="514" spans="2:5" x14ac:dyDescent="0.2">
      <c r="B514" s="28" t="str">
        <f>IF(Abr!$I14="SI",Abr!$H$12,"")</f>
        <v/>
      </c>
      <c r="C514" s="28" t="str">
        <f>IF(Abr!$I14="SI",Abr!$H14,"")</f>
        <v/>
      </c>
      <c r="D514" s="28" t="str">
        <f>IF(Abr!$I14="SI",Abr!$L14,"")</f>
        <v/>
      </c>
      <c r="E514" s="47" t="s">
        <v>110</v>
      </c>
    </row>
    <row r="515" spans="2:5" x14ac:dyDescent="0.2">
      <c r="B515" s="28" t="str">
        <f>IF(Abr!$I15="SI",Abr!$H$12,"")</f>
        <v/>
      </c>
      <c r="C515" s="28" t="str">
        <f>IF(Abr!$I15="SI",Abr!$H15,"")</f>
        <v/>
      </c>
      <c r="D515" s="28" t="str">
        <f>IF(Abr!$I15="SI",Abr!$L15,"")</f>
        <v/>
      </c>
      <c r="E515" s="47" t="s">
        <v>110</v>
      </c>
    </row>
    <row r="516" spans="2:5" x14ac:dyDescent="0.2">
      <c r="B516" s="28" t="str">
        <f>IF(Abr!$I16="SI",Abr!$H$12,"")</f>
        <v/>
      </c>
      <c r="C516" s="28" t="str">
        <f>IF(Abr!$I16="SI",Abr!$H16,"")</f>
        <v/>
      </c>
      <c r="D516" s="28" t="str">
        <f>IF(Abr!$I16="SI",Abr!$L16,"")</f>
        <v/>
      </c>
      <c r="E516" s="47" t="s">
        <v>110</v>
      </c>
    </row>
    <row r="517" spans="2:5" x14ac:dyDescent="0.2">
      <c r="B517" s="28" t="str">
        <f>IF(Abr!$I17="SI",Abr!$H$12,"")</f>
        <v/>
      </c>
      <c r="C517" s="28" t="str">
        <f>IF(Abr!$I17="SI",Abr!$H17,"")</f>
        <v/>
      </c>
      <c r="D517" s="28" t="str">
        <f>IF(Abr!$I17="SI",Abr!$L17,"")</f>
        <v/>
      </c>
      <c r="E517" s="47" t="s">
        <v>110</v>
      </c>
    </row>
    <row r="518" spans="2:5" x14ac:dyDescent="0.2">
      <c r="B518" s="28" t="str">
        <f>IF(Abr!$I18="SI",Abr!$H$12,"")</f>
        <v/>
      </c>
      <c r="C518" s="28" t="str">
        <f>IF(Abr!$I18="SI",Abr!$H18,"")</f>
        <v/>
      </c>
      <c r="D518" s="28" t="str">
        <f>IF(Abr!$I18="SI",Abr!$L18,"")</f>
        <v/>
      </c>
      <c r="E518" s="47" t="s">
        <v>110</v>
      </c>
    </row>
    <row r="519" spans="2:5" x14ac:dyDescent="0.2">
      <c r="B519" s="28" t="str">
        <f>IF(Abr!$I19="SI",Abr!$H$12,"")</f>
        <v/>
      </c>
      <c r="C519" s="28" t="str">
        <f>IF(Abr!$I19="SI",Abr!$H19,"")</f>
        <v/>
      </c>
      <c r="D519" s="28" t="str">
        <f>IF(Abr!$I19="SI",Abr!$L19,"")</f>
        <v/>
      </c>
      <c r="E519" s="47" t="s">
        <v>110</v>
      </c>
    </row>
    <row r="520" spans="2:5" x14ac:dyDescent="0.2">
      <c r="B520" s="28" t="str">
        <f>IF(Abr!$I20="SI",Abr!$H$12,"")</f>
        <v/>
      </c>
      <c r="C520" s="28" t="str">
        <f>IF(Abr!$I20="SI",Abr!$H20,"")</f>
        <v/>
      </c>
      <c r="D520" s="28" t="str">
        <f>IF(Abr!$I20="SI",Abr!$L20,"")</f>
        <v/>
      </c>
      <c r="E520" s="47" t="s">
        <v>110</v>
      </c>
    </row>
    <row r="521" spans="2:5" x14ac:dyDescent="0.2">
      <c r="B521" s="28" t="str">
        <f>IF(Abr!$I21="SI",Abr!$H$12,"")</f>
        <v/>
      </c>
      <c r="C521" s="28" t="str">
        <f>IF(Abr!$I21="SI",Abr!$H21,"")</f>
        <v/>
      </c>
      <c r="D521" s="28" t="str">
        <f>IF(Abr!$I21="SI",Abr!$L21,"")</f>
        <v/>
      </c>
      <c r="E521" s="47" t="s">
        <v>110</v>
      </c>
    </row>
    <row r="522" spans="2:5" x14ac:dyDescent="0.2">
      <c r="B522" s="28" t="str">
        <f>IF(Abr!$I22="SI",Abr!$H$12,"")</f>
        <v/>
      </c>
      <c r="C522" s="28" t="str">
        <f>IF(Abr!$I22="SI",Abr!$H22,"")</f>
        <v/>
      </c>
      <c r="D522" s="28" t="str">
        <f>IF(Abr!$I22="SI",Abr!$L22,"")</f>
        <v/>
      </c>
      <c r="E522" s="47" t="s">
        <v>110</v>
      </c>
    </row>
    <row r="523" spans="2:5" x14ac:dyDescent="0.2">
      <c r="B523" s="28" t="str">
        <f>IF(Abr!$I23="SI",Abr!$H$12,"")</f>
        <v/>
      </c>
      <c r="C523" s="28" t="str">
        <f>IF(Abr!$I23="SI",Abr!$H23,"")</f>
        <v/>
      </c>
      <c r="D523" s="28" t="str">
        <f>IF(Abr!$I23="SI",Abr!$L23,"")</f>
        <v/>
      </c>
      <c r="E523" s="47" t="s">
        <v>110</v>
      </c>
    </row>
    <row r="524" spans="2:5" x14ac:dyDescent="0.2">
      <c r="B524" s="28" t="str">
        <f>IF(Abr!$I24="SI",Abr!$H$12,"")</f>
        <v/>
      </c>
      <c r="C524" s="28" t="str">
        <f>IF(Abr!$I24="SI",Abr!$H24,"")</f>
        <v/>
      </c>
      <c r="D524" s="28" t="str">
        <f>IF(Abr!$I24="SI",Abr!$L24,"")</f>
        <v/>
      </c>
      <c r="E524" s="47" t="s">
        <v>110</v>
      </c>
    </row>
    <row r="525" spans="2:5" x14ac:dyDescent="0.2">
      <c r="B525" s="28" t="str">
        <f>IF(Abr!$I28="SI",Abr!$H$27,"")</f>
        <v/>
      </c>
      <c r="C525" s="28" t="str">
        <f>IF(Abr!$I28="SI",Abr!$H28,"")</f>
        <v/>
      </c>
      <c r="D525" s="28" t="str">
        <f>IF(Abr!$I28="SI",Abr!$L28,"")</f>
        <v/>
      </c>
      <c r="E525" s="47" t="s">
        <v>110</v>
      </c>
    </row>
    <row r="526" spans="2:5" x14ac:dyDescent="0.2">
      <c r="B526" s="28" t="str">
        <f>IF(Abr!$I29="SI",Abr!$H$27,"")</f>
        <v/>
      </c>
      <c r="C526" s="28" t="str">
        <f>IF(Abr!$I29="SI",Abr!$H29,"")</f>
        <v/>
      </c>
      <c r="D526" s="28" t="str">
        <f>IF(Abr!$I29="SI",Abr!$L29,"")</f>
        <v/>
      </c>
      <c r="E526" s="47" t="s">
        <v>110</v>
      </c>
    </row>
    <row r="527" spans="2:5" x14ac:dyDescent="0.2">
      <c r="B527" s="28" t="str">
        <f>IF(Abr!$I30="SI",Abr!$H$27,"")</f>
        <v/>
      </c>
      <c r="C527" s="28" t="str">
        <f>IF(Abr!$I30="SI",Abr!$H30,"")</f>
        <v/>
      </c>
      <c r="D527" s="28" t="str">
        <f>IF(Abr!$I30="SI",Abr!$L30,"")</f>
        <v/>
      </c>
      <c r="E527" s="47" t="s">
        <v>110</v>
      </c>
    </row>
    <row r="528" spans="2:5" x14ac:dyDescent="0.2">
      <c r="B528" s="28" t="str">
        <f>IF(Abr!$I31="SI",Abr!$H$27,"")</f>
        <v/>
      </c>
      <c r="C528" s="28" t="str">
        <f>IF(Abr!$I31="SI",Abr!$H31,"")</f>
        <v/>
      </c>
      <c r="D528" s="28" t="str">
        <f>IF(Abr!$I31="SI",Abr!$L31,"")</f>
        <v/>
      </c>
      <c r="E528" s="47" t="s">
        <v>110</v>
      </c>
    </row>
    <row r="529" spans="2:5" x14ac:dyDescent="0.2">
      <c r="B529" s="28" t="str">
        <f>IF(Abr!$I32="SI",Abr!$H$27,"")</f>
        <v/>
      </c>
      <c r="C529" s="28" t="str">
        <f>IF(Abr!$I32="SI",Abr!$H32,"")</f>
        <v/>
      </c>
      <c r="D529" s="28" t="str">
        <f>IF(Abr!$I32="SI",Abr!$L32,"")</f>
        <v/>
      </c>
      <c r="E529" s="47" t="s">
        <v>110</v>
      </c>
    </row>
    <row r="530" spans="2:5" x14ac:dyDescent="0.2">
      <c r="B530" s="28" t="str">
        <f>IF(Abr!$I33="SI",Abr!$H$27,"")</f>
        <v/>
      </c>
      <c r="C530" s="28" t="str">
        <f>IF(Abr!$I33="SI",Abr!$H33,"")</f>
        <v/>
      </c>
      <c r="D530" s="28" t="str">
        <f>IF(Abr!$I33="SI",Abr!$L33,"")</f>
        <v/>
      </c>
      <c r="E530" s="47" t="s">
        <v>110</v>
      </c>
    </row>
    <row r="531" spans="2:5" x14ac:dyDescent="0.2">
      <c r="B531" s="28" t="str">
        <f>IF(Abr!$I34="SI",Abr!$H$27,"")</f>
        <v/>
      </c>
      <c r="C531" s="28" t="str">
        <f>IF(Abr!$I34="SI",Abr!$H34,"")</f>
        <v/>
      </c>
      <c r="D531" s="28" t="str">
        <f>IF(Abr!$I34="SI",Abr!$L34,"")</f>
        <v/>
      </c>
      <c r="E531" s="47" t="s">
        <v>110</v>
      </c>
    </row>
    <row r="532" spans="2:5" x14ac:dyDescent="0.2">
      <c r="B532" s="28" t="str">
        <f>IF(Abr!$I35="SI",Abr!$H$27,"")</f>
        <v/>
      </c>
      <c r="C532" s="28" t="str">
        <f>IF(Abr!$I35="SI",Abr!$H35,"")</f>
        <v/>
      </c>
      <c r="D532" s="28" t="str">
        <f>IF(Abr!$I35="SI",Abr!$L35,"")</f>
        <v/>
      </c>
      <c r="E532" s="47" t="s">
        <v>110</v>
      </c>
    </row>
    <row r="533" spans="2:5" x14ac:dyDescent="0.2">
      <c r="B533" s="28" t="str">
        <f>IF(Abr!$I39="SI",Abr!$H$38,"")</f>
        <v/>
      </c>
      <c r="C533" s="28" t="str">
        <f>IF(Abr!$I39="SI",Abr!$H39,"")</f>
        <v/>
      </c>
      <c r="D533" s="28" t="str">
        <f>IF(Abr!$I39="SI",Abr!$L39,"")</f>
        <v/>
      </c>
      <c r="E533" s="47" t="s">
        <v>110</v>
      </c>
    </row>
    <row r="534" spans="2:5" x14ac:dyDescent="0.2">
      <c r="B534" s="28" t="str">
        <f>IF(Abr!$I40="SI",Abr!$H$38,"")</f>
        <v/>
      </c>
      <c r="C534" s="28" t="str">
        <f>IF(Abr!$I40="SI",Abr!$H40,"")</f>
        <v/>
      </c>
      <c r="D534" s="28" t="str">
        <f>IF(Abr!$I40="SI",Abr!$L40,"")</f>
        <v/>
      </c>
      <c r="E534" s="47" t="s">
        <v>110</v>
      </c>
    </row>
    <row r="535" spans="2:5" x14ac:dyDescent="0.2">
      <c r="B535" s="28" t="str">
        <f>IF(Abr!$I41="SI",Abr!$H$38,"")</f>
        <v/>
      </c>
      <c r="C535" s="28" t="str">
        <f>IF(Abr!$I41="SI",Abr!$H41,"")</f>
        <v/>
      </c>
      <c r="D535" s="28" t="str">
        <f>IF(Abr!$I41="SI",Abr!$L41,"")</f>
        <v/>
      </c>
      <c r="E535" s="47" t="s">
        <v>110</v>
      </c>
    </row>
    <row r="536" spans="2:5" x14ac:dyDescent="0.2">
      <c r="B536" s="28" t="str">
        <f>IF(Abr!$I42="SI",Abr!$H$38,"")</f>
        <v/>
      </c>
      <c r="C536" s="28" t="str">
        <f>IF(Abr!$I42="SI",Abr!$H42,"")</f>
        <v/>
      </c>
      <c r="D536" s="28" t="str">
        <f>IF(Abr!$I42="SI",Abr!$L42,"")</f>
        <v/>
      </c>
      <c r="E536" s="47" t="s">
        <v>110</v>
      </c>
    </row>
    <row r="537" spans="2:5" x14ac:dyDescent="0.2">
      <c r="B537" s="28" t="str">
        <f>IF(Abr!$I43="SI",Abr!$H$38,"")</f>
        <v/>
      </c>
      <c r="C537" s="28" t="str">
        <f>IF(Abr!$I43="SI",Abr!$H43,"")</f>
        <v/>
      </c>
      <c r="D537" s="28" t="str">
        <f>IF(Abr!$I43="SI",Abr!$L43,"")</f>
        <v/>
      </c>
      <c r="E537" s="47" t="s">
        <v>110</v>
      </c>
    </row>
    <row r="538" spans="2:5" x14ac:dyDescent="0.2">
      <c r="B538" s="28" t="str">
        <f>IF(Abr!$I44="SI",Abr!$H$38,"")</f>
        <v/>
      </c>
      <c r="C538" s="28" t="str">
        <f>IF(Abr!$I44="SI",Abr!$H44,"")</f>
        <v/>
      </c>
      <c r="D538" s="28" t="str">
        <f>IF(Abr!$I44="SI",Abr!$L44,"")</f>
        <v/>
      </c>
      <c r="E538" s="47" t="s">
        <v>110</v>
      </c>
    </row>
    <row r="539" spans="2:5" x14ac:dyDescent="0.2">
      <c r="B539" s="28" t="str">
        <f>IF(Abr!$I45="SI",Abr!$H$38,"")</f>
        <v/>
      </c>
      <c r="C539" s="28" t="str">
        <f>IF(Abr!$I45="SI",Abr!$H45,"")</f>
        <v/>
      </c>
      <c r="D539" s="28" t="str">
        <f>IF(Abr!$I45="SI",Abr!$L45,"")</f>
        <v/>
      </c>
      <c r="E539" s="47" t="s">
        <v>110</v>
      </c>
    </row>
    <row r="540" spans="2:5" x14ac:dyDescent="0.2">
      <c r="B540" s="28" t="str">
        <f>IF(Abr!$I49="SI",Abr!$H$48,"")</f>
        <v/>
      </c>
      <c r="C540" s="28" t="str">
        <f>IF(Abr!$I49="SI",Abr!$H49,"")</f>
        <v/>
      </c>
      <c r="D540" s="28" t="str">
        <f>IF(Abr!$I49="SI",Abr!$L49,"")</f>
        <v/>
      </c>
      <c r="E540" s="47" t="s">
        <v>110</v>
      </c>
    </row>
    <row r="541" spans="2:5" x14ac:dyDescent="0.2">
      <c r="B541" s="28" t="str">
        <f>IF(Abr!$I50="SI",Abr!$H$48,"")</f>
        <v/>
      </c>
      <c r="C541" s="28" t="str">
        <f>IF(Abr!$I50="SI",Abr!$H50,"")</f>
        <v/>
      </c>
      <c r="D541" s="28" t="str">
        <f>IF(Abr!$I50="SI",Abr!$L50,"")</f>
        <v/>
      </c>
      <c r="E541" s="47" t="s">
        <v>110</v>
      </c>
    </row>
    <row r="542" spans="2:5" x14ac:dyDescent="0.2">
      <c r="B542" s="28" t="str">
        <f>IF(Abr!$I51="SI",Abr!$H$48,"")</f>
        <v/>
      </c>
      <c r="C542" s="28" t="str">
        <f>IF(Abr!$I51="SI",Abr!$H51,"")</f>
        <v/>
      </c>
      <c r="D542" s="28" t="str">
        <f>IF(Abr!$I51="SI",Abr!$L51,"")</f>
        <v/>
      </c>
      <c r="E542" s="47" t="s">
        <v>110</v>
      </c>
    </row>
    <row r="543" spans="2:5" x14ac:dyDescent="0.2">
      <c r="B543" s="28" t="str">
        <f>IF(Abr!$I52="SI",Abr!$H$48,"")</f>
        <v/>
      </c>
      <c r="C543" s="28" t="str">
        <f>IF(Abr!$I52="SI",Abr!$H52,"")</f>
        <v/>
      </c>
      <c r="D543" s="28" t="str">
        <f>IF(Abr!$I52="SI",Abr!$L52,"")</f>
        <v/>
      </c>
      <c r="E543" s="47" t="s">
        <v>110</v>
      </c>
    </row>
    <row r="544" spans="2:5" x14ac:dyDescent="0.2">
      <c r="B544" s="28" t="str">
        <f>IF(Abr!$I53="SI",Abr!$H$48,"")</f>
        <v/>
      </c>
      <c r="C544" s="28" t="str">
        <f>IF(Abr!$I53="SI",Abr!$H53,"")</f>
        <v/>
      </c>
      <c r="D544" s="28" t="str">
        <f>IF(Abr!$I53="SI",Abr!$L53,"")</f>
        <v/>
      </c>
      <c r="E544" s="47" t="s">
        <v>110</v>
      </c>
    </row>
    <row r="545" spans="2:5" x14ac:dyDescent="0.2">
      <c r="B545" s="28" t="str">
        <f>IF(Abr!$I54="SI",Abr!$H$48,"")</f>
        <v/>
      </c>
      <c r="C545" s="28" t="str">
        <f>IF(Abr!$I54="SI",Abr!$H54,"")</f>
        <v/>
      </c>
      <c r="D545" s="28" t="str">
        <f>IF(Abr!$I54="SI",Abr!$L54,"")</f>
        <v/>
      </c>
      <c r="E545" s="47" t="s">
        <v>110</v>
      </c>
    </row>
    <row r="546" spans="2:5" x14ac:dyDescent="0.2">
      <c r="B546" s="28" t="str">
        <f>IF(Abr!$I58="SI",Abr!$H$57,"")</f>
        <v/>
      </c>
      <c r="C546" s="28" t="str">
        <f>IF(Abr!$I58="SI",Abr!$H58,"")</f>
        <v/>
      </c>
      <c r="D546" s="28" t="str">
        <f>IF(Abr!$I58="SI",Abr!$L58,"")</f>
        <v/>
      </c>
      <c r="E546" s="47" t="s">
        <v>110</v>
      </c>
    </row>
    <row r="547" spans="2:5" x14ac:dyDescent="0.2">
      <c r="B547" s="28" t="str">
        <f>IF(Abr!$I59="SI",Abr!$H$57,"")</f>
        <v/>
      </c>
      <c r="C547" s="28" t="str">
        <f>IF(Abr!$I59="SI",Abr!$H59,"")</f>
        <v/>
      </c>
      <c r="D547" s="28" t="str">
        <f>IF(Abr!$I59="SI",Abr!$L59,"")</f>
        <v/>
      </c>
      <c r="E547" s="47" t="s">
        <v>110</v>
      </c>
    </row>
    <row r="548" spans="2:5" x14ac:dyDescent="0.2">
      <c r="B548" s="28" t="str">
        <f>IF(Abr!$I60="SI",Abr!$H$57,"")</f>
        <v/>
      </c>
      <c r="C548" s="28" t="str">
        <f>IF(Abr!$I60="SI",Abr!$H60,"")</f>
        <v/>
      </c>
      <c r="D548" s="28" t="str">
        <f>IF(Abr!$I60="SI",Abr!$L60,"")</f>
        <v/>
      </c>
      <c r="E548" s="47" t="s">
        <v>110</v>
      </c>
    </row>
    <row r="549" spans="2:5" x14ac:dyDescent="0.2">
      <c r="B549" s="28" t="str">
        <f>IF(Abr!$I61="SI",Abr!$H$57,"")</f>
        <v/>
      </c>
      <c r="C549" s="28" t="str">
        <f>IF(Abr!$I61="SI",Abr!$H61,"")</f>
        <v/>
      </c>
      <c r="D549" s="28" t="str">
        <f>IF(Abr!$I61="SI",Abr!$L61,"")</f>
        <v/>
      </c>
      <c r="E549" s="47" t="s">
        <v>110</v>
      </c>
    </row>
    <row r="550" spans="2:5" x14ac:dyDescent="0.2">
      <c r="B550" s="28" t="str">
        <f>IF(Abr!$I62="SI",Abr!$H$57,"")</f>
        <v/>
      </c>
      <c r="C550" s="28" t="str">
        <f>IF(Abr!$I62="SI",Abr!$H62,"")</f>
        <v/>
      </c>
      <c r="D550" s="28" t="str">
        <f>IF(Abr!$I62="SI",Abr!$L62,"")</f>
        <v/>
      </c>
      <c r="E550" s="47" t="s">
        <v>110</v>
      </c>
    </row>
    <row r="551" spans="2:5" x14ac:dyDescent="0.2">
      <c r="B551" s="28" t="str">
        <f>IF(Abr!$I63="SI",Abr!$H$57,"")</f>
        <v/>
      </c>
      <c r="C551" s="28" t="str">
        <f>IF(Abr!$I63="SI",Abr!$H63,"")</f>
        <v/>
      </c>
      <c r="D551" s="28" t="str">
        <f>IF(Abr!$I63="SI",Abr!$L63,"")</f>
        <v/>
      </c>
      <c r="E551" s="47" t="s">
        <v>110</v>
      </c>
    </row>
    <row r="552" spans="2:5" x14ac:dyDescent="0.2">
      <c r="B552" s="28" t="str">
        <f>IF(Abr!$I64="SI",Abr!$H$57,"")</f>
        <v/>
      </c>
      <c r="C552" s="28" t="str">
        <f>IF(Abr!$I64="SI",Abr!$H64,"")</f>
        <v/>
      </c>
      <c r="D552" s="28" t="str">
        <f>IF(Abr!$I64="SI",Abr!$L64,"")</f>
        <v/>
      </c>
      <c r="E552" s="47" t="s">
        <v>110</v>
      </c>
    </row>
    <row r="553" spans="2:5" x14ac:dyDescent="0.2">
      <c r="B553" s="28" t="str">
        <f>IF(Abr!$I68="SI",Abr!$H$67,"")</f>
        <v/>
      </c>
      <c r="C553" s="28" t="str">
        <f>IF(Abr!$I68="SI",Abr!$H68,"")</f>
        <v/>
      </c>
      <c r="D553" s="28" t="str">
        <f>IF(Abr!$I68="SI",Abr!$L68,"")</f>
        <v/>
      </c>
      <c r="E553" s="47" t="s">
        <v>110</v>
      </c>
    </row>
    <row r="554" spans="2:5" x14ac:dyDescent="0.2">
      <c r="B554" s="28" t="str">
        <f>IF(Abr!$I69="SI",Abr!$H$67,"")</f>
        <v/>
      </c>
      <c r="C554" s="28" t="str">
        <f>IF(Abr!$I69="SI",Abr!$H69,"")</f>
        <v/>
      </c>
      <c r="D554" s="28" t="str">
        <f>IF(Abr!$I69="SI",Abr!$L69,"")</f>
        <v/>
      </c>
      <c r="E554" s="47" t="s">
        <v>110</v>
      </c>
    </row>
    <row r="555" spans="2:5" x14ac:dyDescent="0.2">
      <c r="B555" s="28" t="str">
        <f>IF(Abr!$I70="SI",Abr!$H$67,"")</f>
        <v/>
      </c>
      <c r="C555" s="28" t="str">
        <f>IF(Abr!$I70="SI",Abr!$H70,"")</f>
        <v/>
      </c>
      <c r="D555" s="28" t="str">
        <f>IF(Abr!$I70="SI",Abr!$L70,"")</f>
        <v/>
      </c>
      <c r="E555" s="47" t="s">
        <v>110</v>
      </c>
    </row>
    <row r="556" spans="2:5" x14ac:dyDescent="0.2">
      <c r="B556" s="28" t="str">
        <f>IF(Abr!$I71="SI",Abr!$H$67,"")</f>
        <v/>
      </c>
      <c r="C556" s="28" t="str">
        <f>IF(Abr!$I71="SI",Abr!$H71,"")</f>
        <v/>
      </c>
      <c r="D556" s="28" t="str">
        <f>IF(Abr!$I71="SI",Abr!$L71,"")</f>
        <v/>
      </c>
      <c r="E556" s="47" t="s">
        <v>110</v>
      </c>
    </row>
    <row r="557" spans="2:5" x14ac:dyDescent="0.2">
      <c r="B557" s="28" t="str">
        <f>IF(Abr!$I72="SI",Abr!$H$67,"")</f>
        <v/>
      </c>
      <c r="C557" s="28" t="str">
        <f>IF(Abr!$I72="SI",Abr!$H72,"")</f>
        <v/>
      </c>
      <c r="D557" s="28" t="str">
        <f>IF(Abr!$I72="SI",Abr!$L72,"")</f>
        <v/>
      </c>
      <c r="E557" s="47" t="s">
        <v>110</v>
      </c>
    </row>
    <row r="558" spans="2:5" x14ac:dyDescent="0.2">
      <c r="B558" s="28" t="str">
        <f>IF(Abr!$I73="SI",Abr!$H$67,"")</f>
        <v/>
      </c>
      <c r="C558" s="28" t="str">
        <f>IF(Abr!$I73="SI",Abr!$H73,"")</f>
        <v/>
      </c>
      <c r="D558" s="28" t="str">
        <f>IF(Abr!$I73="SI",Abr!$L73,"")</f>
        <v/>
      </c>
      <c r="E558" s="47" t="s">
        <v>110</v>
      </c>
    </row>
    <row r="559" spans="2:5" x14ac:dyDescent="0.2">
      <c r="B559" s="28" t="str">
        <f>IF(Abr!$I74="SI",Abr!$H$67,"")</f>
        <v/>
      </c>
      <c r="C559" s="28" t="str">
        <f>IF(Abr!$I74="SI",Abr!$H74,"")</f>
        <v/>
      </c>
      <c r="D559" s="28" t="str">
        <f>IF(Abr!$I74="SI",Abr!$L74,"")</f>
        <v/>
      </c>
      <c r="E559" s="47" t="s">
        <v>110</v>
      </c>
    </row>
    <row r="560" spans="2:5" x14ac:dyDescent="0.2">
      <c r="B560" s="28" t="str">
        <f>IF(Abr!$I75="SI",Abr!$H$67,"")</f>
        <v/>
      </c>
      <c r="C560" s="28" t="str">
        <f>IF(Abr!$I75="SI",Abr!$H75,"")</f>
        <v/>
      </c>
      <c r="D560" s="28" t="str">
        <f>IF(Abr!$I75="SI",Abr!$L75,"")</f>
        <v/>
      </c>
      <c r="E560" s="47" t="s">
        <v>110</v>
      </c>
    </row>
    <row r="561" spans="2:5" x14ac:dyDescent="0.2">
      <c r="B561" s="28" t="str">
        <f>IF(Abr!$I76="SI",Abr!$H$67,"")</f>
        <v/>
      </c>
      <c r="C561" s="28" t="str">
        <f>IF(Abr!$I76="SI",Abr!$H76,"")</f>
        <v/>
      </c>
      <c r="D561" s="28" t="str">
        <f>IF(Abr!$I76="SI",Abr!$L76,"")</f>
        <v/>
      </c>
      <c r="E561" s="47" t="s">
        <v>110</v>
      </c>
    </row>
    <row r="562" spans="2:5" x14ac:dyDescent="0.2">
      <c r="B562" s="28" t="str">
        <f>IF(Abr!$I77="SI",Abr!$H$67,"")</f>
        <v/>
      </c>
      <c r="C562" s="28" t="str">
        <f>IF(Abr!$I77="SI",Abr!$H77,"")</f>
        <v/>
      </c>
      <c r="D562" s="28" t="str">
        <f>IF(Abr!$I77="SI",Abr!$L77,"")</f>
        <v/>
      </c>
      <c r="E562" s="47" t="s">
        <v>110</v>
      </c>
    </row>
    <row r="563" spans="2:5" x14ac:dyDescent="0.2">
      <c r="B563" s="28" t="str">
        <f>IF(Abr!$I78="SI",Abr!$H$67,"")</f>
        <v/>
      </c>
      <c r="C563" s="28" t="str">
        <f>IF(Abr!$I78="SI",Abr!$H78,"")</f>
        <v/>
      </c>
      <c r="D563" s="28" t="str">
        <f>IF(Abr!$I78="SI",Abr!$L78,"")</f>
        <v/>
      </c>
      <c r="E563" s="47" t="s">
        <v>110</v>
      </c>
    </row>
    <row r="564" spans="2:5" x14ac:dyDescent="0.2">
      <c r="B564" s="28" t="str">
        <f>IF(Abr!$I82="SI",Abr!$H$81,"")</f>
        <v/>
      </c>
      <c r="C564" s="28" t="str">
        <f>IF(Abr!$I82="SI",Abr!$H82,"")</f>
        <v/>
      </c>
      <c r="D564" s="28" t="str">
        <f>IF(Abr!$I82="SI",Abr!$L82,"")</f>
        <v/>
      </c>
      <c r="E564" s="47" t="s">
        <v>110</v>
      </c>
    </row>
    <row r="565" spans="2:5" x14ac:dyDescent="0.2">
      <c r="B565" s="28" t="str">
        <f>IF(Abr!$I83="SI",Abr!$H$81,"")</f>
        <v/>
      </c>
      <c r="C565" s="28" t="str">
        <f>IF(Abr!$I83="SI",Abr!$H83,"")</f>
        <v/>
      </c>
      <c r="D565" s="28" t="str">
        <f>IF(Abr!$I83="SI",Abr!$L83,"")</f>
        <v/>
      </c>
      <c r="E565" s="47" t="s">
        <v>110</v>
      </c>
    </row>
    <row r="566" spans="2:5" x14ac:dyDescent="0.2">
      <c r="B566" s="28" t="str">
        <f>IF(Abr!$I84="SI",Abr!$H$81,"")</f>
        <v/>
      </c>
      <c r="C566" s="28" t="str">
        <f>IF(Abr!$I84="SI",Abr!$H84,"")</f>
        <v/>
      </c>
      <c r="D566" s="28" t="str">
        <f>IF(Abr!$I84="SI",Abr!$L84,"")</f>
        <v/>
      </c>
      <c r="E566" s="47" t="s">
        <v>110</v>
      </c>
    </row>
    <row r="567" spans="2:5" x14ac:dyDescent="0.2">
      <c r="B567" s="28" t="str">
        <f>IF(Abr!$I85="SI",Abr!$H$81,"")</f>
        <v/>
      </c>
      <c r="C567" s="28" t="str">
        <f>IF(Abr!$I85="SI",Abr!$H85,"")</f>
        <v/>
      </c>
      <c r="D567" s="28" t="str">
        <f>IF(Abr!$I85="SI",Abr!$L85,"")</f>
        <v/>
      </c>
      <c r="E567" s="47" t="s">
        <v>110</v>
      </c>
    </row>
    <row r="568" spans="2:5" x14ac:dyDescent="0.2">
      <c r="B568" s="28" t="str">
        <f>IF(Abr!$I86="SI",Abr!$H$81,"")</f>
        <v/>
      </c>
      <c r="C568" s="28" t="str">
        <f>IF(Abr!$I86="SI",Abr!$H86,"")</f>
        <v/>
      </c>
      <c r="D568" s="28" t="str">
        <f>IF(Abr!$I86="SI",Abr!$L86,"")</f>
        <v/>
      </c>
      <c r="E568" s="47" t="s">
        <v>110</v>
      </c>
    </row>
    <row r="569" spans="2:5" x14ac:dyDescent="0.2">
      <c r="B569" s="28" t="str">
        <f>IF(Abr!$I87="SI",Abr!$H$81,"")</f>
        <v/>
      </c>
      <c r="C569" s="28" t="str">
        <f>IF(Abr!$I87="SI",Abr!$H87,"")</f>
        <v/>
      </c>
      <c r="D569" s="28" t="str">
        <f>IF(Abr!$I87="SI",Abr!$L87,"")</f>
        <v/>
      </c>
      <c r="E569" s="47" t="s">
        <v>110</v>
      </c>
    </row>
    <row r="570" spans="2:5" x14ac:dyDescent="0.2">
      <c r="B570" s="28" t="str">
        <f>IF(Abr!$I91="SI",Abr!$H$90,"")</f>
        <v/>
      </c>
      <c r="C570" s="28" t="str">
        <f>IF(Abr!$I91="SI",Abr!$H91,"")</f>
        <v/>
      </c>
      <c r="D570" s="28" t="str">
        <f>IF(Abr!$I91="SI",Abr!$L91,"")</f>
        <v/>
      </c>
      <c r="E570" s="47" t="s">
        <v>110</v>
      </c>
    </row>
    <row r="571" spans="2:5" x14ac:dyDescent="0.2">
      <c r="B571" s="28" t="str">
        <f>IF(Abr!$I92="SI",Abr!$H$90,"")</f>
        <v/>
      </c>
      <c r="C571" s="28" t="str">
        <f>IF(Abr!$I92="SI",Abr!$H92,"")</f>
        <v/>
      </c>
      <c r="D571" s="28" t="str">
        <f>IF(Abr!$I92="SI",Abr!$L92,"")</f>
        <v/>
      </c>
      <c r="E571" s="47" t="s">
        <v>110</v>
      </c>
    </row>
    <row r="572" spans="2:5" x14ac:dyDescent="0.2">
      <c r="B572" s="28" t="str">
        <f>IF(Abr!$I93="SI",Abr!$H$90,"")</f>
        <v/>
      </c>
      <c r="C572" s="28" t="str">
        <f>IF(Abr!$I93="SI",Abr!$H93,"")</f>
        <v/>
      </c>
      <c r="D572" s="28" t="str">
        <f>IF(Abr!$I93="SI",Abr!$L93,"")</f>
        <v/>
      </c>
      <c r="E572" s="47" t="s">
        <v>110</v>
      </c>
    </row>
    <row r="573" spans="2:5" x14ac:dyDescent="0.2">
      <c r="B573" s="28" t="str">
        <f>IF(Abr!$I94="SI",Abr!$H$90,"")</f>
        <v/>
      </c>
      <c r="C573" s="28" t="str">
        <f>IF(Abr!$I94="SI",Abr!$H94,"")</f>
        <v/>
      </c>
      <c r="D573" s="28" t="str">
        <f>IF(Abr!$I94="SI",Abr!$L94,"")</f>
        <v/>
      </c>
      <c r="E573" s="47" t="s">
        <v>110</v>
      </c>
    </row>
    <row r="574" spans="2:5" x14ac:dyDescent="0.2">
      <c r="B574" s="28" t="str">
        <f>IF(Abr!$I95="SI",Abr!$H$90,"")</f>
        <v/>
      </c>
      <c r="C574" s="28" t="str">
        <f>IF(Abr!$I95="SI",Abr!$H95,"")</f>
        <v/>
      </c>
      <c r="D574" s="28" t="str">
        <f>IF(Abr!$I95="SI",Abr!$L95,"")</f>
        <v/>
      </c>
      <c r="E574" s="47" t="s">
        <v>110</v>
      </c>
    </row>
    <row r="575" spans="2:5" x14ac:dyDescent="0.2">
      <c r="B575" s="28" t="str">
        <f>IF(Abr!$I96="SI",Abr!$H$90,"")</f>
        <v/>
      </c>
      <c r="C575" s="28" t="str">
        <f>IF(Abr!$I96="SI",Abr!$H96,"")</f>
        <v/>
      </c>
      <c r="D575" s="28" t="str">
        <f>IF(Abr!$I96="SI",Abr!$L96,"")</f>
        <v/>
      </c>
      <c r="E575" s="47" t="s">
        <v>110</v>
      </c>
    </row>
    <row r="576" spans="2:5" x14ac:dyDescent="0.2">
      <c r="B576" s="28" t="str">
        <f>IF(Abr!$I97="SI",Abr!$H$90,"")</f>
        <v/>
      </c>
      <c r="C576" s="28" t="str">
        <f>IF(Abr!$I97="SI",Abr!$H97,"")</f>
        <v/>
      </c>
      <c r="D576" s="28" t="str">
        <f>IF(Abr!$I97="SI",Abr!$L97,"")</f>
        <v/>
      </c>
      <c r="E576" s="47" t="s">
        <v>110</v>
      </c>
    </row>
    <row r="577" spans="2:5" x14ac:dyDescent="0.2">
      <c r="B577" s="28" t="str">
        <f>IF(Abr!$I101="SI",Abr!$H$100,"")</f>
        <v/>
      </c>
      <c r="C577" s="28" t="str">
        <f>IF(Abr!$I101="SI",Abr!$H101,"")</f>
        <v/>
      </c>
      <c r="D577" s="28" t="str">
        <f>IF(Abr!$I101="SI",Abr!$L101,"")</f>
        <v/>
      </c>
      <c r="E577" s="47" t="s">
        <v>110</v>
      </c>
    </row>
    <row r="578" spans="2:5" x14ac:dyDescent="0.2">
      <c r="B578" s="28" t="str">
        <f>IF(Abr!$I102="SI",Abr!$H$100,"")</f>
        <v/>
      </c>
      <c r="C578" s="28" t="str">
        <f>IF(Abr!$I102="SI",Abr!$H102,"")</f>
        <v/>
      </c>
      <c r="D578" s="28" t="str">
        <f>IF(Abr!$I102="SI",Abr!$L102,"")</f>
        <v/>
      </c>
      <c r="E578" s="47" t="s">
        <v>110</v>
      </c>
    </row>
    <row r="579" spans="2:5" x14ac:dyDescent="0.2">
      <c r="B579" s="28" t="str">
        <f>IF(Abr!$I103="SI",Abr!$H$100,"")</f>
        <v/>
      </c>
      <c r="C579" s="28" t="str">
        <f>IF(Abr!$I103="SI",Abr!$H103,"")</f>
        <v/>
      </c>
      <c r="D579" s="28" t="str">
        <f>IF(Abr!$I103="SI",Abr!$L103,"")</f>
        <v/>
      </c>
      <c r="E579" s="47" t="s">
        <v>110</v>
      </c>
    </row>
    <row r="580" spans="2:5" x14ac:dyDescent="0.2">
      <c r="B580" s="28" t="str">
        <f>IF(Abr!$I104="SI",Abr!$H$100,"")</f>
        <v/>
      </c>
      <c r="C580" s="28" t="str">
        <f>IF(Abr!$I104="SI",Abr!$H104,"")</f>
        <v/>
      </c>
      <c r="D580" s="28" t="str">
        <f>IF(Abr!$I104="SI",Abr!$L104,"")</f>
        <v/>
      </c>
      <c r="E580" s="47" t="s">
        <v>110</v>
      </c>
    </row>
    <row r="581" spans="2:5" x14ac:dyDescent="0.2">
      <c r="B581" s="28" t="str">
        <f>IF(Abr!$I105="SI",Abr!$H$100,"")</f>
        <v/>
      </c>
      <c r="C581" s="28" t="str">
        <f>IF(Abr!$I105="SI",Abr!$H105,"")</f>
        <v/>
      </c>
      <c r="D581" s="28" t="str">
        <f>IF(Abr!$I105="SI",Abr!$L105,"")</f>
        <v/>
      </c>
      <c r="E581" s="47" t="s">
        <v>110</v>
      </c>
    </row>
    <row r="582" spans="2:5" x14ac:dyDescent="0.2">
      <c r="B582" s="28" t="str">
        <f>IF(Abr!$I106="SI",Abr!$H$100,"")</f>
        <v/>
      </c>
      <c r="C582" s="28" t="str">
        <f>IF(Abr!$I106="SI",Abr!$H106,"")</f>
        <v/>
      </c>
      <c r="D582" s="28" t="str">
        <f>IF(Abr!$I106="SI",Abr!$L106,"")</f>
        <v/>
      </c>
      <c r="E582" s="47" t="s">
        <v>110</v>
      </c>
    </row>
    <row r="583" spans="2:5" x14ac:dyDescent="0.2">
      <c r="B583" s="28" t="str">
        <f>IF(Abr!$I107="SI",Abr!$H$100,"")</f>
        <v/>
      </c>
      <c r="C583" s="28" t="str">
        <f>IF(Abr!$I107="SI",Abr!$H107,"")</f>
        <v/>
      </c>
      <c r="D583" s="28" t="str">
        <f>IF(Abr!$I107="SI",Abr!$L107,"")</f>
        <v/>
      </c>
      <c r="E583" s="47" t="s">
        <v>110</v>
      </c>
    </row>
    <row r="584" spans="2:5" x14ac:dyDescent="0.2">
      <c r="B584" s="29"/>
      <c r="C584" s="29"/>
      <c r="D584" s="29"/>
      <c r="E584" s="47" t="s">
        <v>110</v>
      </c>
    </row>
    <row r="585" spans="2:5" x14ac:dyDescent="0.2">
      <c r="B585" s="28" t="str">
        <f>IF(May!$C13="SI",May!$B$12,"")</f>
        <v/>
      </c>
      <c r="C585" s="28" t="str">
        <f>IF(May!$C13="SI",May!$B13,"")</f>
        <v/>
      </c>
      <c r="D585" s="28" t="str">
        <f>IF(May!$C13="SI",May!$F13,"")</f>
        <v/>
      </c>
      <c r="E585" s="47" t="s">
        <v>111</v>
      </c>
    </row>
    <row r="586" spans="2:5" x14ac:dyDescent="0.2">
      <c r="B586" s="28" t="str">
        <f>IF(May!$C14="SI",May!$B$12,"")</f>
        <v/>
      </c>
      <c r="C586" s="28" t="str">
        <f>IF(May!$C14="SI",May!$B14,"")</f>
        <v/>
      </c>
      <c r="D586" s="28" t="str">
        <f>IF(May!$C14="SI",May!$F14,"")</f>
        <v/>
      </c>
      <c r="E586" s="47" t="s">
        <v>111</v>
      </c>
    </row>
    <row r="587" spans="2:5" x14ac:dyDescent="0.2">
      <c r="B587" s="28" t="str">
        <f>IF(May!$C15="SI",May!$B$12,"")</f>
        <v/>
      </c>
      <c r="C587" s="28" t="str">
        <f>IF(May!$C15="SI",May!$B15,"")</f>
        <v/>
      </c>
      <c r="D587" s="28" t="str">
        <f>IF(May!$C15="SI",May!$F15,"")</f>
        <v/>
      </c>
      <c r="E587" s="47" t="s">
        <v>111</v>
      </c>
    </row>
    <row r="588" spans="2:5" x14ac:dyDescent="0.2">
      <c r="B588" s="28" t="str">
        <f>IF(May!$C16="SI",May!$B$12,"")</f>
        <v/>
      </c>
      <c r="C588" s="28" t="str">
        <f>IF(May!$C16="SI",May!$B16,"")</f>
        <v/>
      </c>
      <c r="D588" s="28" t="str">
        <f>IF(May!$C16="SI",May!$F16,"")</f>
        <v/>
      </c>
      <c r="E588" s="47" t="s">
        <v>111</v>
      </c>
    </row>
    <row r="589" spans="2:5" x14ac:dyDescent="0.2">
      <c r="B589" s="28" t="str">
        <f>IF(May!$C17="SI",May!$B$12,"")</f>
        <v/>
      </c>
      <c r="C589" s="28" t="str">
        <f>IF(May!$C17="SI",May!$B17,"")</f>
        <v/>
      </c>
      <c r="D589" s="28" t="str">
        <f>IF(May!$C17="SI",May!$F17,"")</f>
        <v/>
      </c>
      <c r="E589" s="47" t="s">
        <v>111</v>
      </c>
    </row>
    <row r="590" spans="2:5" x14ac:dyDescent="0.2">
      <c r="B590" s="28" t="str">
        <f>IF(May!$C18="SI",May!$B$12,"")</f>
        <v/>
      </c>
      <c r="C590" s="28" t="str">
        <f>IF(May!$C18="SI",May!$B18,"")</f>
        <v/>
      </c>
      <c r="D590" s="28" t="str">
        <f>IF(May!$C18="SI",May!$F18,"")</f>
        <v/>
      </c>
      <c r="E590" s="47" t="s">
        <v>111</v>
      </c>
    </row>
    <row r="591" spans="2:5" x14ac:dyDescent="0.2">
      <c r="B591" s="28" t="str">
        <f>IF(May!$C19="SI",May!$B$12,"")</f>
        <v/>
      </c>
      <c r="C591" s="28" t="str">
        <f>IF(May!$C19="SI",May!$B19,"")</f>
        <v/>
      </c>
      <c r="D591" s="28" t="str">
        <f>IF(May!$C19="SI",May!$F19,"")</f>
        <v/>
      </c>
      <c r="E591" s="47" t="s">
        <v>111</v>
      </c>
    </row>
    <row r="592" spans="2:5" x14ac:dyDescent="0.2">
      <c r="B592" s="28" t="str">
        <f>IF(May!$C20="SI",May!$B$12,"")</f>
        <v/>
      </c>
      <c r="C592" s="28" t="str">
        <f>IF(May!$C20="SI",May!$B20,"")</f>
        <v/>
      </c>
      <c r="D592" s="28" t="str">
        <f>IF(May!$C20="SI",May!$F20,"")</f>
        <v/>
      </c>
      <c r="E592" s="47" t="s">
        <v>111</v>
      </c>
    </row>
    <row r="593" spans="2:5" x14ac:dyDescent="0.2">
      <c r="B593" s="28" t="str">
        <f>IF(May!$C21="SI",May!$B$12,"")</f>
        <v/>
      </c>
      <c r="C593" s="28" t="str">
        <f>IF(May!$C21="SI",May!$B21,"")</f>
        <v/>
      </c>
      <c r="D593" s="28" t="str">
        <f>IF(May!$C21="SI",May!$F21,"")</f>
        <v/>
      </c>
      <c r="E593" s="47" t="s">
        <v>111</v>
      </c>
    </row>
    <row r="594" spans="2:5" x14ac:dyDescent="0.2">
      <c r="B594" s="28" t="str">
        <f>IF(May!$C22="SI",May!$B$12,"")</f>
        <v/>
      </c>
      <c r="C594" s="28" t="str">
        <f>IF(May!$C22="SI",May!$B22,"")</f>
        <v/>
      </c>
      <c r="D594" s="28" t="str">
        <f>IF(May!$C22="SI",May!$F22,"")</f>
        <v/>
      </c>
      <c r="E594" s="47" t="s">
        <v>111</v>
      </c>
    </row>
    <row r="595" spans="2:5" x14ac:dyDescent="0.2">
      <c r="B595" s="28" t="str">
        <f>IF(May!$C23="SI",May!$B$12,"")</f>
        <v/>
      </c>
      <c r="C595" s="28" t="str">
        <f>IF(May!$C23="SI",May!$B23,"")</f>
        <v/>
      </c>
      <c r="D595" s="28" t="str">
        <f>IF(May!$C23="SI",May!$F23,"")</f>
        <v/>
      </c>
      <c r="E595" s="47" t="s">
        <v>111</v>
      </c>
    </row>
    <row r="596" spans="2:5" x14ac:dyDescent="0.2">
      <c r="B596" s="28" t="str">
        <f>IF(May!$C24="SI",May!$B$12,"")</f>
        <v/>
      </c>
      <c r="C596" s="28" t="str">
        <f>IF(May!$C24="SI",May!$B24,"")</f>
        <v/>
      </c>
      <c r="D596" s="28" t="str">
        <f>IF(May!$C24="SI",May!$F24,"")</f>
        <v/>
      </c>
      <c r="E596" s="47" t="s">
        <v>111</v>
      </c>
    </row>
    <row r="597" spans="2:5" x14ac:dyDescent="0.2">
      <c r="B597" s="28" t="str">
        <f>IF(May!$C28="SI",May!$B$27,"")</f>
        <v/>
      </c>
      <c r="C597" s="28" t="str">
        <f>IF(May!$C28="SI",May!$B28,"")</f>
        <v/>
      </c>
      <c r="D597" s="28" t="str">
        <f>IF(May!$C28="SI",May!$F28,"")</f>
        <v/>
      </c>
      <c r="E597" s="47" t="s">
        <v>111</v>
      </c>
    </row>
    <row r="598" spans="2:5" x14ac:dyDescent="0.2">
      <c r="B598" s="28" t="str">
        <f>IF(May!$C29="SI",May!$B$27,"")</f>
        <v/>
      </c>
      <c r="C598" s="28" t="str">
        <f>IF(May!$C29="SI",May!$B29,"")</f>
        <v/>
      </c>
      <c r="D598" s="28" t="str">
        <f>IF(May!$C29="SI",May!$F29,"")</f>
        <v/>
      </c>
      <c r="E598" s="47" t="s">
        <v>111</v>
      </c>
    </row>
    <row r="599" spans="2:5" x14ac:dyDescent="0.2">
      <c r="B599" s="28" t="str">
        <f>IF(May!$C30="SI",May!$B$27,"")</f>
        <v/>
      </c>
      <c r="C599" s="28" t="str">
        <f>IF(May!$C30="SI",May!$B30,"")</f>
        <v/>
      </c>
      <c r="D599" s="28" t="str">
        <f>IF(May!$C30="SI",May!$F30,"")</f>
        <v/>
      </c>
      <c r="E599" s="47" t="s">
        <v>111</v>
      </c>
    </row>
    <row r="600" spans="2:5" x14ac:dyDescent="0.2">
      <c r="B600" s="28" t="str">
        <f>IF(May!$C31="SI",May!$B$27,"")</f>
        <v/>
      </c>
      <c r="C600" s="28" t="str">
        <f>IF(May!$C31="SI",May!$B31,"")</f>
        <v/>
      </c>
      <c r="D600" s="28" t="str">
        <f>IF(May!$C31="SI",May!$F31,"")</f>
        <v/>
      </c>
      <c r="E600" s="47" t="s">
        <v>111</v>
      </c>
    </row>
    <row r="601" spans="2:5" x14ac:dyDescent="0.2">
      <c r="B601" s="28" t="str">
        <f>IF(May!$C32="SI",May!$B$27,"")</f>
        <v/>
      </c>
      <c r="C601" s="28" t="str">
        <f>IF(May!$C32="SI",May!$B32,"")</f>
        <v/>
      </c>
      <c r="D601" s="28" t="str">
        <f>IF(May!$C32="SI",May!$F32,"")</f>
        <v/>
      </c>
      <c r="E601" s="47" t="s">
        <v>111</v>
      </c>
    </row>
    <row r="602" spans="2:5" x14ac:dyDescent="0.2">
      <c r="B602" s="28" t="str">
        <f>IF(May!$C33="SI",May!$B$27,"")</f>
        <v/>
      </c>
      <c r="C602" s="28" t="str">
        <f>IF(May!$C33="SI",May!$B33,"")</f>
        <v/>
      </c>
      <c r="D602" s="28" t="str">
        <f>IF(May!$C33="SI",May!$F33,"")</f>
        <v/>
      </c>
      <c r="E602" s="47" t="s">
        <v>111</v>
      </c>
    </row>
    <row r="603" spans="2:5" x14ac:dyDescent="0.2">
      <c r="B603" s="28" t="str">
        <f>IF(May!$C34="SI",May!$B$27,"")</f>
        <v/>
      </c>
      <c r="C603" s="28" t="str">
        <f>IF(May!$C34="SI",May!$B34,"")</f>
        <v/>
      </c>
      <c r="D603" s="28" t="str">
        <f>IF(May!$C34="SI",May!$F34,"")</f>
        <v/>
      </c>
      <c r="E603" s="47" t="s">
        <v>111</v>
      </c>
    </row>
    <row r="604" spans="2:5" x14ac:dyDescent="0.2">
      <c r="B604" s="28" t="str">
        <f>IF(May!$C35="SI",May!$B$27,"")</f>
        <v/>
      </c>
      <c r="C604" s="28" t="str">
        <f>IF(May!$C35="SI",May!$B35,"")</f>
        <v/>
      </c>
      <c r="D604" s="28" t="str">
        <f>IF(May!$C35="SI",May!$F35,"")</f>
        <v/>
      </c>
      <c r="E604" s="47" t="s">
        <v>111</v>
      </c>
    </row>
    <row r="605" spans="2:5" x14ac:dyDescent="0.2">
      <c r="B605" s="28" t="str">
        <f>IF(May!$C39="SI",May!$B$38,"")</f>
        <v/>
      </c>
      <c r="C605" s="28" t="str">
        <f>IF(May!$C39="SI",May!$B39,"")</f>
        <v/>
      </c>
      <c r="D605" s="28" t="str">
        <f>IF(May!$C39="SI",May!$F39,"")</f>
        <v/>
      </c>
      <c r="E605" s="47" t="s">
        <v>111</v>
      </c>
    </row>
    <row r="606" spans="2:5" x14ac:dyDescent="0.2">
      <c r="B606" s="28" t="str">
        <f>IF(May!$C40="SI",May!$B$38,"")</f>
        <v/>
      </c>
      <c r="C606" s="28" t="str">
        <f>IF(May!$C40="SI",May!$B40,"")</f>
        <v/>
      </c>
      <c r="D606" s="28" t="str">
        <f>IF(May!$C40="SI",May!$F40,"")</f>
        <v/>
      </c>
      <c r="E606" s="47" t="s">
        <v>111</v>
      </c>
    </row>
    <row r="607" spans="2:5" x14ac:dyDescent="0.2">
      <c r="B607" s="28" t="str">
        <f>IF(May!$C41="SI",May!$B$38,"")</f>
        <v/>
      </c>
      <c r="C607" s="28" t="str">
        <f>IF(May!$C41="SI",May!$B41,"")</f>
        <v/>
      </c>
      <c r="D607" s="28" t="str">
        <f>IF(May!$C41="SI",May!$F41,"")</f>
        <v/>
      </c>
      <c r="E607" s="47" t="s">
        <v>111</v>
      </c>
    </row>
    <row r="608" spans="2:5" x14ac:dyDescent="0.2">
      <c r="B608" s="28" t="str">
        <f>IF(May!$C42="SI",May!$B$38,"")</f>
        <v/>
      </c>
      <c r="C608" s="28" t="str">
        <f>IF(May!$C42="SI",May!$B42,"")</f>
        <v/>
      </c>
      <c r="D608" s="28" t="str">
        <f>IF(May!$C42="SI",May!$F42,"")</f>
        <v/>
      </c>
      <c r="E608" s="47" t="s">
        <v>111</v>
      </c>
    </row>
    <row r="609" spans="2:5" x14ac:dyDescent="0.2">
      <c r="B609" s="28" t="str">
        <f>IF(May!$C43="SI",May!$B$38,"")</f>
        <v/>
      </c>
      <c r="C609" s="28" t="str">
        <f>IF(May!$C43="SI",May!$B43,"")</f>
        <v/>
      </c>
      <c r="D609" s="28" t="str">
        <f>IF(May!$C43="SI",May!$F43,"")</f>
        <v/>
      </c>
      <c r="E609" s="47" t="s">
        <v>111</v>
      </c>
    </row>
    <row r="610" spans="2:5" x14ac:dyDescent="0.2">
      <c r="B610" s="28" t="str">
        <f>IF(May!$C44="SI",May!$B$38,"")</f>
        <v/>
      </c>
      <c r="C610" s="28" t="str">
        <f>IF(May!$C44="SI",May!$B44,"")</f>
        <v/>
      </c>
      <c r="D610" s="28" t="str">
        <f>IF(May!$C44="SI",May!$F44,"")</f>
        <v/>
      </c>
      <c r="E610" s="47" t="s">
        <v>111</v>
      </c>
    </row>
    <row r="611" spans="2:5" x14ac:dyDescent="0.2">
      <c r="B611" s="28" t="str">
        <f>IF(May!$C45="SI",May!$B$38,"")</f>
        <v/>
      </c>
      <c r="C611" s="28" t="str">
        <f>IF(May!$C45="SI",May!$B45,"")</f>
        <v/>
      </c>
      <c r="D611" s="28" t="str">
        <f>IF(May!$C45="SI",May!$F45,"")</f>
        <v/>
      </c>
      <c r="E611" s="47" t="s">
        <v>111</v>
      </c>
    </row>
    <row r="612" spans="2:5" x14ac:dyDescent="0.2">
      <c r="B612" s="28" t="str">
        <f>IF(May!$C49="SI",May!$B$48,"")</f>
        <v/>
      </c>
      <c r="C612" s="28" t="str">
        <f>IF(May!$C49="SI",May!$B49,"")</f>
        <v/>
      </c>
      <c r="D612" s="28" t="str">
        <f>IF(May!$C49="SI",May!$F49,"")</f>
        <v/>
      </c>
      <c r="E612" s="47" t="s">
        <v>111</v>
      </c>
    </row>
    <row r="613" spans="2:5" x14ac:dyDescent="0.2">
      <c r="B613" s="28" t="str">
        <f>IF(May!$C50="SI",May!$B$48,"")</f>
        <v/>
      </c>
      <c r="C613" s="28" t="str">
        <f>IF(May!$C50="SI",May!$B50,"")</f>
        <v/>
      </c>
      <c r="D613" s="28" t="str">
        <f>IF(May!$C50="SI",May!$F50,"")</f>
        <v/>
      </c>
      <c r="E613" s="47" t="s">
        <v>111</v>
      </c>
    </row>
    <row r="614" spans="2:5" x14ac:dyDescent="0.2">
      <c r="B614" s="28" t="str">
        <f>IF(May!$C51="SI",May!$B$48,"")</f>
        <v/>
      </c>
      <c r="C614" s="28" t="str">
        <f>IF(May!$C51="SI",May!$B51,"")</f>
        <v/>
      </c>
      <c r="D614" s="28" t="str">
        <f>IF(May!$C51="SI",May!$F51,"")</f>
        <v/>
      </c>
      <c r="E614" s="47" t="s">
        <v>111</v>
      </c>
    </row>
    <row r="615" spans="2:5" x14ac:dyDescent="0.2">
      <c r="B615" s="28" t="str">
        <f>IF(May!$C52="SI",May!$B$48,"")</f>
        <v/>
      </c>
      <c r="C615" s="28" t="str">
        <f>IF(May!$C52="SI",May!$B52,"")</f>
        <v/>
      </c>
      <c r="D615" s="28" t="str">
        <f>IF(May!$C52="SI",May!$F52,"")</f>
        <v/>
      </c>
      <c r="E615" s="47" t="s">
        <v>111</v>
      </c>
    </row>
    <row r="616" spans="2:5" x14ac:dyDescent="0.2">
      <c r="B616" s="28" t="str">
        <f>IF(May!$C53="SI",May!$B$48,"")</f>
        <v/>
      </c>
      <c r="C616" s="28" t="str">
        <f>IF(May!$C53="SI",May!$B53,"")</f>
        <v/>
      </c>
      <c r="D616" s="28" t="str">
        <f>IF(May!$C53="SI",May!$F53,"")</f>
        <v/>
      </c>
      <c r="E616" s="47" t="s">
        <v>111</v>
      </c>
    </row>
    <row r="617" spans="2:5" x14ac:dyDescent="0.2">
      <c r="B617" s="28" t="str">
        <f>IF(May!$C54="SI",May!$B$48,"")</f>
        <v/>
      </c>
      <c r="C617" s="28" t="str">
        <f>IF(May!$C54="SI",May!$B54,"")</f>
        <v/>
      </c>
      <c r="D617" s="28" t="str">
        <f>IF(May!$C54="SI",May!$F54,"")</f>
        <v/>
      </c>
      <c r="E617" s="47" t="s">
        <v>111</v>
      </c>
    </row>
    <row r="618" spans="2:5" x14ac:dyDescent="0.2">
      <c r="B618" s="28" t="str">
        <f>IF(May!$C58="SI",May!$B$57,"")</f>
        <v/>
      </c>
      <c r="C618" s="28" t="str">
        <f>IF(May!$C58="SI",May!$B58,"")</f>
        <v/>
      </c>
      <c r="D618" s="28" t="str">
        <f>IF(May!$C58="SI",May!$F58,"")</f>
        <v/>
      </c>
      <c r="E618" s="47" t="s">
        <v>111</v>
      </c>
    </row>
    <row r="619" spans="2:5" x14ac:dyDescent="0.2">
      <c r="B619" s="28" t="str">
        <f>IF(May!$C59="SI",May!$B$57,"")</f>
        <v/>
      </c>
      <c r="C619" s="28" t="str">
        <f>IF(May!$C59="SI",May!$B59,"")</f>
        <v/>
      </c>
      <c r="D619" s="28" t="str">
        <f>IF(May!$C59="SI",May!$F59,"")</f>
        <v/>
      </c>
      <c r="E619" s="47" t="s">
        <v>111</v>
      </c>
    </row>
    <row r="620" spans="2:5" x14ac:dyDescent="0.2">
      <c r="B620" s="28" t="str">
        <f>IF(May!$C60="SI",May!$B$57,"")</f>
        <v/>
      </c>
      <c r="C620" s="28" t="str">
        <f>IF(May!$C60="SI",May!$B60,"")</f>
        <v/>
      </c>
      <c r="D620" s="28" t="str">
        <f>IF(May!$C60="SI",May!$F60,"")</f>
        <v/>
      </c>
      <c r="E620" s="47" t="s">
        <v>111</v>
      </c>
    </row>
    <row r="621" spans="2:5" x14ac:dyDescent="0.2">
      <c r="B621" s="28" t="str">
        <f>IF(May!$C61="SI",May!$B$57,"")</f>
        <v/>
      </c>
      <c r="C621" s="28" t="str">
        <f>IF(May!$C61="SI",May!$B61,"")</f>
        <v/>
      </c>
      <c r="D621" s="28" t="str">
        <f>IF(May!$C61="SI",May!$F61,"")</f>
        <v/>
      </c>
      <c r="E621" s="47" t="s">
        <v>111</v>
      </c>
    </row>
    <row r="622" spans="2:5" x14ac:dyDescent="0.2">
      <c r="B622" s="28" t="str">
        <f>IF(May!$C62="SI",May!$B$57,"")</f>
        <v/>
      </c>
      <c r="C622" s="28" t="str">
        <f>IF(May!$C62="SI",May!$B62,"")</f>
        <v/>
      </c>
      <c r="D622" s="28" t="str">
        <f>IF(May!$C62="SI",May!$F62,"")</f>
        <v/>
      </c>
      <c r="E622" s="47" t="s">
        <v>111</v>
      </c>
    </row>
    <row r="623" spans="2:5" x14ac:dyDescent="0.2">
      <c r="B623" s="28" t="str">
        <f>IF(May!$C63="SI",May!$B$57,"")</f>
        <v/>
      </c>
      <c r="C623" s="28" t="str">
        <f>IF(May!$C63="SI",May!$B63,"")</f>
        <v/>
      </c>
      <c r="D623" s="28" t="str">
        <f>IF(May!$C63="SI",May!$F63,"")</f>
        <v/>
      </c>
      <c r="E623" s="47" t="s">
        <v>111</v>
      </c>
    </row>
    <row r="624" spans="2:5" x14ac:dyDescent="0.2">
      <c r="B624" s="28" t="str">
        <f>IF(May!$C64="SI",May!$B$57,"")</f>
        <v/>
      </c>
      <c r="C624" s="28" t="str">
        <f>IF(May!$C64="SI",May!$B64,"")</f>
        <v/>
      </c>
      <c r="D624" s="28" t="str">
        <f>IF(May!$C64="SI",May!$F64,"")</f>
        <v/>
      </c>
      <c r="E624" s="47" t="s">
        <v>111</v>
      </c>
    </row>
    <row r="625" spans="2:5" x14ac:dyDescent="0.2">
      <c r="B625" s="28" t="str">
        <f>IF(May!$C68="SI",May!$B$67,"")</f>
        <v/>
      </c>
      <c r="C625" s="28" t="str">
        <f>IF(May!$C68="SI",May!$B68,"")</f>
        <v/>
      </c>
      <c r="D625" s="28" t="str">
        <f>IF(May!$C68="SI",May!$F68,"")</f>
        <v/>
      </c>
      <c r="E625" s="47" t="s">
        <v>111</v>
      </c>
    </row>
    <row r="626" spans="2:5" x14ac:dyDescent="0.2">
      <c r="B626" s="28" t="str">
        <f>IF(May!$C69="SI",May!$B$67,"")</f>
        <v/>
      </c>
      <c r="C626" s="28" t="str">
        <f>IF(May!$C69="SI",May!$B69,"")</f>
        <v/>
      </c>
      <c r="D626" s="28" t="str">
        <f>IF(May!$C69="SI",May!$F69,"")</f>
        <v/>
      </c>
      <c r="E626" s="47" t="s">
        <v>111</v>
      </c>
    </row>
    <row r="627" spans="2:5" x14ac:dyDescent="0.2">
      <c r="B627" s="28" t="str">
        <f>IF(May!$C70="SI",May!$B$67,"")</f>
        <v/>
      </c>
      <c r="C627" s="28" t="str">
        <f>IF(May!$C70="SI",May!$B70,"")</f>
        <v/>
      </c>
      <c r="D627" s="28" t="str">
        <f>IF(May!$C70="SI",May!$F70,"")</f>
        <v/>
      </c>
      <c r="E627" s="47" t="s">
        <v>111</v>
      </c>
    </row>
    <row r="628" spans="2:5" x14ac:dyDescent="0.2">
      <c r="B628" s="28" t="str">
        <f>IF(May!$C71="SI",May!$B$67,"")</f>
        <v/>
      </c>
      <c r="C628" s="28" t="str">
        <f>IF(May!$C71="SI",May!$B71,"")</f>
        <v/>
      </c>
      <c r="D628" s="28" t="str">
        <f>IF(May!$C71="SI",May!$F71,"")</f>
        <v/>
      </c>
      <c r="E628" s="47" t="s">
        <v>111</v>
      </c>
    </row>
    <row r="629" spans="2:5" x14ac:dyDescent="0.2">
      <c r="B629" s="28" t="str">
        <f>IF(May!$C72="SI",May!$B$67,"")</f>
        <v/>
      </c>
      <c r="C629" s="28" t="str">
        <f>IF(May!$C72="SI",May!$B72,"")</f>
        <v/>
      </c>
      <c r="D629" s="28" t="str">
        <f>IF(May!$C72="SI",May!$F72,"")</f>
        <v/>
      </c>
      <c r="E629" s="47" t="s">
        <v>111</v>
      </c>
    </row>
    <row r="630" spans="2:5" x14ac:dyDescent="0.2">
      <c r="B630" s="28" t="str">
        <f>IF(May!$C73="SI",May!$B$67,"")</f>
        <v/>
      </c>
      <c r="C630" s="28" t="str">
        <f>IF(May!$C73="SI",May!$B73,"")</f>
        <v/>
      </c>
      <c r="D630" s="28" t="str">
        <f>IF(May!$C73="SI",May!$F73,"")</f>
        <v/>
      </c>
      <c r="E630" s="47" t="s">
        <v>111</v>
      </c>
    </row>
    <row r="631" spans="2:5" x14ac:dyDescent="0.2">
      <c r="B631" s="28" t="str">
        <f>IF(May!$C74="SI",May!$B$67,"")</f>
        <v/>
      </c>
      <c r="C631" s="28" t="str">
        <f>IF(May!$C74="SI",May!$B74,"")</f>
        <v/>
      </c>
      <c r="D631" s="28" t="str">
        <f>IF(May!$C74="SI",May!$F74,"")</f>
        <v/>
      </c>
      <c r="E631" s="47" t="s">
        <v>111</v>
      </c>
    </row>
    <row r="632" spans="2:5" x14ac:dyDescent="0.2">
      <c r="B632" s="28" t="str">
        <f>IF(May!$C75="SI",May!$B$67,"")</f>
        <v/>
      </c>
      <c r="C632" s="28" t="str">
        <f>IF(May!$C75="SI",May!$B75,"")</f>
        <v/>
      </c>
      <c r="D632" s="28" t="str">
        <f>IF(May!$C75="SI",May!$F75,"")</f>
        <v/>
      </c>
      <c r="E632" s="47" t="s">
        <v>111</v>
      </c>
    </row>
    <row r="633" spans="2:5" x14ac:dyDescent="0.2">
      <c r="B633" s="28" t="str">
        <f>IF(May!$C76="SI",May!$B$67,"")</f>
        <v/>
      </c>
      <c r="C633" s="28" t="str">
        <f>IF(May!$C76="SI",May!$B76,"")</f>
        <v/>
      </c>
      <c r="D633" s="28" t="str">
        <f>IF(May!$C76="SI",May!$F76,"")</f>
        <v/>
      </c>
      <c r="E633" s="47" t="s">
        <v>111</v>
      </c>
    </row>
    <row r="634" spans="2:5" x14ac:dyDescent="0.2">
      <c r="B634" s="28" t="str">
        <f>IF(May!$C77="SI",May!$B$67,"")</f>
        <v/>
      </c>
      <c r="C634" s="28" t="str">
        <f>IF(May!$C77="SI",May!$B77,"")</f>
        <v/>
      </c>
      <c r="D634" s="28" t="str">
        <f>IF(May!$C77="SI",May!$F77,"")</f>
        <v/>
      </c>
      <c r="E634" s="47" t="s">
        <v>111</v>
      </c>
    </row>
    <row r="635" spans="2:5" x14ac:dyDescent="0.2">
      <c r="B635" s="28" t="str">
        <f>IF(May!$C78="SI",May!$B$67,"")</f>
        <v/>
      </c>
      <c r="C635" s="28" t="str">
        <f>IF(May!$C78="SI",May!$B78,"")</f>
        <v/>
      </c>
      <c r="D635" s="28" t="str">
        <f>IF(May!$C78="SI",May!$F78,"")</f>
        <v/>
      </c>
      <c r="E635" s="47" t="s">
        <v>111</v>
      </c>
    </row>
    <row r="636" spans="2:5" x14ac:dyDescent="0.2">
      <c r="B636" s="28" t="str">
        <f>IF(May!$C82="SI",May!$B$81,"")</f>
        <v/>
      </c>
      <c r="C636" s="28" t="str">
        <f>IF(May!$C82="SI",May!$B82,"")</f>
        <v/>
      </c>
      <c r="D636" s="28" t="str">
        <f>IF(May!$C82="SI",May!$F82,"")</f>
        <v/>
      </c>
      <c r="E636" s="47" t="s">
        <v>111</v>
      </c>
    </row>
    <row r="637" spans="2:5" x14ac:dyDescent="0.2">
      <c r="B637" s="28" t="str">
        <f>IF(May!$C83="SI",May!$B$81,"")</f>
        <v/>
      </c>
      <c r="C637" s="28" t="str">
        <f>IF(May!$C83="SI",May!$B83,"")</f>
        <v/>
      </c>
      <c r="D637" s="28" t="str">
        <f>IF(May!$C83="SI",May!$F83,"")</f>
        <v/>
      </c>
      <c r="E637" s="47" t="s">
        <v>111</v>
      </c>
    </row>
    <row r="638" spans="2:5" x14ac:dyDescent="0.2">
      <c r="B638" s="28" t="str">
        <f>IF(May!$C84="SI",May!$B$81,"")</f>
        <v/>
      </c>
      <c r="C638" s="28" t="str">
        <f>IF(May!$C84="SI",May!$B84,"")</f>
        <v/>
      </c>
      <c r="D638" s="28" t="str">
        <f>IF(May!$C84="SI",May!$F84,"")</f>
        <v/>
      </c>
      <c r="E638" s="47" t="s">
        <v>111</v>
      </c>
    </row>
    <row r="639" spans="2:5" x14ac:dyDescent="0.2">
      <c r="B639" s="28" t="str">
        <f>IF(May!$C85="SI",May!$B$81,"")</f>
        <v/>
      </c>
      <c r="C639" s="28" t="str">
        <f>IF(May!$C85="SI",May!$B85,"")</f>
        <v/>
      </c>
      <c r="D639" s="28" t="str">
        <f>IF(May!$C85="SI",May!$F85,"")</f>
        <v/>
      </c>
      <c r="E639" s="47" t="s">
        <v>111</v>
      </c>
    </row>
    <row r="640" spans="2:5" x14ac:dyDescent="0.2">
      <c r="B640" s="28" t="str">
        <f>IF(May!$C86="SI",May!$B$81,"")</f>
        <v/>
      </c>
      <c r="C640" s="28" t="str">
        <f>IF(May!$C86="SI",May!$B86,"")</f>
        <v/>
      </c>
      <c r="D640" s="28" t="str">
        <f>IF(May!$C86="SI",May!$F86,"")</f>
        <v/>
      </c>
      <c r="E640" s="47" t="s">
        <v>111</v>
      </c>
    </row>
    <row r="641" spans="2:5" x14ac:dyDescent="0.2">
      <c r="B641" s="28" t="str">
        <f>IF(May!$C87="SI",May!$B$81,"")</f>
        <v/>
      </c>
      <c r="C641" s="28" t="str">
        <f>IF(May!$C87="SI",May!$B87,"")</f>
        <v/>
      </c>
      <c r="D641" s="28" t="str">
        <f>IF(May!$C87="SI",May!$F87,"")</f>
        <v/>
      </c>
      <c r="E641" s="47" t="s">
        <v>111</v>
      </c>
    </row>
    <row r="642" spans="2:5" x14ac:dyDescent="0.2">
      <c r="B642" s="28" t="str">
        <f>IF(May!$C91="SI",May!$B$90,"")</f>
        <v/>
      </c>
      <c r="C642" s="28" t="str">
        <f>IF(May!$C91="SI",May!$B91,"")</f>
        <v/>
      </c>
      <c r="D642" s="28" t="str">
        <f>IF(May!$C91="SI",May!$F91,"")</f>
        <v/>
      </c>
      <c r="E642" s="47" t="s">
        <v>111</v>
      </c>
    </row>
    <row r="643" spans="2:5" x14ac:dyDescent="0.2">
      <c r="B643" s="28" t="str">
        <f>IF(May!$C92="SI",May!$B$90,"")</f>
        <v/>
      </c>
      <c r="C643" s="28" t="str">
        <f>IF(May!$C92="SI",May!$B92,"")</f>
        <v/>
      </c>
      <c r="D643" s="28" t="str">
        <f>IF(May!$C92="SI",May!$F92,"")</f>
        <v/>
      </c>
      <c r="E643" s="47" t="s">
        <v>111</v>
      </c>
    </row>
    <row r="644" spans="2:5" x14ac:dyDescent="0.2">
      <c r="B644" s="28" t="str">
        <f>IF(May!$C93="SI",May!$B$90,"")</f>
        <v/>
      </c>
      <c r="C644" s="28" t="str">
        <f>IF(May!$C93="SI",May!$B93,"")</f>
        <v/>
      </c>
      <c r="D644" s="28" t="str">
        <f>IF(May!$C93="SI",May!$F93,"")</f>
        <v/>
      </c>
      <c r="E644" s="47" t="s">
        <v>111</v>
      </c>
    </row>
    <row r="645" spans="2:5" x14ac:dyDescent="0.2">
      <c r="B645" s="28" t="str">
        <f>IF(May!$C94="SI",May!$B$90,"")</f>
        <v/>
      </c>
      <c r="C645" s="28" t="str">
        <f>IF(May!$C94="SI",May!$B94,"")</f>
        <v/>
      </c>
      <c r="D645" s="28" t="str">
        <f>IF(May!$C94="SI",May!$F94,"")</f>
        <v/>
      </c>
      <c r="E645" s="47" t="s">
        <v>111</v>
      </c>
    </row>
    <row r="646" spans="2:5" x14ac:dyDescent="0.2">
      <c r="B646" s="28" t="str">
        <f>IF(May!$C95="SI",May!$B$90,"")</f>
        <v/>
      </c>
      <c r="C646" s="28" t="str">
        <f>IF(May!$C95="SI",May!$B95,"")</f>
        <v/>
      </c>
      <c r="D646" s="28" t="str">
        <f>IF(May!$C95="SI",May!$F95,"")</f>
        <v/>
      </c>
      <c r="E646" s="47" t="s">
        <v>111</v>
      </c>
    </row>
    <row r="647" spans="2:5" x14ac:dyDescent="0.2">
      <c r="B647" s="28" t="str">
        <f>IF(May!$C96="SI",May!$B$90,"")</f>
        <v/>
      </c>
      <c r="C647" s="28" t="str">
        <f>IF(May!$C96="SI",May!$B96,"")</f>
        <v/>
      </c>
      <c r="D647" s="28" t="str">
        <f>IF(May!$C96="SI",May!$F96,"")</f>
        <v/>
      </c>
      <c r="E647" s="47" t="s">
        <v>111</v>
      </c>
    </row>
    <row r="648" spans="2:5" x14ac:dyDescent="0.2">
      <c r="B648" s="28" t="str">
        <f>IF(May!$C97="SI",May!$B$90,"")</f>
        <v/>
      </c>
      <c r="C648" s="28" t="str">
        <f>IF(May!$C97="SI",May!$B97,"")</f>
        <v/>
      </c>
      <c r="D648" s="28" t="str">
        <f>IF(May!$C97="SI",May!$F97,"")</f>
        <v/>
      </c>
      <c r="E648" s="47" t="s">
        <v>111</v>
      </c>
    </row>
    <row r="649" spans="2:5" x14ac:dyDescent="0.2">
      <c r="B649" s="28" t="str">
        <f>IF(May!$C101="SI",May!$B$100,"")</f>
        <v/>
      </c>
      <c r="C649" s="28" t="str">
        <f>IF(May!$C101="SI",May!$B101,"")</f>
        <v/>
      </c>
      <c r="D649" s="28" t="str">
        <f>IF(May!$C101="SI",May!$F101,"")</f>
        <v/>
      </c>
      <c r="E649" s="47" t="s">
        <v>111</v>
      </c>
    </row>
    <row r="650" spans="2:5" x14ac:dyDescent="0.2">
      <c r="B650" s="28" t="str">
        <f>IF(May!$C102="SI",May!$B$100,"")</f>
        <v/>
      </c>
      <c r="C650" s="28" t="str">
        <f>IF(May!$C102="SI",May!$B102,"")</f>
        <v/>
      </c>
      <c r="D650" s="28" t="str">
        <f>IF(May!$C102="SI",May!$F102,"")</f>
        <v/>
      </c>
      <c r="E650" s="47" t="s">
        <v>111</v>
      </c>
    </row>
    <row r="651" spans="2:5" x14ac:dyDescent="0.2">
      <c r="B651" s="28" t="str">
        <f>IF(May!$C103="SI",May!$B$100,"")</f>
        <v/>
      </c>
      <c r="C651" s="28" t="str">
        <f>IF(May!$C103="SI",May!$B103,"")</f>
        <v/>
      </c>
      <c r="D651" s="28" t="str">
        <f>IF(May!$C103="SI",May!$F103,"")</f>
        <v/>
      </c>
      <c r="E651" s="47" t="s">
        <v>111</v>
      </c>
    </row>
    <row r="652" spans="2:5" x14ac:dyDescent="0.2">
      <c r="B652" s="28" t="str">
        <f>IF(May!$C104="SI",May!$B$100,"")</f>
        <v/>
      </c>
      <c r="C652" s="28" t="str">
        <f>IF(May!$C104="SI",May!$B104,"")</f>
        <v/>
      </c>
      <c r="D652" s="28" t="str">
        <f>IF(May!$C104="SI",May!$F104,"")</f>
        <v/>
      </c>
      <c r="E652" s="47" t="s">
        <v>111</v>
      </c>
    </row>
    <row r="653" spans="2:5" x14ac:dyDescent="0.2">
      <c r="B653" s="28" t="str">
        <f>IF(May!$C105="SI",May!$B$100,"")</f>
        <v/>
      </c>
      <c r="C653" s="28" t="str">
        <f>IF(May!$C105="SI",May!$B105,"")</f>
        <v/>
      </c>
      <c r="D653" s="28" t="str">
        <f>IF(May!$C105="SI",May!$F105,"")</f>
        <v/>
      </c>
      <c r="E653" s="47" t="s">
        <v>111</v>
      </c>
    </row>
    <row r="654" spans="2:5" x14ac:dyDescent="0.2">
      <c r="B654" s="28" t="str">
        <f>IF(May!$C106="SI",May!$B$100,"")</f>
        <v/>
      </c>
      <c r="C654" s="28" t="str">
        <f>IF(May!$C106="SI",May!$B106,"")</f>
        <v/>
      </c>
      <c r="D654" s="28" t="str">
        <f>IF(May!$C106="SI",May!$F106,"")</f>
        <v/>
      </c>
      <c r="E654" s="47" t="s">
        <v>111</v>
      </c>
    </row>
    <row r="655" spans="2:5" x14ac:dyDescent="0.2">
      <c r="B655" s="28" t="str">
        <f>IF(May!$C107="SI",May!$B$100,"")</f>
        <v/>
      </c>
      <c r="C655" s="28" t="str">
        <f>IF(May!$C107="SI",May!$B107,"")</f>
        <v/>
      </c>
      <c r="D655" s="28" t="str">
        <f>IF(May!$C107="SI",May!$F107,"")</f>
        <v/>
      </c>
      <c r="E655" s="47" t="s">
        <v>111</v>
      </c>
    </row>
    <row r="656" spans="2:5" x14ac:dyDescent="0.2">
      <c r="B656" s="29"/>
      <c r="C656" s="29"/>
      <c r="D656" s="29"/>
      <c r="E656" s="47" t="s">
        <v>111</v>
      </c>
    </row>
    <row r="657" spans="2:5" x14ac:dyDescent="0.2">
      <c r="B657" s="28" t="str">
        <f>IF(May!$I13="SI",May!$H$12,"")</f>
        <v/>
      </c>
      <c r="C657" s="28" t="str">
        <f>IF(May!$I13="SI",May!$H13,"")</f>
        <v/>
      </c>
      <c r="D657" s="28" t="str">
        <f>IF(May!$I13="SI",May!$L13,"")</f>
        <v/>
      </c>
      <c r="E657" s="47" t="s">
        <v>111</v>
      </c>
    </row>
    <row r="658" spans="2:5" x14ac:dyDescent="0.2">
      <c r="B658" s="28" t="str">
        <f>IF(May!$I14="SI",May!$H$12,"")</f>
        <v/>
      </c>
      <c r="C658" s="28" t="str">
        <f>IF(May!$I14="SI",May!$H14,"")</f>
        <v/>
      </c>
      <c r="D658" s="28" t="str">
        <f>IF(May!$I14="SI",May!$L14,"")</f>
        <v/>
      </c>
      <c r="E658" s="47" t="s">
        <v>111</v>
      </c>
    </row>
    <row r="659" spans="2:5" x14ac:dyDescent="0.2">
      <c r="B659" s="28" t="str">
        <f>IF(May!$I15="SI",May!$H$12,"")</f>
        <v/>
      </c>
      <c r="C659" s="28" t="str">
        <f>IF(May!$I15="SI",May!$H15,"")</f>
        <v/>
      </c>
      <c r="D659" s="28" t="str">
        <f>IF(May!$I15="SI",May!$L15,"")</f>
        <v/>
      </c>
      <c r="E659" s="47" t="s">
        <v>111</v>
      </c>
    </row>
    <row r="660" spans="2:5" x14ac:dyDescent="0.2">
      <c r="B660" s="28" t="str">
        <f>IF(May!$I16="SI",May!$H$12,"")</f>
        <v/>
      </c>
      <c r="C660" s="28" t="str">
        <f>IF(May!$I16="SI",May!$H16,"")</f>
        <v/>
      </c>
      <c r="D660" s="28" t="str">
        <f>IF(May!$I16="SI",May!$L16,"")</f>
        <v/>
      </c>
      <c r="E660" s="47" t="s">
        <v>111</v>
      </c>
    </row>
    <row r="661" spans="2:5" x14ac:dyDescent="0.2">
      <c r="B661" s="28" t="str">
        <f>IF(May!$I17="SI",May!$H$12,"")</f>
        <v/>
      </c>
      <c r="C661" s="28" t="str">
        <f>IF(May!$I17="SI",May!$H17,"")</f>
        <v/>
      </c>
      <c r="D661" s="28" t="str">
        <f>IF(May!$I17="SI",May!$L17,"")</f>
        <v/>
      </c>
      <c r="E661" s="47" t="s">
        <v>111</v>
      </c>
    </row>
    <row r="662" spans="2:5" x14ac:dyDescent="0.2">
      <c r="B662" s="28" t="str">
        <f>IF(May!$I18="SI",May!$H$12,"")</f>
        <v/>
      </c>
      <c r="C662" s="28" t="str">
        <f>IF(May!$I18="SI",May!$H18,"")</f>
        <v/>
      </c>
      <c r="D662" s="28" t="str">
        <f>IF(May!$I18="SI",May!$L18,"")</f>
        <v/>
      </c>
      <c r="E662" s="47" t="s">
        <v>111</v>
      </c>
    </row>
    <row r="663" spans="2:5" x14ac:dyDescent="0.2">
      <c r="B663" s="28" t="str">
        <f>IF(May!$I19="SI",May!$H$12,"")</f>
        <v/>
      </c>
      <c r="C663" s="28" t="str">
        <f>IF(May!$I19="SI",May!$H19,"")</f>
        <v/>
      </c>
      <c r="D663" s="28" t="str">
        <f>IF(May!$I19="SI",May!$L19,"")</f>
        <v/>
      </c>
      <c r="E663" s="47" t="s">
        <v>111</v>
      </c>
    </row>
    <row r="664" spans="2:5" x14ac:dyDescent="0.2">
      <c r="B664" s="28" t="str">
        <f>IF(May!$I20="SI",May!$H$12,"")</f>
        <v/>
      </c>
      <c r="C664" s="28" t="str">
        <f>IF(May!$I20="SI",May!$H20,"")</f>
        <v/>
      </c>
      <c r="D664" s="28" t="str">
        <f>IF(May!$I20="SI",May!$L20,"")</f>
        <v/>
      </c>
      <c r="E664" s="47" t="s">
        <v>111</v>
      </c>
    </row>
    <row r="665" spans="2:5" x14ac:dyDescent="0.2">
      <c r="B665" s="28" t="str">
        <f>IF(May!$I21="SI",May!$H$12,"")</f>
        <v/>
      </c>
      <c r="C665" s="28" t="str">
        <f>IF(May!$I21="SI",May!$H21,"")</f>
        <v/>
      </c>
      <c r="D665" s="28" t="str">
        <f>IF(May!$I21="SI",May!$L21,"")</f>
        <v/>
      </c>
      <c r="E665" s="47" t="s">
        <v>111</v>
      </c>
    </row>
    <row r="666" spans="2:5" x14ac:dyDescent="0.2">
      <c r="B666" s="28" t="str">
        <f>IF(May!$I22="SI",May!$H$12,"")</f>
        <v/>
      </c>
      <c r="C666" s="28" t="str">
        <f>IF(May!$I22="SI",May!$H22,"")</f>
        <v/>
      </c>
      <c r="D666" s="28" t="str">
        <f>IF(May!$I22="SI",May!$L22,"")</f>
        <v/>
      </c>
      <c r="E666" s="47" t="s">
        <v>111</v>
      </c>
    </row>
    <row r="667" spans="2:5" x14ac:dyDescent="0.2">
      <c r="B667" s="28" t="str">
        <f>IF(May!$I23="SI",May!$H$12,"")</f>
        <v/>
      </c>
      <c r="C667" s="28" t="str">
        <f>IF(May!$I23="SI",May!$H23,"")</f>
        <v/>
      </c>
      <c r="D667" s="28" t="str">
        <f>IF(May!$I23="SI",May!$L23,"")</f>
        <v/>
      </c>
      <c r="E667" s="47" t="s">
        <v>111</v>
      </c>
    </row>
    <row r="668" spans="2:5" x14ac:dyDescent="0.2">
      <c r="B668" s="28" t="str">
        <f>IF(May!$I24="SI",May!$H$12,"")</f>
        <v/>
      </c>
      <c r="C668" s="28" t="str">
        <f>IF(May!$I24="SI",May!$H24,"")</f>
        <v/>
      </c>
      <c r="D668" s="28" t="str">
        <f>IF(May!$I24="SI",May!$L24,"")</f>
        <v/>
      </c>
      <c r="E668" s="47" t="s">
        <v>111</v>
      </c>
    </row>
    <row r="669" spans="2:5" x14ac:dyDescent="0.2">
      <c r="B669" s="28" t="str">
        <f>IF(May!$I28="SI",May!$H$27,"")</f>
        <v/>
      </c>
      <c r="C669" s="28" t="str">
        <f>IF(May!$I28="SI",May!$H28,"")</f>
        <v/>
      </c>
      <c r="D669" s="28" t="str">
        <f>IF(May!$I28="SI",May!$L28,"")</f>
        <v/>
      </c>
      <c r="E669" s="47" t="s">
        <v>111</v>
      </c>
    </row>
    <row r="670" spans="2:5" x14ac:dyDescent="0.2">
      <c r="B670" s="28" t="str">
        <f>IF(May!$I29="SI",May!$H$27,"")</f>
        <v/>
      </c>
      <c r="C670" s="28" t="str">
        <f>IF(May!$I29="SI",May!$H29,"")</f>
        <v/>
      </c>
      <c r="D670" s="28" t="str">
        <f>IF(May!$I29="SI",May!$L29,"")</f>
        <v/>
      </c>
      <c r="E670" s="47" t="s">
        <v>111</v>
      </c>
    </row>
    <row r="671" spans="2:5" x14ac:dyDescent="0.2">
      <c r="B671" s="28" t="str">
        <f>IF(May!$I30="SI",May!$H$27,"")</f>
        <v/>
      </c>
      <c r="C671" s="28" t="str">
        <f>IF(May!$I30="SI",May!$H30,"")</f>
        <v/>
      </c>
      <c r="D671" s="28" t="str">
        <f>IF(May!$I30="SI",May!$L30,"")</f>
        <v/>
      </c>
      <c r="E671" s="47" t="s">
        <v>111</v>
      </c>
    </row>
    <row r="672" spans="2:5" x14ac:dyDescent="0.2">
      <c r="B672" s="28" t="str">
        <f>IF(May!$I31="SI",May!$H$27,"")</f>
        <v/>
      </c>
      <c r="C672" s="28" t="str">
        <f>IF(May!$I31="SI",May!$H31,"")</f>
        <v/>
      </c>
      <c r="D672" s="28" t="str">
        <f>IF(May!$I31="SI",May!$L31,"")</f>
        <v/>
      </c>
      <c r="E672" s="47" t="s">
        <v>111</v>
      </c>
    </row>
    <row r="673" spans="2:5" x14ac:dyDescent="0.2">
      <c r="B673" s="28" t="str">
        <f>IF(May!$I32="SI",May!$H$27,"")</f>
        <v/>
      </c>
      <c r="C673" s="28" t="str">
        <f>IF(May!$I32="SI",May!$H32,"")</f>
        <v/>
      </c>
      <c r="D673" s="28" t="str">
        <f>IF(May!$I32="SI",May!$L32,"")</f>
        <v/>
      </c>
      <c r="E673" s="47" t="s">
        <v>111</v>
      </c>
    </row>
    <row r="674" spans="2:5" x14ac:dyDescent="0.2">
      <c r="B674" s="28" t="str">
        <f>IF(May!$I33="SI",May!$H$27,"")</f>
        <v/>
      </c>
      <c r="C674" s="28" t="str">
        <f>IF(May!$I33="SI",May!$H33,"")</f>
        <v/>
      </c>
      <c r="D674" s="28" t="str">
        <f>IF(May!$I33="SI",May!$L33,"")</f>
        <v/>
      </c>
      <c r="E674" s="47" t="s">
        <v>111</v>
      </c>
    </row>
    <row r="675" spans="2:5" x14ac:dyDescent="0.2">
      <c r="B675" s="28" t="str">
        <f>IF(May!$I34="SI",May!$H$27,"")</f>
        <v/>
      </c>
      <c r="C675" s="28" t="str">
        <f>IF(May!$I34="SI",May!$H34,"")</f>
        <v/>
      </c>
      <c r="D675" s="28" t="str">
        <f>IF(May!$I34="SI",May!$L34,"")</f>
        <v/>
      </c>
      <c r="E675" s="47" t="s">
        <v>111</v>
      </c>
    </row>
    <row r="676" spans="2:5" x14ac:dyDescent="0.2">
      <c r="B676" s="28" t="str">
        <f>IF(May!$I35="SI",May!$H$27,"")</f>
        <v/>
      </c>
      <c r="C676" s="28" t="str">
        <f>IF(May!$I35="SI",May!$H35,"")</f>
        <v/>
      </c>
      <c r="D676" s="28" t="str">
        <f>IF(May!$I35="SI",May!$L35,"")</f>
        <v/>
      </c>
      <c r="E676" s="47" t="s">
        <v>111</v>
      </c>
    </row>
    <row r="677" spans="2:5" x14ac:dyDescent="0.2">
      <c r="B677" s="28" t="str">
        <f>IF(May!$I39="SI",May!$H$38,"")</f>
        <v/>
      </c>
      <c r="C677" s="28" t="str">
        <f>IF(May!$I39="SI",May!$H39,"")</f>
        <v/>
      </c>
      <c r="D677" s="28" t="str">
        <f>IF(May!$I39="SI",May!$L39,"")</f>
        <v/>
      </c>
      <c r="E677" s="47" t="s">
        <v>111</v>
      </c>
    </row>
    <row r="678" spans="2:5" x14ac:dyDescent="0.2">
      <c r="B678" s="28" t="str">
        <f>IF(May!$I40="SI",May!$H$38,"")</f>
        <v/>
      </c>
      <c r="C678" s="28" t="str">
        <f>IF(May!$I40="SI",May!$H40,"")</f>
        <v/>
      </c>
      <c r="D678" s="28" t="str">
        <f>IF(May!$I40="SI",May!$L40,"")</f>
        <v/>
      </c>
      <c r="E678" s="47" t="s">
        <v>111</v>
      </c>
    </row>
    <row r="679" spans="2:5" x14ac:dyDescent="0.2">
      <c r="B679" s="28" t="str">
        <f>IF(May!$I41="SI",May!$H$38,"")</f>
        <v/>
      </c>
      <c r="C679" s="28" t="str">
        <f>IF(May!$I41="SI",May!$H41,"")</f>
        <v/>
      </c>
      <c r="D679" s="28" t="str">
        <f>IF(May!$I41="SI",May!$L41,"")</f>
        <v/>
      </c>
      <c r="E679" s="47" t="s">
        <v>111</v>
      </c>
    </row>
    <row r="680" spans="2:5" x14ac:dyDescent="0.2">
      <c r="B680" s="28" t="str">
        <f>IF(May!$I42="SI",May!$H$38,"")</f>
        <v/>
      </c>
      <c r="C680" s="28" t="str">
        <f>IF(May!$I42="SI",May!$H42,"")</f>
        <v/>
      </c>
      <c r="D680" s="28" t="str">
        <f>IF(May!$I42="SI",May!$L42,"")</f>
        <v/>
      </c>
      <c r="E680" s="47" t="s">
        <v>111</v>
      </c>
    </row>
    <row r="681" spans="2:5" x14ac:dyDescent="0.2">
      <c r="B681" s="28" t="str">
        <f>IF(May!$I43="SI",May!$H$38,"")</f>
        <v/>
      </c>
      <c r="C681" s="28" t="str">
        <f>IF(May!$I43="SI",May!$H43,"")</f>
        <v/>
      </c>
      <c r="D681" s="28" t="str">
        <f>IF(May!$I43="SI",May!$L43,"")</f>
        <v/>
      </c>
      <c r="E681" s="47" t="s">
        <v>111</v>
      </c>
    </row>
    <row r="682" spans="2:5" x14ac:dyDescent="0.2">
      <c r="B682" s="28" t="str">
        <f>IF(May!$I44="SI",May!$H$38,"")</f>
        <v/>
      </c>
      <c r="C682" s="28" t="str">
        <f>IF(May!$I44="SI",May!$H44,"")</f>
        <v/>
      </c>
      <c r="D682" s="28" t="str">
        <f>IF(May!$I44="SI",May!$L44,"")</f>
        <v/>
      </c>
      <c r="E682" s="47" t="s">
        <v>111</v>
      </c>
    </row>
    <row r="683" spans="2:5" x14ac:dyDescent="0.2">
      <c r="B683" s="28" t="str">
        <f>IF(May!$I45="SI",May!$H$38,"")</f>
        <v/>
      </c>
      <c r="C683" s="28" t="str">
        <f>IF(May!$I45="SI",May!$H45,"")</f>
        <v/>
      </c>
      <c r="D683" s="28" t="str">
        <f>IF(May!$I45="SI",May!$L45,"")</f>
        <v/>
      </c>
      <c r="E683" s="47" t="s">
        <v>111</v>
      </c>
    </row>
    <row r="684" spans="2:5" x14ac:dyDescent="0.2">
      <c r="B684" s="28" t="str">
        <f>IF(May!$I49="SI",May!$H$48,"")</f>
        <v/>
      </c>
      <c r="C684" s="28" t="str">
        <f>IF(May!$I49="SI",May!$H49,"")</f>
        <v/>
      </c>
      <c r="D684" s="28" t="str">
        <f>IF(May!$I49="SI",May!$L49,"")</f>
        <v/>
      </c>
      <c r="E684" s="47" t="s">
        <v>111</v>
      </c>
    </row>
    <row r="685" spans="2:5" x14ac:dyDescent="0.2">
      <c r="B685" s="28" t="str">
        <f>IF(May!$I50="SI",May!$H$48,"")</f>
        <v/>
      </c>
      <c r="C685" s="28" t="str">
        <f>IF(May!$I50="SI",May!$H50,"")</f>
        <v/>
      </c>
      <c r="D685" s="28" t="str">
        <f>IF(May!$I50="SI",May!$L50,"")</f>
        <v/>
      </c>
      <c r="E685" s="47" t="s">
        <v>111</v>
      </c>
    </row>
    <row r="686" spans="2:5" x14ac:dyDescent="0.2">
      <c r="B686" s="28" t="str">
        <f>IF(May!$I51="SI",May!$H$48,"")</f>
        <v/>
      </c>
      <c r="C686" s="28" t="str">
        <f>IF(May!$I51="SI",May!$H51,"")</f>
        <v/>
      </c>
      <c r="D686" s="28" t="str">
        <f>IF(May!$I51="SI",May!$L51,"")</f>
        <v/>
      </c>
      <c r="E686" s="47" t="s">
        <v>111</v>
      </c>
    </row>
    <row r="687" spans="2:5" x14ac:dyDescent="0.2">
      <c r="B687" s="28" t="str">
        <f>IF(May!$I52="SI",May!$H$48,"")</f>
        <v/>
      </c>
      <c r="C687" s="28" t="str">
        <f>IF(May!$I52="SI",May!$H52,"")</f>
        <v/>
      </c>
      <c r="D687" s="28" t="str">
        <f>IF(May!$I52="SI",May!$L52,"")</f>
        <v/>
      </c>
      <c r="E687" s="47" t="s">
        <v>111</v>
      </c>
    </row>
    <row r="688" spans="2:5" x14ac:dyDescent="0.2">
      <c r="B688" s="28" t="str">
        <f>IF(May!$I53="SI",May!$H$48,"")</f>
        <v/>
      </c>
      <c r="C688" s="28" t="str">
        <f>IF(May!$I53="SI",May!$H53,"")</f>
        <v/>
      </c>
      <c r="D688" s="28" t="str">
        <f>IF(May!$I53="SI",May!$L53,"")</f>
        <v/>
      </c>
      <c r="E688" s="47" t="s">
        <v>111</v>
      </c>
    </row>
    <row r="689" spans="2:5" x14ac:dyDescent="0.2">
      <c r="B689" s="28" t="str">
        <f>IF(May!$I54="SI",May!$H$48,"")</f>
        <v/>
      </c>
      <c r="C689" s="28" t="str">
        <f>IF(May!$I54="SI",May!$H54,"")</f>
        <v/>
      </c>
      <c r="D689" s="28" t="str">
        <f>IF(May!$I54="SI",May!$L54,"")</f>
        <v/>
      </c>
      <c r="E689" s="47" t="s">
        <v>111</v>
      </c>
    </row>
    <row r="690" spans="2:5" x14ac:dyDescent="0.2">
      <c r="B690" s="28" t="str">
        <f>IF(May!$I58="SI",May!$H$57,"")</f>
        <v/>
      </c>
      <c r="C690" s="28" t="str">
        <f>IF(May!$I58="SI",May!$H58,"")</f>
        <v/>
      </c>
      <c r="D690" s="28" t="str">
        <f>IF(May!$I58="SI",May!$L58,"")</f>
        <v/>
      </c>
      <c r="E690" s="47" t="s">
        <v>111</v>
      </c>
    </row>
    <row r="691" spans="2:5" x14ac:dyDescent="0.2">
      <c r="B691" s="28" t="str">
        <f>IF(May!$I59="SI",May!$H$57,"")</f>
        <v/>
      </c>
      <c r="C691" s="28" t="str">
        <f>IF(May!$I59="SI",May!$H59,"")</f>
        <v/>
      </c>
      <c r="D691" s="28" t="str">
        <f>IF(May!$I59="SI",May!$L59,"")</f>
        <v/>
      </c>
      <c r="E691" s="47" t="s">
        <v>111</v>
      </c>
    </row>
    <row r="692" spans="2:5" x14ac:dyDescent="0.2">
      <c r="B692" s="28" t="str">
        <f>IF(May!$I60="SI",May!$H$57,"")</f>
        <v/>
      </c>
      <c r="C692" s="28" t="str">
        <f>IF(May!$I60="SI",May!$H60,"")</f>
        <v/>
      </c>
      <c r="D692" s="28" t="str">
        <f>IF(May!$I60="SI",May!$L60,"")</f>
        <v/>
      </c>
      <c r="E692" s="47" t="s">
        <v>111</v>
      </c>
    </row>
    <row r="693" spans="2:5" x14ac:dyDescent="0.2">
      <c r="B693" s="28" t="str">
        <f>IF(May!$I61="SI",May!$H$57,"")</f>
        <v/>
      </c>
      <c r="C693" s="28" t="str">
        <f>IF(May!$I61="SI",May!$H61,"")</f>
        <v/>
      </c>
      <c r="D693" s="28" t="str">
        <f>IF(May!$I61="SI",May!$L61,"")</f>
        <v/>
      </c>
      <c r="E693" s="47" t="s">
        <v>111</v>
      </c>
    </row>
    <row r="694" spans="2:5" x14ac:dyDescent="0.2">
      <c r="B694" s="28" t="str">
        <f>IF(May!$I62="SI",May!$H$57,"")</f>
        <v/>
      </c>
      <c r="C694" s="28" t="str">
        <f>IF(May!$I62="SI",May!$H62,"")</f>
        <v/>
      </c>
      <c r="D694" s="28" t="str">
        <f>IF(May!$I62="SI",May!$L62,"")</f>
        <v/>
      </c>
      <c r="E694" s="47" t="s">
        <v>111</v>
      </c>
    </row>
    <row r="695" spans="2:5" x14ac:dyDescent="0.2">
      <c r="B695" s="28" t="str">
        <f>IF(May!$I63="SI",May!$H$57,"")</f>
        <v/>
      </c>
      <c r="C695" s="28" t="str">
        <f>IF(May!$I63="SI",May!$H63,"")</f>
        <v/>
      </c>
      <c r="D695" s="28" t="str">
        <f>IF(May!$I63="SI",May!$L63,"")</f>
        <v/>
      </c>
      <c r="E695" s="47" t="s">
        <v>111</v>
      </c>
    </row>
    <row r="696" spans="2:5" x14ac:dyDescent="0.2">
      <c r="B696" s="28" t="str">
        <f>IF(May!$I64="SI",May!$H$57,"")</f>
        <v/>
      </c>
      <c r="C696" s="28" t="str">
        <f>IF(May!$I64="SI",May!$H64,"")</f>
        <v/>
      </c>
      <c r="D696" s="28" t="str">
        <f>IF(May!$I64="SI",May!$L64,"")</f>
        <v/>
      </c>
      <c r="E696" s="47" t="s">
        <v>111</v>
      </c>
    </row>
    <row r="697" spans="2:5" x14ac:dyDescent="0.2">
      <c r="B697" s="28" t="str">
        <f>IF(May!$I68="SI",May!$H$67,"")</f>
        <v/>
      </c>
      <c r="C697" s="28" t="str">
        <f>IF(May!$I68="SI",May!$H68,"")</f>
        <v/>
      </c>
      <c r="D697" s="28" t="str">
        <f>IF(May!$I68="SI",May!$L68,"")</f>
        <v/>
      </c>
      <c r="E697" s="47" t="s">
        <v>111</v>
      </c>
    </row>
    <row r="698" spans="2:5" x14ac:dyDescent="0.2">
      <c r="B698" s="28" t="str">
        <f>IF(May!$I69="SI",May!$H$67,"")</f>
        <v/>
      </c>
      <c r="C698" s="28" t="str">
        <f>IF(May!$I69="SI",May!$H69,"")</f>
        <v/>
      </c>
      <c r="D698" s="28" t="str">
        <f>IF(May!$I69="SI",May!$L69,"")</f>
        <v/>
      </c>
      <c r="E698" s="47" t="s">
        <v>111</v>
      </c>
    </row>
    <row r="699" spans="2:5" x14ac:dyDescent="0.2">
      <c r="B699" s="28" t="str">
        <f>IF(May!$I70="SI",May!$H$67,"")</f>
        <v/>
      </c>
      <c r="C699" s="28" t="str">
        <f>IF(May!$I70="SI",May!$H70,"")</f>
        <v/>
      </c>
      <c r="D699" s="28" t="str">
        <f>IF(May!$I70="SI",May!$L70,"")</f>
        <v/>
      </c>
      <c r="E699" s="47" t="s">
        <v>111</v>
      </c>
    </row>
    <row r="700" spans="2:5" x14ac:dyDescent="0.2">
      <c r="B700" s="28" t="str">
        <f>IF(May!$I71="SI",May!$H$67,"")</f>
        <v/>
      </c>
      <c r="C700" s="28" t="str">
        <f>IF(May!$I71="SI",May!$H71,"")</f>
        <v/>
      </c>
      <c r="D700" s="28" t="str">
        <f>IF(May!$I71="SI",May!$L71,"")</f>
        <v/>
      </c>
      <c r="E700" s="47" t="s">
        <v>111</v>
      </c>
    </row>
    <row r="701" spans="2:5" x14ac:dyDescent="0.2">
      <c r="B701" s="28" t="str">
        <f>IF(May!$I72="SI",May!$H$67,"")</f>
        <v/>
      </c>
      <c r="C701" s="28" t="str">
        <f>IF(May!$I72="SI",May!$H72,"")</f>
        <v/>
      </c>
      <c r="D701" s="28" t="str">
        <f>IF(May!$I72="SI",May!$L72,"")</f>
        <v/>
      </c>
      <c r="E701" s="47" t="s">
        <v>111</v>
      </c>
    </row>
    <row r="702" spans="2:5" x14ac:dyDescent="0.2">
      <c r="B702" s="28" t="str">
        <f>IF(May!$I73="SI",May!$H$67,"")</f>
        <v/>
      </c>
      <c r="C702" s="28" t="str">
        <f>IF(May!$I73="SI",May!$H73,"")</f>
        <v/>
      </c>
      <c r="D702" s="28" t="str">
        <f>IF(May!$I73="SI",May!$L73,"")</f>
        <v/>
      </c>
      <c r="E702" s="47" t="s">
        <v>111</v>
      </c>
    </row>
    <row r="703" spans="2:5" x14ac:dyDescent="0.2">
      <c r="B703" s="28" t="str">
        <f>IF(May!$I74="SI",May!$H$67,"")</f>
        <v/>
      </c>
      <c r="C703" s="28" t="str">
        <f>IF(May!$I74="SI",May!$H74,"")</f>
        <v/>
      </c>
      <c r="D703" s="28" t="str">
        <f>IF(May!$I74="SI",May!$L74,"")</f>
        <v/>
      </c>
      <c r="E703" s="47" t="s">
        <v>111</v>
      </c>
    </row>
    <row r="704" spans="2:5" x14ac:dyDescent="0.2">
      <c r="B704" s="28" t="str">
        <f>IF(May!$I75="SI",May!$H$67,"")</f>
        <v/>
      </c>
      <c r="C704" s="28" t="str">
        <f>IF(May!$I75="SI",May!$H75,"")</f>
        <v/>
      </c>
      <c r="D704" s="28" t="str">
        <f>IF(May!$I75="SI",May!$L75,"")</f>
        <v/>
      </c>
      <c r="E704" s="47" t="s">
        <v>111</v>
      </c>
    </row>
    <row r="705" spans="2:5" x14ac:dyDescent="0.2">
      <c r="B705" s="28" t="str">
        <f>IF(May!$I76="SI",May!$H$67,"")</f>
        <v/>
      </c>
      <c r="C705" s="28" t="str">
        <f>IF(May!$I76="SI",May!$H76,"")</f>
        <v/>
      </c>
      <c r="D705" s="28" t="str">
        <f>IF(May!$I76="SI",May!$L76,"")</f>
        <v/>
      </c>
      <c r="E705" s="47" t="s">
        <v>111</v>
      </c>
    </row>
    <row r="706" spans="2:5" x14ac:dyDescent="0.2">
      <c r="B706" s="28" t="str">
        <f>IF(May!$I77="SI",May!$H$67,"")</f>
        <v/>
      </c>
      <c r="C706" s="28" t="str">
        <f>IF(May!$I77="SI",May!$H77,"")</f>
        <v/>
      </c>
      <c r="D706" s="28" t="str">
        <f>IF(May!$I77="SI",May!$L77,"")</f>
        <v/>
      </c>
      <c r="E706" s="47" t="s">
        <v>111</v>
      </c>
    </row>
    <row r="707" spans="2:5" x14ac:dyDescent="0.2">
      <c r="B707" s="28" t="str">
        <f>IF(May!$I78="SI",May!$H$67,"")</f>
        <v/>
      </c>
      <c r="C707" s="28" t="str">
        <f>IF(May!$I78="SI",May!$H78,"")</f>
        <v/>
      </c>
      <c r="D707" s="28" t="str">
        <f>IF(May!$I78="SI",May!$L78,"")</f>
        <v/>
      </c>
      <c r="E707" s="47" t="s">
        <v>111</v>
      </c>
    </row>
    <row r="708" spans="2:5" x14ac:dyDescent="0.2">
      <c r="B708" s="28" t="str">
        <f>IF(May!$I82="SI",May!$H$81,"")</f>
        <v/>
      </c>
      <c r="C708" s="28" t="str">
        <f>IF(May!$I82="SI",May!$H82,"")</f>
        <v/>
      </c>
      <c r="D708" s="28" t="str">
        <f>IF(May!$I82="SI",May!$L82,"")</f>
        <v/>
      </c>
      <c r="E708" s="47" t="s">
        <v>111</v>
      </c>
    </row>
    <row r="709" spans="2:5" x14ac:dyDescent="0.2">
      <c r="B709" s="28" t="str">
        <f>IF(May!$I83="SI",May!$H$81,"")</f>
        <v/>
      </c>
      <c r="C709" s="28" t="str">
        <f>IF(May!$I83="SI",May!$H83,"")</f>
        <v/>
      </c>
      <c r="D709" s="28" t="str">
        <f>IF(May!$I83="SI",May!$L83,"")</f>
        <v/>
      </c>
      <c r="E709" s="47" t="s">
        <v>111</v>
      </c>
    </row>
    <row r="710" spans="2:5" x14ac:dyDescent="0.2">
      <c r="B710" s="28" t="str">
        <f>IF(May!$I84="SI",May!$H$81,"")</f>
        <v/>
      </c>
      <c r="C710" s="28" t="str">
        <f>IF(May!$I84="SI",May!$H84,"")</f>
        <v/>
      </c>
      <c r="D710" s="28" t="str">
        <f>IF(May!$I84="SI",May!$L84,"")</f>
        <v/>
      </c>
      <c r="E710" s="47" t="s">
        <v>111</v>
      </c>
    </row>
    <row r="711" spans="2:5" x14ac:dyDescent="0.2">
      <c r="B711" s="28" t="str">
        <f>IF(May!$I85="SI",May!$H$81,"")</f>
        <v/>
      </c>
      <c r="C711" s="28" t="str">
        <f>IF(May!$I85="SI",May!$H85,"")</f>
        <v/>
      </c>
      <c r="D711" s="28" t="str">
        <f>IF(May!$I85="SI",May!$L85,"")</f>
        <v/>
      </c>
      <c r="E711" s="47" t="s">
        <v>111</v>
      </c>
    </row>
    <row r="712" spans="2:5" x14ac:dyDescent="0.2">
      <c r="B712" s="28" t="str">
        <f>IF(May!$I86="SI",May!$H$81,"")</f>
        <v/>
      </c>
      <c r="C712" s="28" t="str">
        <f>IF(May!$I86="SI",May!$H86,"")</f>
        <v/>
      </c>
      <c r="D712" s="28" t="str">
        <f>IF(May!$I86="SI",May!$L86,"")</f>
        <v/>
      </c>
      <c r="E712" s="47" t="s">
        <v>111</v>
      </c>
    </row>
    <row r="713" spans="2:5" x14ac:dyDescent="0.2">
      <c r="B713" s="28" t="str">
        <f>IF(May!$I87="SI",May!$H$81,"")</f>
        <v/>
      </c>
      <c r="C713" s="28" t="str">
        <f>IF(May!$I87="SI",May!$H87,"")</f>
        <v/>
      </c>
      <c r="D713" s="28" t="str">
        <f>IF(May!$I87="SI",May!$L87,"")</f>
        <v/>
      </c>
      <c r="E713" s="47" t="s">
        <v>111</v>
      </c>
    </row>
    <row r="714" spans="2:5" x14ac:dyDescent="0.2">
      <c r="B714" s="28" t="str">
        <f>IF(May!$I91="SI",May!$H$90,"")</f>
        <v/>
      </c>
      <c r="C714" s="28" t="str">
        <f>IF(May!$I91="SI",May!$H91,"")</f>
        <v/>
      </c>
      <c r="D714" s="28" t="str">
        <f>IF(May!$I91="SI",May!$L91,"")</f>
        <v/>
      </c>
      <c r="E714" s="47" t="s">
        <v>111</v>
      </c>
    </row>
    <row r="715" spans="2:5" x14ac:dyDescent="0.2">
      <c r="B715" s="28" t="str">
        <f>IF(May!$I92="SI",May!$H$90,"")</f>
        <v/>
      </c>
      <c r="C715" s="28" t="str">
        <f>IF(May!$I92="SI",May!$H92,"")</f>
        <v/>
      </c>
      <c r="D715" s="28" t="str">
        <f>IF(May!$I92="SI",May!$L92,"")</f>
        <v/>
      </c>
      <c r="E715" s="47" t="s">
        <v>111</v>
      </c>
    </row>
    <row r="716" spans="2:5" x14ac:dyDescent="0.2">
      <c r="B716" s="28" t="str">
        <f>IF(May!$I93="SI",May!$H$90,"")</f>
        <v/>
      </c>
      <c r="C716" s="28" t="str">
        <f>IF(May!$I93="SI",May!$H93,"")</f>
        <v/>
      </c>
      <c r="D716" s="28" t="str">
        <f>IF(May!$I93="SI",May!$L93,"")</f>
        <v/>
      </c>
      <c r="E716" s="47" t="s">
        <v>111</v>
      </c>
    </row>
    <row r="717" spans="2:5" x14ac:dyDescent="0.2">
      <c r="B717" s="28" t="str">
        <f>IF(May!$I94="SI",May!$H$90,"")</f>
        <v/>
      </c>
      <c r="C717" s="28" t="str">
        <f>IF(May!$I94="SI",May!$H94,"")</f>
        <v/>
      </c>
      <c r="D717" s="28" t="str">
        <f>IF(May!$I94="SI",May!$L94,"")</f>
        <v/>
      </c>
      <c r="E717" s="47" t="s">
        <v>111</v>
      </c>
    </row>
    <row r="718" spans="2:5" x14ac:dyDescent="0.2">
      <c r="B718" s="28" t="str">
        <f>IF(May!$I95="SI",May!$H$90,"")</f>
        <v/>
      </c>
      <c r="C718" s="28" t="str">
        <f>IF(May!$I95="SI",May!$H95,"")</f>
        <v/>
      </c>
      <c r="D718" s="28" t="str">
        <f>IF(May!$I95="SI",May!$L95,"")</f>
        <v/>
      </c>
      <c r="E718" s="47" t="s">
        <v>111</v>
      </c>
    </row>
    <row r="719" spans="2:5" x14ac:dyDescent="0.2">
      <c r="B719" s="28" t="str">
        <f>IF(May!$I96="SI",May!$H$90,"")</f>
        <v/>
      </c>
      <c r="C719" s="28" t="str">
        <f>IF(May!$I96="SI",May!$H96,"")</f>
        <v/>
      </c>
      <c r="D719" s="28" t="str">
        <f>IF(May!$I96="SI",May!$L96,"")</f>
        <v/>
      </c>
      <c r="E719" s="47" t="s">
        <v>111</v>
      </c>
    </row>
    <row r="720" spans="2:5" x14ac:dyDescent="0.2">
      <c r="B720" s="28" t="str">
        <f>IF(May!$I97="SI",May!$H$90,"")</f>
        <v/>
      </c>
      <c r="C720" s="28" t="str">
        <f>IF(May!$I97="SI",May!$H97,"")</f>
        <v/>
      </c>
      <c r="D720" s="28" t="str">
        <f>IF(May!$I97="SI",May!$L97,"")</f>
        <v/>
      </c>
      <c r="E720" s="47" t="s">
        <v>111</v>
      </c>
    </row>
    <row r="721" spans="2:5" x14ac:dyDescent="0.2">
      <c r="B721" s="28" t="str">
        <f>IF(May!$I101="SI",May!$H$100,"")</f>
        <v/>
      </c>
      <c r="C721" s="28" t="str">
        <f>IF(May!$I101="SI",May!$H101,"")</f>
        <v/>
      </c>
      <c r="D721" s="28" t="str">
        <f>IF(May!$I101="SI",May!$L101,"")</f>
        <v/>
      </c>
      <c r="E721" s="47" t="s">
        <v>111</v>
      </c>
    </row>
    <row r="722" spans="2:5" x14ac:dyDescent="0.2">
      <c r="B722" s="28" t="str">
        <f>IF(May!$I102="SI",May!$H$100,"")</f>
        <v/>
      </c>
      <c r="C722" s="28" t="str">
        <f>IF(May!$I102="SI",May!$H102,"")</f>
        <v/>
      </c>
      <c r="D722" s="28" t="str">
        <f>IF(May!$I102="SI",May!$L102,"")</f>
        <v/>
      </c>
      <c r="E722" s="47" t="s">
        <v>111</v>
      </c>
    </row>
    <row r="723" spans="2:5" x14ac:dyDescent="0.2">
      <c r="B723" s="28" t="str">
        <f>IF(May!$I103="SI",May!$H$100,"")</f>
        <v/>
      </c>
      <c r="C723" s="28" t="str">
        <f>IF(May!$I103="SI",May!$H103,"")</f>
        <v/>
      </c>
      <c r="D723" s="28" t="str">
        <f>IF(May!$I103="SI",May!$L103,"")</f>
        <v/>
      </c>
      <c r="E723" s="47" t="s">
        <v>111</v>
      </c>
    </row>
    <row r="724" spans="2:5" x14ac:dyDescent="0.2">
      <c r="B724" s="28" t="str">
        <f>IF(May!$I104="SI",May!$H$100,"")</f>
        <v/>
      </c>
      <c r="C724" s="28" t="str">
        <f>IF(May!$I104="SI",May!$H104,"")</f>
        <v/>
      </c>
      <c r="D724" s="28" t="str">
        <f>IF(May!$I104="SI",May!$L104,"")</f>
        <v/>
      </c>
      <c r="E724" s="47" t="s">
        <v>111</v>
      </c>
    </row>
    <row r="725" spans="2:5" x14ac:dyDescent="0.2">
      <c r="B725" s="28" t="str">
        <f>IF(May!$I105="SI",May!$H$100,"")</f>
        <v/>
      </c>
      <c r="C725" s="28" t="str">
        <f>IF(May!$I105="SI",May!$H105,"")</f>
        <v/>
      </c>
      <c r="D725" s="28" t="str">
        <f>IF(May!$I105="SI",May!$L105,"")</f>
        <v/>
      </c>
      <c r="E725" s="47" t="s">
        <v>111</v>
      </c>
    </row>
    <row r="726" spans="2:5" x14ac:dyDescent="0.2">
      <c r="B726" s="28" t="str">
        <f>IF(May!$I106="SI",May!$H$100,"")</f>
        <v/>
      </c>
      <c r="C726" s="28" t="str">
        <f>IF(May!$I106="SI",May!$H106,"")</f>
        <v/>
      </c>
      <c r="D726" s="28" t="str">
        <f>IF(May!$I106="SI",May!$L106,"")</f>
        <v/>
      </c>
      <c r="E726" s="47" t="s">
        <v>111</v>
      </c>
    </row>
    <row r="727" spans="2:5" x14ac:dyDescent="0.2">
      <c r="B727" s="28" t="str">
        <f>IF(May!$I107="SI",May!$H$100,"")</f>
        <v/>
      </c>
      <c r="C727" s="28" t="str">
        <f>IF(May!$I107="SI",May!$H107,"")</f>
        <v/>
      </c>
      <c r="D727" s="28" t="str">
        <f>IF(May!$I107="SI",May!$L107,"")</f>
        <v/>
      </c>
      <c r="E727" s="47" t="s">
        <v>111</v>
      </c>
    </row>
    <row r="728" spans="2:5" x14ac:dyDescent="0.2">
      <c r="B728" s="29"/>
      <c r="C728" s="29"/>
      <c r="D728" s="29"/>
      <c r="E728" s="47" t="s">
        <v>111</v>
      </c>
    </row>
    <row r="729" spans="2:5" x14ac:dyDescent="0.2">
      <c r="B729" s="28" t="str">
        <f>IF(Jun!$C13="SI",Jun!$B$12,"")</f>
        <v/>
      </c>
      <c r="C729" s="28" t="str">
        <f>IF(Jun!$C13="SI",Jun!$B13,"")</f>
        <v/>
      </c>
      <c r="D729" s="28" t="str">
        <f>IF(Jun!$C13="SI",Jun!$F13,"")</f>
        <v/>
      </c>
      <c r="E729" s="47" t="s">
        <v>112</v>
      </c>
    </row>
    <row r="730" spans="2:5" x14ac:dyDescent="0.2">
      <c r="B730" s="28" t="str">
        <f>IF(Jun!$C14="SI",Jun!$B$12,"")</f>
        <v/>
      </c>
      <c r="C730" s="28" t="str">
        <f>IF(Jun!$C14="SI",Jun!$B14,"")</f>
        <v/>
      </c>
      <c r="D730" s="28" t="str">
        <f>IF(Jun!$C14="SI",Jun!$F14,"")</f>
        <v/>
      </c>
      <c r="E730" s="47" t="s">
        <v>112</v>
      </c>
    </row>
    <row r="731" spans="2:5" x14ac:dyDescent="0.2">
      <c r="B731" s="28" t="str">
        <f>IF(Jun!$C15="SI",Jun!$B$12,"")</f>
        <v/>
      </c>
      <c r="C731" s="28" t="str">
        <f>IF(Jun!$C15="SI",Jun!$B15,"")</f>
        <v/>
      </c>
      <c r="D731" s="28" t="str">
        <f>IF(Jun!$C15="SI",Jun!$F15,"")</f>
        <v/>
      </c>
      <c r="E731" s="47" t="s">
        <v>112</v>
      </c>
    </row>
    <row r="732" spans="2:5" x14ac:dyDescent="0.2">
      <c r="B732" s="28" t="str">
        <f>IF(Jun!$C16="SI",Jun!$B$12,"")</f>
        <v/>
      </c>
      <c r="C732" s="28" t="str">
        <f>IF(Jun!$C16="SI",Jun!$B16,"")</f>
        <v/>
      </c>
      <c r="D732" s="28" t="str">
        <f>IF(Jun!$C16="SI",Jun!$F16,"")</f>
        <v/>
      </c>
      <c r="E732" s="47" t="s">
        <v>112</v>
      </c>
    </row>
    <row r="733" spans="2:5" x14ac:dyDescent="0.2">
      <c r="B733" s="28" t="str">
        <f>IF(Jun!$C17="SI",Jun!$B$12,"")</f>
        <v/>
      </c>
      <c r="C733" s="28" t="str">
        <f>IF(Jun!$C17="SI",Jun!$B17,"")</f>
        <v/>
      </c>
      <c r="D733" s="28" t="str">
        <f>IF(Jun!$C17="SI",Jun!$F17,"")</f>
        <v/>
      </c>
      <c r="E733" s="47" t="s">
        <v>112</v>
      </c>
    </row>
    <row r="734" spans="2:5" x14ac:dyDescent="0.2">
      <c r="B734" s="28" t="str">
        <f>IF(Jun!$C18="SI",Jun!$B$12,"")</f>
        <v/>
      </c>
      <c r="C734" s="28" t="str">
        <f>IF(Jun!$C18="SI",Jun!$B18,"")</f>
        <v/>
      </c>
      <c r="D734" s="28" t="str">
        <f>IF(Jun!$C18="SI",Jun!$F18,"")</f>
        <v/>
      </c>
      <c r="E734" s="47" t="s">
        <v>112</v>
      </c>
    </row>
    <row r="735" spans="2:5" x14ac:dyDescent="0.2">
      <c r="B735" s="28" t="str">
        <f>IF(Jun!$C19="SI",Jun!$B$12,"")</f>
        <v/>
      </c>
      <c r="C735" s="28" t="str">
        <f>IF(Jun!$C19="SI",Jun!$B19,"")</f>
        <v/>
      </c>
      <c r="D735" s="28" t="str">
        <f>IF(Jun!$C19="SI",Jun!$F19,"")</f>
        <v/>
      </c>
      <c r="E735" s="47" t="s">
        <v>112</v>
      </c>
    </row>
    <row r="736" spans="2:5" x14ac:dyDescent="0.2">
      <c r="B736" s="28" t="str">
        <f>IF(Jun!$C20="SI",Jun!$B$12,"")</f>
        <v/>
      </c>
      <c r="C736" s="28" t="str">
        <f>IF(Jun!$C20="SI",Jun!$B20,"")</f>
        <v/>
      </c>
      <c r="D736" s="28" t="str">
        <f>IF(Jun!$C20="SI",Jun!$F20,"")</f>
        <v/>
      </c>
      <c r="E736" s="47" t="s">
        <v>112</v>
      </c>
    </row>
    <row r="737" spans="2:5" x14ac:dyDescent="0.2">
      <c r="B737" s="28" t="str">
        <f>IF(Jun!$C21="SI",Jun!$B$12,"")</f>
        <v/>
      </c>
      <c r="C737" s="28" t="str">
        <f>IF(Jun!$C21="SI",Jun!$B21,"")</f>
        <v/>
      </c>
      <c r="D737" s="28" t="str">
        <f>IF(Jun!$C21="SI",Jun!$F21,"")</f>
        <v/>
      </c>
      <c r="E737" s="47" t="s">
        <v>112</v>
      </c>
    </row>
    <row r="738" spans="2:5" x14ac:dyDescent="0.2">
      <c r="B738" s="28" t="str">
        <f>IF(Jun!$C22="SI",Jun!$B$12,"")</f>
        <v/>
      </c>
      <c r="C738" s="28" t="str">
        <f>IF(Jun!$C22="SI",Jun!$B22,"")</f>
        <v/>
      </c>
      <c r="D738" s="28" t="str">
        <f>IF(Jun!$C22="SI",Jun!$F22,"")</f>
        <v/>
      </c>
      <c r="E738" s="47" t="s">
        <v>112</v>
      </c>
    </row>
    <row r="739" spans="2:5" x14ac:dyDescent="0.2">
      <c r="B739" s="28" t="str">
        <f>IF(Jun!$C23="SI",Jun!$B$12,"")</f>
        <v/>
      </c>
      <c r="C739" s="28" t="str">
        <f>IF(Jun!$C23="SI",Jun!$B23,"")</f>
        <v/>
      </c>
      <c r="D739" s="28" t="str">
        <f>IF(Jun!$C23="SI",Jun!$F23,"")</f>
        <v/>
      </c>
      <c r="E739" s="47" t="s">
        <v>112</v>
      </c>
    </row>
    <row r="740" spans="2:5" x14ac:dyDescent="0.2">
      <c r="B740" s="28" t="str">
        <f>IF(Jun!$C24="SI",Jun!$B$12,"")</f>
        <v/>
      </c>
      <c r="C740" s="28" t="str">
        <f>IF(Jun!$C24="SI",Jun!$B24,"")</f>
        <v/>
      </c>
      <c r="D740" s="28" t="str">
        <f>IF(Jun!$C24="SI",Jun!$F24,"")</f>
        <v/>
      </c>
      <c r="E740" s="47" t="s">
        <v>112</v>
      </c>
    </row>
    <row r="741" spans="2:5" x14ac:dyDescent="0.2">
      <c r="B741" s="28" t="str">
        <f>IF(Jun!$C28="SI",Jun!$B$27,"")</f>
        <v/>
      </c>
      <c r="C741" s="28" t="str">
        <f>IF(Jun!$C28="SI",Jun!$B28,"")</f>
        <v/>
      </c>
      <c r="D741" s="28" t="str">
        <f>IF(Jun!$C28="SI",Jun!$F28,"")</f>
        <v/>
      </c>
      <c r="E741" s="47" t="s">
        <v>112</v>
      </c>
    </row>
    <row r="742" spans="2:5" x14ac:dyDescent="0.2">
      <c r="B742" s="28" t="str">
        <f>IF(Jun!$C29="SI",Jun!$B$27,"")</f>
        <v/>
      </c>
      <c r="C742" s="28" t="str">
        <f>IF(Jun!$C29="SI",Jun!$B29,"")</f>
        <v/>
      </c>
      <c r="D742" s="28" t="str">
        <f>IF(Jun!$C29="SI",Jun!$F29,"")</f>
        <v/>
      </c>
      <c r="E742" s="47" t="s">
        <v>112</v>
      </c>
    </row>
    <row r="743" spans="2:5" x14ac:dyDescent="0.2">
      <c r="B743" s="28" t="str">
        <f>IF(Jun!$C30="SI",Jun!$B$27,"")</f>
        <v/>
      </c>
      <c r="C743" s="28" t="str">
        <f>IF(Jun!$C30="SI",Jun!$B30,"")</f>
        <v/>
      </c>
      <c r="D743" s="28" t="str">
        <f>IF(Jun!$C30="SI",Jun!$F30,"")</f>
        <v/>
      </c>
      <c r="E743" s="47" t="s">
        <v>112</v>
      </c>
    </row>
    <row r="744" spans="2:5" x14ac:dyDescent="0.2">
      <c r="B744" s="28" t="str">
        <f>IF(Jun!$C31="SI",Jun!$B$27,"")</f>
        <v/>
      </c>
      <c r="C744" s="28" t="str">
        <f>IF(Jun!$C31="SI",Jun!$B31,"")</f>
        <v/>
      </c>
      <c r="D744" s="28" t="str">
        <f>IF(Jun!$C31="SI",Jun!$F31,"")</f>
        <v/>
      </c>
      <c r="E744" s="47" t="s">
        <v>112</v>
      </c>
    </row>
    <row r="745" spans="2:5" x14ac:dyDescent="0.2">
      <c r="B745" s="28" t="str">
        <f>IF(Jun!$C32="SI",Jun!$B$27,"")</f>
        <v/>
      </c>
      <c r="C745" s="28" t="str">
        <f>IF(Jun!$C32="SI",Jun!$B32,"")</f>
        <v/>
      </c>
      <c r="D745" s="28" t="str">
        <f>IF(Jun!$C32="SI",Jun!$F32,"")</f>
        <v/>
      </c>
      <c r="E745" s="47" t="s">
        <v>112</v>
      </c>
    </row>
    <row r="746" spans="2:5" x14ac:dyDescent="0.2">
      <c r="B746" s="28" t="str">
        <f>IF(Jun!$C33="SI",Jun!$B$27,"")</f>
        <v/>
      </c>
      <c r="C746" s="28" t="str">
        <f>IF(Jun!$C33="SI",Jun!$B33,"")</f>
        <v/>
      </c>
      <c r="D746" s="28" t="str">
        <f>IF(Jun!$C33="SI",Jun!$F33,"")</f>
        <v/>
      </c>
      <c r="E746" s="47" t="s">
        <v>112</v>
      </c>
    </row>
    <row r="747" spans="2:5" x14ac:dyDescent="0.2">
      <c r="B747" s="28" t="str">
        <f>IF(Jun!$C34="SI",Jun!$B$27,"")</f>
        <v/>
      </c>
      <c r="C747" s="28" t="str">
        <f>IF(Jun!$C34="SI",Jun!$B34,"")</f>
        <v/>
      </c>
      <c r="D747" s="28" t="str">
        <f>IF(Jun!$C34="SI",Jun!$F34,"")</f>
        <v/>
      </c>
      <c r="E747" s="47" t="s">
        <v>112</v>
      </c>
    </row>
    <row r="748" spans="2:5" x14ac:dyDescent="0.2">
      <c r="B748" s="28" t="str">
        <f>IF(Jun!$C35="SI",Jun!$B$27,"")</f>
        <v/>
      </c>
      <c r="C748" s="28" t="str">
        <f>IF(Jun!$C35="SI",Jun!$B35,"")</f>
        <v/>
      </c>
      <c r="D748" s="28" t="str">
        <f>IF(Jun!$C35="SI",Jun!$F35,"")</f>
        <v/>
      </c>
      <c r="E748" s="47" t="s">
        <v>112</v>
      </c>
    </row>
    <row r="749" spans="2:5" x14ac:dyDescent="0.2">
      <c r="B749" s="28" t="str">
        <f>IF(Jun!$C39="SI",Jun!$B$38,"")</f>
        <v/>
      </c>
      <c r="C749" s="28" t="str">
        <f>IF(Jun!$C39="SI",Jun!$B39,"")</f>
        <v/>
      </c>
      <c r="D749" s="28" t="str">
        <f>IF(Jun!$C39="SI",Jun!$F39,"")</f>
        <v/>
      </c>
      <c r="E749" s="47" t="s">
        <v>112</v>
      </c>
    </row>
    <row r="750" spans="2:5" x14ac:dyDescent="0.2">
      <c r="B750" s="28" t="str">
        <f>IF(Jun!$C40="SI",Jun!$B$38,"")</f>
        <v/>
      </c>
      <c r="C750" s="28" t="str">
        <f>IF(Jun!$C40="SI",Jun!$B40,"")</f>
        <v/>
      </c>
      <c r="D750" s="28" t="str">
        <f>IF(Jun!$C40="SI",Jun!$F40,"")</f>
        <v/>
      </c>
      <c r="E750" s="47" t="s">
        <v>112</v>
      </c>
    </row>
    <row r="751" spans="2:5" x14ac:dyDescent="0.2">
      <c r="B751" s="28" t="str">
        <f>IF(Jun!$C41="SI",Jun!$B$38,"")</f>
        <v/>
      </c>
      <c r="C751" s="28" t="str">
        <f>IF(Jun!$C41="SI",Jun!$B41,"")</f>
        <v/>
      </c>
      <c r="D751" s="28" t="str">
        <f>IF(Jun!$C41="SI",Jun!$F41,"")</f>
        <v/>
      </c>
      <c r="E751" s="47" t="s">
        <v>112</v>
      </c>
    </row>
    <row r="752" spans="2:5" x14ac:dyDescent="0.2">
      <c r="B752" s="28" t="str">
        <f>IF(Jun!$C42="SI",Jun!$B$38,"")</f>
        <v/>
      </c>
      <c r="C752" s="28" t="str">
        <f>IF(Jun!$C42="SI",Jun!$B42,"")</f>
        <v/>
      </c>
      <c r="D752" s="28" t="str">
        <f>IF(Jun!$C42="SI",Jun!$F42,"")</f>
        <v/>
      </c>
      <c r="E752" s="47" t="s">
        <v>112</v>
      </c>
    </row>
    <row r="753" spans="2:5" x14ac:dyDescent="0.2">
      <c r="B753" s="28" t="str">
        <f>IF(Jun!$C43="SI",Jun!$B$38,"")</f>
        <v/>
      </c>
      <c r="C753" s="28" t="str">
        <f>IF(Jun!$C43="SI",Jun!$B43,"")</f>
        <v/>
      </c>
      <c r="D753" s="28" t="str">
        <f>IF(Jun!$C43="SI",Jun!$F43,"")</f>
        <v/>
      </c>
      <c r="E753" s="47" t="s">
        <v>112</v>
      </c>
    </row>
    <row r="754" spans="2:5" x14ac:dyDescent="0.2">
      <c r="B754" s="28" t="str">
        <f>IF(Jun!$C44="SI",Jun!$B$38,"")</f>
        <v/>
      </c>
      <c r="C754" s="28" t="str">
        <f>IF(Jun!$C44="SI",Jun!$B44,"")</f>
        <v/>
      </c>
      <c r="D754" s="28" t="str">
        <f>IF(Jun!$C44="SI",Jun!$F44,"")</f>
        <v/>
      </c>
      <c r="E754" s="47" t="s">
        <v>112</v>
      </c>
    </row>
    <row r="755" spans="2:5" x14ac:dyDescent="0.2">
      <c r="B755" s="28" t="str">
        <f>IF(Jun!$C45="SI",Jun!$B$38,"")</f>
        <v/>
      </c>
      <c r="C755" s="28" t="str">
        <f>IF(Jun!$C45="SI",Jun!$B45,"")</f>
        <v/>
      </c>
      <c r="D755" s="28" t="str">
        <f>IF(Jun!$C45="SI",Jun!$F45,"")</f>
        <v/>
      </c>
      <c r="E755" s="47" t="s">
        <v>112</v>
      </c>
    </row>
    <row r="756" spans="2:5" x14ac:dyDescent="0.2">
      <c r="B756" s="28" t="str">
        <f>IF(Jun!$C49="SI",Jun!$B$48,"")</f>
        <v/>
      </c>
      <c r="C756" s="28" t="str">
        <f>IF(Jun!$C49="SI",Jun!$B49,"")</f>
        <v/>
      </c>
      <c r="D756" s="28" t="str">
        <f>IF(Jun!$C49="SI",Jun!$F49,"")</f>
        <v/>
      </c>
      <c r="E756" s="47" t="s">
        <v>112</v>
      </c>
    </row>
    <row r="757" spans="2:5" x14ac:dyDescent="0.2">
      <c r="B757" s="28" t="str">
        <f>IF(Jun!$C50="SI",Jun!$B$48,"")</f>
        <v/>
      </c>
      <c r="C757" s="28" t="str">
        <f>IF(Jun!$C50="SI",Jun!$B50,"")</f>
        <v/>
      </c>
      <c r="D757" s="28" t="str">
        <f>IF(Jun!$C50="SI",Jun!$F50,"")</f>
        <v/>
      </c>
      <c r="E757" s="47" t="s">
        <v>112</v>
      </c>
    </row>
    <row r="758" spans="2:5" x14ac:dyDescent="0.2">
      <c r="B758" s="28" t="str">
        <f>IF(Jun!$C51="SI",Jun!$B$48,"")</f>
        <v/>
      </c>
      <c r="C758" s="28" t="str">
        <f>IF(Jun!$C51="SI",Jun!$B51,"")</f>
        <v/>
      </c>
      <c r="D758" s="28" t="str">
        <f>IF(Jun!$C51="SI",Jun!$F51,"")</f>
        <v/>
      </c>
      <c r="E758" s="47" t="s">
        <v>112</v>
      </c>
    </row>
    <row r="759" spans="2:5" x14ac:dyDescent="0.2">
      <c r="B759" s="28" t="str">
        <f>IF(Jun!$C52="SI",Jun!$B$48,"")</f>
        <v/>
      </c>
      <c r="C759" s="28" t="str">
        <f>IF(Jun!$C52="SI",Jun!$B52,"")</f>
        <v/>
      </c>
      <c r="D759" s="28" t="str">
        <f>IF(Jun!$C52="SI",Jun!$F52,"")</f>
        <v/>
      </c>
      <c r="E759" s="47" t="s">
        <v>112</v>
      </c>
    </row>
    <row r="760" spans="2:5" x14ac:dyDescent="0.2">
      <c r="B760" s="28" t="str">
        <f>IF(Jun!$C53="SI",Jun!$B$48,"")</f>
        <v/>
      </c>
      <c r="C760" s="28" t="str">
        <f>IF(Jun!$C53="SI",Jun!$B53,"")</f>
        <v/>
      </c>
      <c r="D760" s="28" t="str">
        <f>IF(Jun!$C53="SI",Jun!$F53,"")</f>
        <v/>
      </c>
      <c r="E760" s="47" t="s">
        <v>112</v>
      </c>
    </row>
    <row r="761" spans="2:5" x14ac:dyDescent="0.2">
      <c r="B761" s="28" t="str">
        <f>IF(Jun!$C54="SI",Jun!$B$48,"")</f>
        <v/>
      </c>
      <c r="C761" s="28" t="str">
        <f>IF(Jun!$C54="SI",Jun!$B54,"")</f>
        <v/>
      </c>
      <c r="D761" s="28" t="str">
        <f>IF(Jun!$C54="SI",Jun!$F54,"")</f>
        <v/>
      </c>
      <c r="E761" s="47" t="s">
        <v>112</v>
      </c>
    </row>
    <row r="762" spans="2:5" x14ac:dyDescent="0.2">
      <c r="B762" s="28" t="str">
        <f>IF(Jun!$C58="SI",Jun!$B$57,"")</f>
        <v/>
      </c>
      <c r="C762" s="28" t="str">
        <f>IF(Jun!$C58="SI",Jun!$B58,"")</f>
        <v/>
      </c>
      <c r="D762" s="28" t="str">
        <f>IF(Jun!$C58="SI",Jun!$F58,"")</f>
        <v/>
      </c>
      <c r="E762" s="47" t="s">
        <v>112</v>
      </c>
    </row>
    <row r="763" spans="2:5" x14ac:dyDescent="0.2">
      <c r="B763" s="28" t="str">
        <f>IF(Jun!$C59="SI",Jun!$B$57,"")</f>
        <v/>
      </c>
      <c r="C763" s="28" t="str">
        <f>IF(Jun!$C59="SI",Jun!$B59,"")</f>
        <v/>
      </c>
      <c r="D763" s="28" t="str">
        <f>IF(Jun!$C59="SI",Jun!$F59,"")</f>
        <v/>
      </c>
      <c r="E763" s="47" t="s">
        <v>112</v>
      </c>
    </row>
    <row r="764" spans="2:5" x14ac:dyDescent="0.2">
      <c r="B764" s="28" t="str">
        <f>IF(Jun!$C60="SI",Jun!$B$57,"")</f>
        <v/>
      </c>
      <c r="C764" s="28" t="str">
        <f>IF(Jun!$C60="SI",Jun!$B60,"")</f>
        <v/>
      </c>
      <c r="D764" s="28" t="str">
        <f>IF(Jun!$C60="SI",Jun!$F60,"")</f>
        <v/>
      </c>
      <c r="E764" s="47" t="s">
        <v>112</v>
      </c>
    </row>
    <row r="765" spans="2:5" x14ac:dyDescent="0.2">
      <c r="B765" s="28" t="str">
        <f>IF(Jun!$C61="SI",Jun!$B$57,"")</f>
        <v/>
      </c>
      <c r="C765" s="28" t="str">
        <f>IF(Jun!$C61="SI",Jun!$B61,"")</f>
        <v/>
      </c>
      <c r="D765" s="28" t="str">
        <f>IF(Jun!$C61="SI",Jun!$F61,"")</f>
        <v/>
      </c>
      <c r="E765" s="47" t="s">
        <v>112</v>
      </c>
    </row>
    <row r="766" spans="2:5" x14ac:dyDescent="0.2">
      <c r="B766" s="28" t="str">
        <f>IF(Jun!$C62="SI",Jun!$B$57,"")</f>
        <v/>
      </c>
      <c r="C766" s="28" t="str">
        <f>IF(Jun!$C62="SI",Jun!$B62,"")</f>
        <v/>
      </c>
      <c r="D766" s="28" t="str">
        <f>IF(Jun!$C62="SI",Jun!$F62,"")</f>
        <v/>
      </c>
      <c r="E766" s="47" t="s">
        <v>112</v>
      </c>
    </row>
    <row r="767" spans="2:5" x14ac:dyDescent="0.2">
      <c r="B767" s="28" t="str">
        <f>IF(Jun!$C63="SI",Jun!$B$57,"")</f>
        <v/>
      </c>
      <c r="C767" s="28" t="str">
        <f>IF(Jun!$C63="SI",Jun!$B63,"")</f>
        <v/>
      </c>
      <c r="D767" s="28" t="str">
        <f>IF(Jun!$C63="SI",Jun!$F63,"")</f>
        <v/>
      </c>
      <c r="E767" s="47" t="s">
        <v>112</v>
      </c>
    </row>
    <row r="768" spans="2:5" x14ac:dyDescent="0.2">
      <c r="B768" s="28" t="str">
        <f>IF(Jun!$C64="SI",Jun!$B$57,"")</f>
        <v/>
      </c>
      <c r="C768" s="28" t="str">
        <f>IF(Jun!$C64="SI",Jun!$B64,"")</f>
        <v/>
      </c>
      <c r="D768" s="28" t="str">
        <f>IF(Jun!$C64="SI",Jun!$F64,"")</f>
        <v/>
      </c>
      <c r="E768" s="47" t="s">
        <v>112</v>
      </c>
    </row>
    <row r="769" spans="2:5" x14ac:dyDescent="0.2">
      <c r="B769" s="28" t="str">
        <f>IF(Jun!$C68="SI",Jun!$B$67,"")</f>
        <v/>
      </c>
      <c r="C769" s="28" t="str">
        <f>IF(Jun!$C68="SI",Jun!$B68,"")</f>
        <v/>
      </c>
      <c r="D769" s="28" t="str">
        <f>IF(Jun!$C68="SI",Jun!$F68,"")</f>
        <v/>
      </c>
      <c r="E769" s="47" t="s">
        <v>112</v>
      </c>
    </row>
    <row r="770" spans="2:5" x14ac:dyDescent="0.2">
      <c r="B770" s="28" t="str">
        <f>IF(Jun!$C69="SI",Jun!$B$67,"")</f>
        <v/>
      </c>
      <c r="C770" s="28" t="str">
        <f>IF(Jun!$C69="SI",Jun!$B69,"")</f>
        <v/>
      </c>
      <c r="D770" s="28" t="str">
        <f>IF(Jun!$C69="SI",Jun!$F69,"")</f>
        <v/>
      </c>
      <c r="E770" s="47" t="s">
        <v>112</v>
      </c>
    </row>
    <row r="771" spans="2:5" x14ac:dyDescent="0.2">
      <c r="B771" s="28" t="str">
        <f>IF(Jun!$C70="SI",Jun!$B$67,"")</f>
        <v/>
      </c>
      <c r="C771" s="28" t="str">
        <f>IF(Jun!$C70="SI",Jun!$B70,"")</f>
        <v/>
      </c>
      <c r="D771" s="28" t="str">
        <f>IF(Jun!$C70="SI",Jun!$F70,"")</f>
        <v/>
      </c>
      <c r="E771" s="47" t="s">
        <v>112</v>
      </c>
    </row>
    <row r="772" spans="2:5" x14ac:dyDescent="0.2">
      <c r="B772" s="28" t="str">
        <f>IF(Jun!$C71="SI",Jun!$B$67,"")</f>
        <v/>
      </c>
      <c r="C772" s="28" t="str">
        <f>IF(Jun!$C71="SI",Jun!$B71,"")</f>
        <v/>
      </c>
      <c r="D772" s="28" t="str">
        <f>IF(Jun!$C71="SI",Jun!$F71,"")</f>
        <v/>
      </c>
      <c r="E772" s="47" t="s">
        <v>112</v>
      </c>
    </row>
    <row r="773" spans="2:5" x14ac:dyDescent="0.2">
      <c r="B773" s="28" t="str">
        <f>IF(Jun!$C72="SI",Jun!$B$67,"")</f>
        <v/>
      </c>
      <c r="C773" s="28" t="str">
        <f>IF(Jun!$C72="SI",Jun!$B72,"")</f>
        <v/>
      </c>
      <c r="D773" s="28" t="str">
        <f>IF(Jun!$C72="SI",Jun!$F72,"")</f>
        <v/>
      </c>
      <c r="E773" s="47" t="s">
        <v>112</v>
      </c>
    </row>
    <row r="774" spans="2:5" x14ac:dyDescent="0.2">
      <c r="B774" s="28" t="str">
        <f>IF(Jun!$C73="SI",Jun!$B$67,"")</f>
        <v/>
      </c>
      <c r="C774" s="28" t="str">
        <f>IF(Jun!$C73="SI",Jun!$B73,"")</f>
        <v/>
      </c>
      <c r="D774" s="28" t="str">
        <f>IF(Jun!$C73="SI",Jun!$F73,"")</f>
        <v/>
      </c>
      <c r="E774" s="47" t="s">
        <v>112</v>
      </c>
    </row>
    <row r="775" spans="2:5" x14ac:dyDescent="0.2">
      <c r="B775" s="28" t="str">
        <f>IF(Jun!$C74="SI",Jun!$B$67,"")</f>
        <v/>
      </c>
      <c r="C775" s="28" t="str">
        <f>IF(Jun!$C74="SI",Jun!$B74,"")</f>
        <v/>
      </c>
      <c r="D775" s="28" t="str">
        <f>IF(Jun!$C74="SI",Jun!$F74,"")</f>
        <v/>
      </c>
      <c r="E775" s="47" t="s">
        <v>112</v>
      </c>
    </row>
    <row r="776" spans="2:5" x14ac:dyDescent="0.2">
      <c r="B776" s="28" t="str">
        <f>IF(Jun!$C75="SI",Jun!$B$67,"")</f>
        <v/>
      </c>
      <c r="C776" s="28" t="str">
        <f>IF(Jun!$C75="SI",Jun!$B75,"")</f>
        <v/>
      </c>
      <c r="D776" s="28" t="str">
        <f>IF(Jun!$C75="SI",Jun!$F75,"")</f>
        <v/>
      </c>
      <c r="E776" s="47" t="s">
        <v>112</v>
      </c>
    </row>
    <row r="777" spans="2:5" x14ac:dyDescent="0.2">
      <c r="B777" s="28" t="str">
        <f>IF(Jun!$C76="SI",Jun!$B$67,"")</f>
        <v/>
      </c>
      <c r="C777" s="28" t="str">
        <f>IF(Jun!$C76="SI",Jun!$B76,"")</f>
        <v/>
      </c>
      <c r="D777" s="28" t="str">
        <f>IF(Jun!$C76="SI",Jun!$F76,"")</f>
        <v/>
      </c>
      <c r="E777" s="47" t="s">
        <v>112</v>
      </c>
    </row>
    <row r="778" spans="2:5" x14ac:dyDescent="0.2">
      <c r="B778" s="28" t="str">
        <f>IF(Jun!$C77="SI",Jun!$B$67,"")</f>
        <v/>
      </c>
      <c r="C778" s="28" t="str">
        <f>IF(Jun!$C77="SI",Jun!$B77,"")</f>
        <v/>
      </c>
      <c r="D778" s="28" t="str">
        <f>IF(Jun!$C77="SI",Jun!$F77,"")</f>
        <v/>
      </c>
      <c r="E778" s="47" t="s">
        <v>112</v>
      </c>
    </row>
    <row r="779" spans="2:5" x14ac:dyDescent="0.2">
      <c r="B779" s="28" t="str">
        <f>IF(Jun!$C78="SI",Jun!$B$67,"")</f>
        <v/>
      </c>
      <c r="C779" s="28" t="str">
        <f>IF(Jun!$C78="SI",Jun!$B78,"")</f>
        <v/>
      </c>
      <c r="D779" s="28" t="str">
        <f>IF(Jun!$C78="SI",Jun!$F78,"")</f>
        <v/>
      </c>
      <c r="E779" s="47" t="s">
        <v>112</v>
      </c>
    </row>
    <row r="780" spans="2:5" x14ac:dyDescent="0.2">
      <c r="B780" s="28" t="str">
        <f>IF(Jun!$C82="SI",Jun!$B$81,"")</f>
        <v/>
      </c>
      <c r="C780" s="28" t="str">
        <f>IF(Jun!$C82="SI",Jun!$B82,"")</f>
        <v/>
      </c>
      <c r="D780" s="28" t="str">
        <f>IF(Jun!$C82="SI",Jun!$F82,"")</f>
        <v/>
      </c>
      <c r="E780" s="47" t="s">
        <v>112</v>
      </c>
    </row>
    <row r="781" spans="2:5" x14ac:dyDescent="0.2">
      <c r="B781" s="28" t="str">
        <f>IF(Jun!$C83="SI",Jun!$B$81,"")</f>
        <v/>
      </c>
      <c r="C781" s="28" t="str">
        <f>IF(Jun!$C83="SI",Jun!$B83,"")</f>
        <v/>
      </c>
      <c r="D781" s="28" t="str">
        <f>IF(Jun!$C83="SI",Jun!$F83,"")</f>
        <v/>
      </c>
      <c r="E781" s="47" t="s">
        <v>112</v>
      </c>
    </row>
    <row r="782" spans="2:5" x14ac:dyDescent="0.2">
      <c r="B782" s="28" t="str">
        <f>IF(Jun!$C84="SI",Jun!$B$81,"")</f>
        <v/>
      </c>
      <c r="C782" s="28" t="str">
        <f>IF(Jun!$C84="SI",Jun!$B84,"")</f>
        <v/>
      </c>
      <c r="D782" s="28" t="str">
        <f>IF(Jun!$C84="SI",Jun!$F84,"")</f>
        <v/>
      </c>
      <c r="E782" s="47" t="s">
        <v>112</v>
      </c>
    </row>
    <row r="783" spans="2:5" x14ac:dyDescent="0.2">
      <c r="B783" s="28" t="str">
        <f>IF(Jun!$C85="SI",Jun!$B$81,"")</f>
        <v/>
      </c>
      <c r="C783" s="28" t="str">
        <f>IF(Jun!$C85="SI",Jun!$B85,"")</f>
        <v/>
      </c>
      <c r="D783" s="28" t="str">
        <f>IF(Jun!$C85="SI",Jun!$F85,"")</f>
        <v/>
      </c>
      <c r="E783" s="47" t="s">
        <v>112</v>
      </c>
    </row>
    <row r="784" spans="2:5" x14ac:dyDescent="0.2">
      <c r="B784" s="28" t="str">
        <f>IF(Jun!$C86="SI",Jun!$B$81,"")</f>
        <v/>
      </c>
      <c r="C784" s="28" t="str">
        <f>IF(Jun!$C86="SI",Jun!$B86,"")</f>
        <v/>
      </c>
      <c r="D784" s="28" t="str">
        <f>IF(Jun!$C86="SI",Jun!$F86,"")</f>
        <v/>
      </c>
      <c r="E784" s="47" t="s">
        <v>112</v>
      </c>
    </row>
    <row r="785" spans="2:5" x14ac:dyDescent="0.2">
      <c r="B785" s="28" t="str">
        <f>IF(Jun!$C87="SI",Jun!$B$81,"")</f>
        <v/>
      </c>
      <c r="C785" s="28" t="str">
        <f>IF(Jun!$C87="SI",Jun!$B87,"")</f>
        <v/>
      </c>
      <c r="D785" s="28" t="str">
        <f>IF(Jun!$C87="SI",Jun!$F87,"")</f>
        <v/>
      </c>
      <c r="E785" s="47" t="s">
        <v>112</v>
      </c>
    </row>
    <row r="786" spans="2:5" x14ac:dyDescent="0.2">
      <c r="B786" s="28" t="str">
        <f>IF(Jun!$C91="SI",Jun!$B$90,"")</f>
        <v/>
      </c>
      <c r="C786" s="28" t="str">
        <f>IF(Jun!$C91="SI",Jun!$B91,"")</f>
        <v/>
      </c>
      <c r="D786" s="28" t="str">
        <f>IF(Jun!$C91="SI",Jun!$F91,"")</f>
        <v/>
      </c>
      <c r="E786" s="47" t="s">
        <v>112</v>
      </c>
    </row>
    <row r="787" spans="2:5" x14ac:dyDescent="0.2">
      <c r="B787" s="28" t="str">
        <f>IF(Jun!$C92="SI",Jun!$B$90,"")</f>
        <v/>
      </c>
      <c r="C787" s="28" t="str">
        <f>IF(Jun!$C92="SI",Jun!$B92,"")</f>
        <v/>
      </c>
      <c r="D787" s="28" t="str">
        <f>IF(Jun!$C92="SI",Jun!$F92,"")</f>
        <v/>
      </c>
      <c r="E787" s="47" t="s">
        <v>112</v>
      </c>
    </row>
    <row r="788" spans="2:5" x14ac:dyDescent="0.2">
      <c r="B788" s="28" t="str">
        <f>IF(Jun!$C93="SI",Jun!$B$90,"")</f>
        <v/>
      </c>
      <c r="C788" s="28" t="str">
        <f>IF(Jun!$C93="SI",Jun!$B93,"")</f>
        <v/>
      </c>
      <c r="D788" s="28" t="str">
        <f>IF(Jun!$C93="SI",Jun!$F93,"")</f>
        <v/>
      </c>
      <c r="E788" s="47" t="s">
        <v>112</v>
      </c>
    </row>
    <row r="789" spans="2:5" x14ac:dyDescent="0.2">
      <c r="B789" s="28" t="str">
        <f>IF(Jun!$C94="SI",Jun!$B$90,"")</f>
        <v/>
      </c>
      <c r="C789" s="28" t="str">
        <f>IF(Jun!$C94="SI",Jun!$B94,"")</f>
        <v/>
      </c>
      <c r="D789" s="28" t="str">
        <f>IF(Jun!$C94="SI",Jun!$F94,"")</f>
        <v/>
      </c>
      <c r="E789" s="47" t="s">
        <v>112</v>
      </c>
    </row>
    <row r="790" spans="2:5" x14ac:dyDescent="0.2">
      <c r="B790" s="28" t="str">
        <f>IF(Jun!$C95="SI",Jun!$B$90,"")</f>
        <v/>
      </c>
      <c r="C790" s="28" t="str">
        <f>IF(Jun!$C95="SI",Jun!$B95,"")</f>
        <v/>
      </c>
      <c r="D790" s="28" t="str">
        <f>IF(Jun!$C95="SI",Jun!$F95,"")</f>
        <v/>
      </c>
      <c r="E790" s="47" t="s">
        <v>112</v>
      </c>
    </row>
    <row r="791" spans="2:5" x14ac:dyDescent="0.2">
      <c r="B791" s="28" t="str">
        <f>IF(Jun!$C96="SI",Jun!$B$90,"")</f>
        <v/>
      </c>
      <c r="C791" s="28" t="str">
        <f>IF(Jun!$C96="SI",Jun!$B96,"")</f>
        <v/>
      </c>
      <c r="D791" s="28" t="str">
        <f>IF(Jun!$C96="SI",Jun!$F96,"")</f>
        <v/>
      </c>
      <c r="E791" s="47" t="s">
        <v>112</v>
      </c>
    </row>
    <row r="792" spans="2:5" x14ac:dyDescent="0.2">
      <c r="B792" s="28" t="str">
        <f>IF(Jun!$C97="SI",Jun!$B$90,"")</f>
        <v/>
      </c>
      <c r="C792" s="28" t="str">
        <f>IF(Jun!$C97="SI",Jun!$B97,"")</f>
        <v/>
      </c>
      <c r="D792" s="28" t="str">
        <f>IF(Jun!$C97="SI",Jun!$F97,"")</f>
        <v/>
      </c>
      <c r="E792" s="47" t="s">
        <v>112</v>
      </c>
    </row>
    <row r="793" spans="2:5" x14ac:dyDescent="0.2">
      <c r="B793" s="28" t="str">
        <f>IF(Jun!$C101="SI",Jun!$B$100,"")</f>
        <v/>
      </c>
      <c r="C793" s="28" t="str">
        <f>IF(Jun!$C101="SI",Jun!$B101,"")</f>
        <v/>
      </c>
      <c r="D793" s="28" t="str">
        <f>IF(Jun!$C101="SI",Jun!$F101,"")</f>
        <v/>
      </c>
      <c r="E793" s="47" t="s">
        <v>112</v>
      </c>
    </row>
    <row r="794" spans="2:5" x14ac:dyDescent="0.2">
      <c r="B794" s="28" t="str">
        <f>IF(Jun!$C102="SI",Jun!$B$100,"")</f>
        <v/>
      </c>
      <c r="C794" s="28" t="str">
        <f>IF(Jun!$C102="SI",Jun!$B102,"")</f>
        <v/>
      </c>
      <c r="D794" s="28" t="str">
        <f>IF(Jun!$C102="SI",Jun!$F102,"")</f>
        <v/>
      </c>
      <c r="E794" s="47" t="s">
        <v>112</v>
      </c>
    </row>
    <row r="795" spans="2:5" x14ac:dyDescent="0.2">
      <c r="B795" s="28" t="str">
        <f>IF(Jun!$C103="SI",Jun!$B$100,"")</f>
        <v/>
      </c>
      <c r="C795" s="28" t="str">
        <f>IF(Jun!$C103="SI",Jun!$B103,"")</f>
        <v/>
      </c>
      <c r="D795" s="28" t="str">
        <f>IF(Jun!$C103="SI",Jun!$F103,"")</f>
        <v/>
      </c>
      <c r="E795" s="47" t="s">
        <v>112</v>
      </c>
    </row>
    <row r="796" spans="2:5" x14ac:dyDescent="0.2">
      <c r="B796" s="28" t="str">
        <f>IF(Jun!$C104="SI",Jun!$B$100,"")</f>
        <v/>
      </c>
      <c r="C796" s="28" t="str">
        <f>IF(Jun!$C104="SI",Jun!$B104,"")</f>
        <v/>
      </c>
      <c r="D796" s="28" t="str">
        <f>IF(Jun!$C104="SI",Jun!$F104,"")</f>
        <v/>
      </c>
      <c r="E796" s="47" t="s">
        <v>112</v>
      </c>
    </row>
    <row r="797" spans="2:5" x14ac:dyDescent="0.2">
      <c r="B797" s="28" t="str">
        <f>IF(Jun!$C105="SI",Jun!$B$100,"")</f>
        <v/>
      </c>
      <c r="C797" s="28" t="str">
        <f>IF(Jun!$C105="SI",Jun!$B105,"")</f>
        <v/>
      </c>
      <c r="D797" s="28" t="str">
        <f>IF(Jun!$C105="SI",Jun!$F105,"")</f>
        <v/>
      </c>
      <c r="E797" s="47" t="s">
        <v>112</v>
      </c>
    </row>
    <row r="798" spans="2:5" x14ac:dyDescent="0.2">
      <c r="B798" s="28" t="str">
        <f>IF(Jun!$C106="SI",Jun!$B$100,"")</f>
        <v/>
      </c>
      <c r="C798" s="28" t="str">
        <f>IF(Jun!$C106="SI",Jun!$B106,"")</f>
        <v/>
      </c>
      <c r="D798" s="28" t="str">
        <f>IF(Jun!$C106="SI",Jun!$F106,"")</f>
        <v/>
      </c>
      <c r="E798" s="47" t="s">
        <v>112</v>
      </c>
    </row>
    <row r="799" spans="2:5" x14ac:dyDescent="0.2">
      <c r="B799" s="28" t="str">
        <f>IF(Jun!$C107="SI",Jun!$B$100,"")</f>
        <v/>
      </c>
      <c r="C799" s="28" t="str">
        <f>IF(Jun!$C107="SI",Jun!$B107,"")</f>
        <v/>
      </c>
      <c r="D799" s="28" t="str">
        <f>IF(Jun!$C107="SI",Jun!$F107,"")</f>
        <v/>
      </c>
      <c r="E799" s="47" t="s">
        <v>112</v>
      </c>
    </row>
    <row r="800" spans="2:5" x14ac:dyDescent="0.2">
      <c r="B800" s="29"/>
      <c r="C800" s="29"/>
      <c r="D800" s="29"/>
      <c r="E800" s="47" t="s">
        <v>112</v>
      </c>
    </row>
    <row r="801" spans="2:5" x14ac:dyDescent="0.2">
      <c r="B801" s="28" t="str">
        <f>IF(Jun!$I13="SI",Jun!$H$12,"")</f>
        <v>AHORROS</v>
      </c>
      <c r="C801" s="28" t="str">
        <f>IF(Jun!$I13="SI",Jun!$H13,"")</f>
        <v>Fondo de Emergencia</v>
      </c>
      <c r="D801" s="28">
        <f>IF(Jun!$I13="SI",Jun!$L13,"")</f>
        <v>0</v>
      </c>
      <c r="E801" s="47" t="s">
        <v>112</v>
      </c>
    </row>
    <row r="802" spans="2:5" x14ac:dyDescent="0.2">
      <c r="B802" s="28" t="str">
        <f>IF(Jun!$I14="SI",Jun!$H$12,"")</f>
        <v/>
      </c>
      <c r="C802" s="28" t="str">
        <f>IF(Jun!$I14="SI",Jun!$H14,"")</f>
        <v/>
      </c>
      <c r="D802" s="28" t="str">
        <f>IF(Jun!$I14="SI",Jun!$L14,"")</f>
        <v/>
      </c>
      <c r="E802" s="47" t="s">
        <v>112</v>
      </c>
    </row>
    <row r="803" spans="2:5" x14ac:dyDescent="0.2">
      <c r="B803" s="28" t="str">
        <f>IF(Jun!$I15="SI",Jun!$H$12,"")</f>
        <v/>
      </c>
      <c r="C803" s="28" t="str">
        <f>IF(Jun!$I15="SI",Jun!$H15,"")</f>
        <v/>
      </c>
      <c r="D803" s="28" t="str">
        <f>IF(Jun!$I15="SI",Jun!$L15,"")</f>
        <v/>
      </c>
      <c r="E803" s="47" t="s">
        <v>112</v>
      </c>
    </row>
    <row r="804" spans="2:5" x14ac:dyDescent="0.2">
      <c r="B804" s="28" t="str">
        <f>IF(Jun!$I16="SI",Jun!$H$12,"")</f>
        <v/>
      </c>
      <c r="C804" s="28" t="str">
        <f>IF(Jun!$I16="SI",Jun!$H16,"")</f>
        <v/>
      </c>
      <c r="D804" s="28" t="str">
        <f>IF(Jun!$I16="SI",Jun!$L16,"")</f>
        <v/>
      </c>
      <c r="E804" s="47" t="s">
        <v>112</v>
      </c>
    </row>
    <row r="805" spans="2:5" x14ac:dyDescent="0.2">
      <c r="B805" s="28" t="str">
        <f>IF(Jun!$I17="SI",Jun!$H$12,"")</f>
        <v/>
      </c>
      <c r="C805" s="28" t="str">
        <f>IF(Jun!$I17="SI",Jun!$H17,"")</f>
        <v/>
      </c>
      <c r="D805" s="28" t="str">
        <f>IF(Jun!$I17="SI",Jun!$L17,"")</f>
        <v/>
      </c>
      <c r="E805" s="47" t="s">
        <v>112</v>
      </c>
    </row>
    <row r="806" spans="2:5" x14ac:dyDescent="0.2">
      <c r="B806" s="28" t="str">
        <f>IF(Jun!$I18="SI",Jun!$H$12,"")</f>
        <v/>
      </c>
      <c r="C806" s="28" t="str">
        <f>IF(Jun!$I18="SI",Jun!$H18,"")</f>
        <v/>
      </c>
      <c r="D806" s="28" t="str">
        <f>IF(Jun!$I18="SI",Jun!$L18,"")</f>
        <v/>
      </c>
      <c r="E806" s="47" t="s">
        <v>112</v>
      </c>
    </row>
    <row r="807" spans="2:5" x14ac:dyDescent="0.2">
      <c r="B807" s="28" t="str">
        <f>IF(Jun!$I19="SI",Jun!$H$12,"")</f>
        <v/>
      </c>
      <c r="C807" s="28" t="str">
        <f>IF(Jun!$I19="SI",Jun!$H19,"")</f>
        <v/>
      </c>
      <c r="D807" s="28" t="str">
        <f>IF(Jun!$I19="SI",Jun!$L19,"")</f>
        <v/>
      </c>
      <c r="E807" s="47" t="s">
        <v>112</v>
      </c>
    </row>
    <row r="808" spans="2:5" x14ac:dyDescent="0.2">
      <c r="B808" s="28" t="str">
        <f>IF(Jun!$I20="SI",Jun!$H$12,"")</f>
        <v/>
      </c>
      <c r="C808" s="28" t="str">
        <f>IF(Jun!$I20="SI",Jun!$H20,"")</f>
        <v/>
      </c>
      <c r="D808" s="28" t="str">
        <f>IF(Jun!$I20="SI",Jun!$L20,"")</f>
        <v/>
      </c>
      <c r="E808" s="47" t="s">
        <v>112</v>
      </c>
    </row>
    <row r="809" spans="2:5" x14ac:dyDescent="0.2">
      <c r="B809" s="28" t="str">
        <f>IF(Jun!$I21="SI",Jun!$H$12,"")</f>
        <v/>
      </c>
      <c r="C809" s="28" t="str">
        <f>IF(Jun!$I21="SI",Jun!$H21,"")</f>
        <v/>
      </c>
      <c r="D809" s="28" t="str">
        <f>IF(Jun!$I21="SI",Jun!$L21,"")</f>
        <v/>
      </c>
      <c r="E809" s="47" t="s">
        <v>112</v>
      </c>
    </row>
    <row r="810" spans="2:5" x14ac:dyDescent="0.2">
      <c r="B810" s="28" t="str">
        <f>IF(Jun!$I22="SI",Jun!$H$12,"")</f>
        <v/>
      </c>
      <c r="C810" s="28" t="str">
        <f>IF(Jun!$I22="SI",Jun!$H22,"")</f>
        <v/>
      </c>
      <c r="D810" s="28" t="str">
        <f>IF(Jun!$I22="SI",Jun!$L22,"")</f>
        <v/>
      </c>
      <c r="E810" s="47" t="s">
        <v>112</v>
      </c>
    </row>
    <row r="811" spans="2:5" x14ac:dyDescent="0.2">
      <c r="B811" s="28" t="str">
        <f>IF(Jun!$I23="SI",Jun!$H$12,"")</f>
        <v/>
      </c>
      <c r="C811" s="28" t="str">
        <f>IF(Jun!$I23="SI",Jun!$H23,"")</f>
        <v/>
      </c>
      <c r="D811" s="28" t="str">
        <f>IF(Jun!$I23="SI",Jun!$L23,"")</f>
        <v/>
      </c>
      <c r="E811" s="47" t="s">
        <v>112</v>
      </c>
    </row>
    <row r="812" spans="2:5" x14ac:dyDescent="0.2">
      <c r="B812" s="28" t="str">
        <f>IF(Jun!$I24="SI",Jun!$H$12,"")</f>
        <v/>
      </c>
      <c r="C812" s="28" t="str">
        <f>IF(Jun!$I24="SI",Jun!$H24,"")</f>
        <v/>
      </c>
      <c r="D812" s="28" t="str">
        <f>IF(Jun!$I24="SI",Jun!$L24,"")</f>
        <v/>
      </c>
      <c r="E812" s="47" t="s">
        <v>112</v>
      </c>
    </row>
    <row r="813" spans="2:5" x14ac:dyDescent="0.2">
      <c r="B813" s="28" t="str">
        <f>IF(Jun!$I28="SI",Jun!$H$27,"")</f>
        <v/>
      </c>
      <c r="C813" s="28" t="str">
        <f>IF(Jun!$I28="SI",Jun!$H28,"")</f>
        <v/>
      </c>
      <c r="D813" s="28" t="str">
        <f>IF(Jun!$I28="SI",Jun!$L28,"")</f>
        <v/>
      </c>
      <c r="E813" s="47" t="s">
        <v>112</v>
      </c>
    </row>
    <row r="814" spans="2:5" x14ac:dyDescent="0.2">
      <c r="B814" s="28" t="str">
        <f>IF(Jun!$I29="SI",Jun!$H$27,"")</f>
        <v/>
      </c>
      <c r="C814" s="28" t="str">
        <f>IF(Jun!$I29="SI",Jun!$H29,"")</f>
        <v/>
      </c>
      <c r="D814" s="28" t="str">
        <f>IF(Jun!$I29="SI",Jun!$L29,"")</f>
        <v/>
      </c>
      <c r="E814" s="47" t="s">
        <v>112</v>
      </c>
    </row>
    <row r="815" spans="2:5" x14ac:dyDescent="0.2">
      <c r="B815" s="28" t="str">
        <f>IF(Jun!$I30="SI",Jun!$H$27,"")</f>
        <v/>
      </c>
      <c r="C815" s="28" t="str">
        <f>IF(Jun!$I30="SI",Jun!$H30,"")</f>
        <v/>
      </c>
      <c r="D815" s="28" t="str">
        <f>IF(Jun!$I30="SI",Jun!$L30,"")</f>
        <v/>
      </c>
      <c r="E815" s="47" t="s">
        <v>112</v>
      </c>
    </row>
    <row r="816" spans="2:5" x14ac:dyDescent="0.2">
      <c r="B816" s="28" t="str">
        <f>IF(Jun!$I31="SI",Jun!$H$27,"")</f>
        <v/>
      </c>
      <c r="C816" s="28" t="str">
        <f>IF(Jun!$I31="SI",Jun!$H31,"")</f>
        <v/>
      </c>
      <c r="D816" s="28" t="str">
        <f>IF(Jun!$I31="SI",Jun!$L31,"")</f>
        <v/>
      </c>
      <c r="E816" s="47" t="s">
        <v>112</v>
      </c>
    </row>
    <row r="817" spans="2:5" x14ac:dyDescent="0.2">
      <c r="B817" s="28" t="str">
        <f>IF(Jun!$I32="SI",Jun!$H$27,"")</f>
        <v/>
      </c>
      <c r="C817" s="28" t="str">
        <f>IF(Jun!$I32="SI",Jun!$H32,"")</f>
        <v/>
      </c>
      <c r="D817" s="28" t="str">
        <f>IF(Jun!$I32="SI",Jun!$L32,"")</f>
        <v/>
      </c>
      <c r="E817" s="47" t="s">
        <v>112</v>
      </c>
    </row>
    <row r="818" spans="2:5" x14ac:dyDescent="0.2">
      <c r="B818" s="28" t="str">
        <f>IF(Jun!$I33="SI",Jun!$H$27,"")</f>
        <v/>
      </c>
      <c r="C818" s="28" t="str">
        <f>IF(Jun!$I33="SI",Jun!$H33,"")</f>
        <v/>
      </c>
      <c r="D818" s="28" t="str">
        <f>IF(Jun!$I33="SI",Jun!$L33,"")</f>
        <v/>
      </c>
      <c r="E818" s="47" t="s">
        <v>112</v>
      </c>
    </row>
    <row r="819" spans="2:5" x14ac:dyDescent="0.2">
      <c r="B819" s="28" t="str">
        <f>IF(Jun!$I34="SI",Jun!$H$27,"")</f>
        <v/>
      </c>
      <c r="C819" s="28" t="str">
        <f>IF(Jun!$I34="SI",Jun!$H34,"")</f>
        <v/>
      </c>
      <c r="D819" s="28" t="str">
        <f>IF(Jun!$I34="SI",Jun!$L34,"")</f>
        <v/>
      </c>
      <c r="E819" s="47" t="s">
        <v>112</v>
      </c>
    </row>
    <row r="820" spans="2:5" x14ac:dyDescent="0.2">
      <c r="B820" s="28" t="str">
        <f>IF(Jun!$I35="SI",Jun!$H$27,"")</f>
        <v/>
      </c>
      <c r="C820" s="28" t="str">
        <f>IF(Jun!$I35="SI",Jun!$H35,"")</f>
        <v/>
      </c>
      <c r="D820" s="28" t="str">
        <f>IF(Jun!$I35="SI",Jun!$L35,"")</f>
        <v/>
      </c>
      <c r="E820" s="47" t="s">
        <v>112</v>
      </c>
    </row>
    <row r="821" spans="2:5" x14ac:dyDescent="0.2">
      <c r="B821" s="28" t="str">
        <f>IF(Jun!$I39="SI",Jun!$H$38,"")</f>
        <v/>
      </c>
      <c r="C821" s="28" t="str">
        <f>IF(Jun!$I39="SI",Jun!$H39,"")</f>
        <v/>
      </c>
      <c r="D821" s="28" t="str">
        <f>IF(Jun!$I39="SI",Jun!$L39,"")</f>
        <v/>
      </c>
      <c r="E821" s="47" t="s">
        <v>112</v>
      </c>
    </row>
    <row r="822" spans="2:5" x14ac:dyDescent="0.2">
      <c r="B822" s="28" t="str">
        <f>IF(Jun!$I40="SI",Jun!$H$38,"")</f>
        <v/>
      </c>
      <c r="C822" s="28" t="str">
        <f>IF(Jun!$I40="SI",Jun!$H40,"")</f>
        <v/>
      </c>
      <c r="D822" s="28" t="str">
        <f>IF(Jun!$I40="SI",Jun!$L40,"")</f>
        <v/>
      </c>
      <c r="E822" s="47" t="s">
        <v>112</v>
      </c>
    </row>
    <row r="823" spans="2:5" x14ac:dyDescent="0.2">
      <c r="B823" s="28" t="str">
        <f>IF(Jun!$I41="SI",Jun!$H$38,"")</f>
        <v/>
      </c>
      <c r="C823" s="28" t="str">
        <f>IF(Jun!$I41="SI",Jun!$H41,"")</f>
        <v/>
      </c>
      <c r="D823" s="28" t="str">
        <f>IF(Jun!$I41="SI",Jun!$L41,"")</f>
        <v/>
      </c>
      <c r="E823" s="47" t="s">
        <v>112</v>
      </c>
    </row>
    <row r="824" spans="2:5" x14ac:dyDescent="0.2">
      <c r="B824" s="28" t="str">
        <f>IF(Jun!$I42="SI",Jun!$H$38,"")</f>
        <v/>
      </c>
      <c r="C824" s="28" t="str">
        <f>IF(Jun!$I42="SI",Jun!$H42,"")</f>
        <v/>
      </c>
      <c r="D824" s="28" t="str">
        <f>IF(Jun!$I42="SI",Jun!$L42,"")</f>
        <v/>
      </c>
      <c r="E824" s="47" t="s">
        <v>112</v>
      </c>
    </row>
    <row r="825" spans="2:5" x14ac:dyDescent="0.2">
      <c r="B825" s="28" t="str">
        <f>IF(Jun!$I43="SI",Jun!$H$38,"")</f>
        <v/>
      </c>
      <c r="C825" s="28" t="str">
        <f>IF(Jun!$I43="SI",Jun!$H43,"")</f>
        <v/>
      </c>
      <c r="D825" s="28" t="str">
        <f>IF(Jun!$I43="SI",Jun!$L43,"")</f>
        <v/>
      </c>
      <c r="E825" s="47" t="s">
        <v>112</v>
      </c>
    </row>
    <row r="826" spans="2:5" x14ac:dyDescent="0.2">
      <c r="B826" s="28" t="str">
        <f>IF(Jun!$I44="SI",Jun!$H$38,"")</f>
        <v/>
      </c>
      <c r="C826" s="28" t="str">
        <f>IF(Jun!$I44="SI",Jun!$H44,"")</f>
        <v/>
      </c>
      <c r="D826" s="28" t="str">
        <f>IF(Jun!$I44="SI",Jun!$L44,"")</f>
        <v/>
      </c>
      <c r="E826" s="47" t="s">
        <v>112</v>
      </c>
    </row>
    <row r="827" spans="2:5" x14ac:dyDescent="0.2">
      <c r="B827" s="28" t="str">
        <f>IF(Jun!$I45="SI",Jun!$H$38,"")</f>
        <v/>
      </c>
      <c r="C827" s="28" t="str">
        <f>IF(Jun!$I45="SI",Jun!$H45,"")</f>
        <v/>
      </c>
      <c r="D827" s="28" t="str">
        <f>IF(Jun!$I45="SI",Jun!$L45,"")</f>
        <v/>
      </c>
      <c r="E827" s="47" t="s">
        <v>112</v>
      </c>
    </row>
    <row r="828" spans="2:5" x14ac:dyDescent="0.2">
      <c r="B828" s="28" t="str">
        <f>IF(Jun!$I49="SI",Jun!$H$48,"")</f>
        <v/>
      </c>
      <c r="C828" s="28" t="str">
        <f>IF(Jun!$I49="SI",Jun!$H49,"")</f>
        <v/>
      </c>
      <c r="D828" s="28" t="str">
        <f>IF(Jun!$I49="SI",Jun!$L49,"")</f>
        <v/>
      </c>
      <c r="E828" s="47" t="s">
        <v>112</v>
      </c>
    </row>
    <row r="829" spans="2:5" x14ac:dyDescent="0.2">
      <c r="B829" s="28" t="str">
        <f>IF(Jun!$I50="SI",Jun!$H$48,"")</f>
        <v/>
      </c>
      <c r="C829" s="28" t="str">
        <f>IF(Jun!$I50="SI",Jun!$H50,"")</f>
        <v/>
      </c>
      <c r="D829" s="28" t="str">
        <f>IF(Jun!$I50="SI",Jun!$L50,"")</f>
        <v/>
      </c>
      <c r="E829" s="47" t="s">
        <v>112</v>
      </c>
    </row>
    <row r="830" spans="2:5" x14ac:dyDescent="0.2">
      <c r="B830" s="28" t="str">
        <f>IF(Jun!$I51="SI",Jun!$H$48,"")</f>
        <v/>
      </c>
      <c r="C830" s="28" t="str">
        <f>IF(Jun!$I51="SI",Jun!$H51,"")</f>
        <v/>
      </c>
      <c r="D830" s="28" t="str">
        <f>IF(Jun!$I51="SI",Jun!$L51,"")</f>
        <v/>
      </c>
      <c r="E830" s="47" t="s">
        <v>112</v>
      </c>
    </row>
    <row r="831" spans="2:5" x14ac:dyDescent="0.2">
      <c r="B831" s="28" t="str">
        <f>IF(Jun!$I52="SI",Jun!$H$48,"")</f>
        <v/>
      </c>
      <c r="C831" s="28" t="str">
        <f>IF(Jun!$I52="SI",Jun!$H52,"")</f>
        <v/>
      </c>
      <c r="D831" s="28" t="str">
        <f>IF(Jun!$I52="SI",Jun!$L52,"")</f>
        <v/>
      </c>
      <c r="E831" s="47" t="s">
        <v>112</v>
      </c>
    </row>
    <row r="832" spans="2:5" x14ac:dyDescent="0.2">
      <c r="B832" s="28" t="str">
        <f>IF(Jun!$I53="SI",Jun!$H$48,"")</f>
        <v/>
      </c>
      <c r="C832" s="28" t="str">
        <f>IF(Jun!$I53="SI",Jun!$H53,"")</f>
        <v/>
      </c>
      <c r="D832" s="28" t="str">
        <f>IF(Jun!$I53="SI",Jun!$L53,"")</f>
        <v/>
      </c>
      <c r="E832" s="47" t="s">
        <v>112</v>
      </c>
    </row>
    <row r="833" spans="2:5" x14ac:dyDescent="0.2">
      <c r="B833" s="28" t="str">
        <f>IF(Jun!$I54="SI",Jun!$H$48,"")</f>
        <v/>
      </c>
      <c r="C833" s="28" t="str">
        <f>IF(Jun!$I54="SI",Jun!$H54,"")</f>
        <v/>
      </c>
      <c r="D833" s="28" t="str">
        <f>IF(Jun!$I54="SI",Jun!$L54,"")</f>
        <v/>
      </c>
      <c r="E833" s="47" t="s">
        <v>112</v>
      </c>
    </row>
    <row r="834" spans="2:5" x14ac:dyDescent="0.2">
      <c r="B834" s="28" t="str">
        <f>IF(Jun!$I58="SI",Jun!$H$57,"")</f>
        <v/>
      </c>
      <c r="C834" s="28" t="str">
        <f>IF(Jun!$I58="SI",Jun!$H58,"")</f>
        <v/>
      </c>
      <c r="D834" s="28" t="str">
        <f>IF(Jun!$I58="SI",Jun!$L58,"")</f>
        <v/>
      </c>
      <c r="E834" s="47" t="s">
        <v>112</v>
      </c>
    </row>
    <row r="835" spans="2:5" x14ac:dyDescent="0.2">
      <c r="B835" s="28" t="str">
        <f>IF(Jun!$I59="SI",Jun!$H$57,"")</f>
        <v/>
      </c>
      <c r="C835" s="28" t="str">
        <f>IF(Jun!$I59="SI",Jun!$H59,"")</f>
        <v/>
      </c>
      <c r="D835" s="28" t="str">
        <f>IF(Jun!$I59="SI",Jun!$L59,"")</f>
        <v/>
      </c>
      <c r="E835" s="47" t="s">
        <v>112</v>
      </c>
    </row>
    <row r="836" spans="2:5" x14ac:dyDescent="0.2">
      <c r="B836" s="28" t="str">
        <f>IF(Jun!$I60="SI",Jun!$H$57,"")</f>
        <v/>
      </c>
      <c r="C836" s="28" t="str">
        <f>IF(Jun!$I60="SI",Jun!$H60,"")</f>
        <v/>
      </c>
      <c r="D836" s="28" t="str">
        <f>IF(Jun!$I60="SI",Jun!$L60,"")</f>
        <v/>
      </c>
      <c r="E836" s="47" t="s">
        <v>112</v>
      </c>
    </row>
    <row r="837" spans="2:5" x14ac:dyDescent="0.2">
      <c r="B837" s="28" t="str">
        <f>IF(Jun!$I61="SI",Jun!$H$57,"")</f>
        <v/>
      </c>
      <c r="C837" s="28" t="str">
        <f>IF(Jun!$I61="SI",Jun!$H61,"")</f>
        <v/>
      </c>
      <c r="D837" s="28" t="str">
        <f>IF(Jun!$I61="SI",Jun!$L61,"")</f>
        <v/>
      </c>
      <c r="E837" s="47" t="s">
        <v>112</v>
      </c>
    </row>
    <row r="838" spans="2:5" x14ac:dyDescent="0.2">
      <c r="B838" s="28" t="str">
        <f>IF(Jun!$I62="SI",Jun!$H$57,"")</f>
        <v/>
      </c>
      <c r="C838" s="28" t="str">
        <f>IF(Jun!$I62="SI",Jun!$H62,"")</f>
        <v/>
      </c>
      <c r="D838" s="28" t="str">
        <f>IF(Jun!$I62="SI",Jun!$L62,"")</f>
        <v/>
      </c>
      <c r="E838" s="47" t="s">
        <v>112</v>
      </c>
    </row>
    <row r="839" spans="2:5" x14ac:dyDescent="0.2">
      <c r="B839" s="28" t="str">
        <f>IF(Jun!$I63="SI",Jun!$H$57,"")</f>
        <v/>
      </c>
      <c r="C839" s="28" t="str">
        <f>IF(Jun!$I63="SI",Jun!$H63,"")</f>
        <v/>
      </c>
      <c r="D839" s="28" t="str">
        <f>IF(Jun!$I63="SI",Jun!$L63,"")</f>
        <v/>
      </c>
      <c r="E839" s="47" t="s">
        <v>112</v>
      </c>
    </row>
    <row r="840" spans="2:5" x14ac:dyDescent="0.2">
      <c r="B840" s="28" t="str">
        <f>IF(Jun!$I64="SI",Jun!$H$57,"")</f>
        <v/>
      </c>
      <c r="C840" s="28" t="str">
        <f>IF(Jun!$I64="SI",Jun!$H64,"")</f>
        <v/>
      </c>
      <c r="D840" s="28" t="str">
        <f>IF(Jun!$I64="SI",Jun!$L64,"")</f>
        <v/>
      </c>
      <c r="E840" s="47" t="s">
        <v>112</v>
      </c>
    </row>
    <row r="841" spans="2:5" x14ac:dyDescent="0.2">
      <c r="B841" s="28" t="str">
        <f>IF(Jun!$I68="SI",Jun!$H$67,"")</f>
        <v/>
      </c>
      <c r="C841" s="28" t="str">
        <f>IF(Jun!$I68="SI",Jun!$H68,"")</f>
        <v/>
      </c>
      <c r="D841" s="28" t="str">
        <f>IF(Jun!$I68="SI",Jun!$L68,"")</f>
        <v/>
      </c>
      <c r="E841" s="47" t="s">
        <v>112</v>
      </c>
    </row>
    <row r="842" spans="2:5" x14ac:dyDescent="0.2">
      <c r="B842" s="28" t="str">
        <f>IF(Jun!$I69="SI",Jun!$H$67,"")</f>
        <v/>
      </c>
      <c r="C842" s="28" t="str">
        <f>IF(Jun!$I69="SI",Jun!$H69,"")</f>
        <v/>
      </c>
      <c r="D842" s="28" t="str">
        <f>IF(Jun!$I69="SI",Jun!$L69,"")</f>
        <v/>
      </c>
      <c r="E842" s="47" t="s">
        <v>112</v>
      </c>
    </row>
    <row r="843" spans="2:5" x14ac:dyDescent="0.2">
      <c r="B843" s="28" t="str">
        <f>IF(Jun!$I70="SI",Jun!$H$67,"")</f>
        <v/>
      </c>
      <c r="C843" s="28" t="str">
        <f>IF(Jun!$I70="SI",Jun!$H70,"")</f>
        <v/>
      </c>
      <c r="D843" s="28" t="str">
        <f>IF(Jun!$I70="SI",Jun!$L70,"")</f>
        <v/>
      </c>
      <c r="E843" s="47" t="s">
        <v>112</v>
      </c>
    </row>
    <row r="844" spans="2:5" x14ac:dyDescent="0.2">
      <c r="B844" s="28" t="str">
        <f>IF(Jun!$I71="SI",Jun!$H$67,"")</f>
        <v/>
      </c>
      <c r="C844" s="28" t="str">
        <f>IF(Jun!$I71="SI",Jun!$H71,"")</f>
        <v/>
      </c>
      <c r="D844" s="28" t="str">
        <f>IF(Jun!$I71="SI",Jun!$L71,"")</f>
        <v/>
      </c>
      <c r="E844" s="47" t="s">
        <v>112</v>
      </c>
    </row>
    <row r="845" spans="2:5" x14ac:dyDescent="0.2">
      <c r="B845" s="28" t="str">
        <f>IF(Jun!$I72="SI",Jun!$H$67,"")</f>
        <v/>
      </c>
      <c r="C845" s="28" t="str">
        <f>IF(Jun!$I72="SI",Jun!$H72,"")</f>
        <v/>
      </c>
      <c r="D845" s="28" t="str">
        <f>IF(Jun!$I72="SI",Jun!$L72,"")</f>
        <v/>
      </c>
      <c r="E845" s="47" t="s">
        <v>112</v>
      </c>
    </row>
    <row r="846" spans="2:5" x14ac:dyDescent="0.2">
      <c r="B846" s="28" t="str">
        <f>IF(Jun!$I73="SI",Jun!$H$67,"")</f>
        <v/>
      </c>
      <c r="C846" s="28" t="str">
        <f>IF(Jun!$I73="SI",Jun!$H73,"")</f>
        <v/>
      </c>
      <c r="D846" s="28" t="str">
        <f>IF(Jun!$I73="SI",Jun!$L73,"")</f>
        <v/>
      </c>
      <c r="E846" s="47" t="s">
        <v>112</v>
      </c>
    </row>
    <row r="847" spans="2:5" x14ac:dyDescent="0.2">
      <c r="B847" s="28" t="str">
        <f>IF(Jun!$I74="SI",Jun!$H$67,"")</f>
        <v/>
      </c>
      <c r="C847" s="28" t="str">
        <f>IF(Jun!$I74="SI",Jun!$H74,"")</f>
        <v/>
      </c>
      <c r="D847" s="28" t="str">
        <f>IF(Jun!$I74="SI",Jun!$L74,"")</f>
        <v/>
      </c>
      <c r="E847" s="47" t="s">
        <v>112</v>
      </c>
    </row>
    <row r="848" spans="2:5" x14ac:dyDescent="0.2">
      <c r="B848" s="28" t="str">
        <f>IF(Jun!$I75="SI",Jun!$H$67,"")</f>
        <v/>
      </c>
      <c r="C848" s="28" t="str">
        <f>IF(Jun!$I75="SI",Jun!$H75,"")</f>
        <v/>
      </c>
      <c r="D848" s="28" t="str">
        <f>IF(Jun!$I75="SI",Jun!$L75,"")</f>
        <v/>
      </c>
      <c r="E848" s="47" t="s">
        <v>112</v>
      </c>
    </row>
    <row r="849" spans="2:5" x14ac:dyDescent="0.2">
      <c r="B849" s="28" t="str">
        <f>IF(Jun!$I76="SI",Jun!$H$67,"")</f>
        <v/>
      </c>
      <c r="C849" s="28" t="str">
        <f>IF(Jun!$I76="SI",Jun!$H76,"")</f>
        <v/>
      </c>
      <c r="D849" s="28" t="str">
        <f>IF(Jun!$I76="SI",Jun!$L76,"")</f>
        <v/>
      </c>
      <c r="E849" s="47" t="s">
        <v>112</v>
      </c>
    </row>
    <row r="850" spans="2:5" x14ac:dyDescent="0.2">
      <c r="B850" s="28" t="str">
        <f>IF(Jun!$I77="SI",Jun!$H$67,"")</f>
        <v/>
      </c>
      <c r="C850" s="28" t="str">
        <f>IF(Jun!$I77="SI",Jun!$H77,"")</f>
        <v/>
      </c>
      <c r="D850" s="28" t="str">
        <f>IF(Jun!$I77="SI",Jun!$L77,"")</f>
        <v/>
      </c>
      <c r="E850" s="47" t="s">
        <v>112</v>
      </c>
    </row>
    <row r="851" spans="2:5" x14ac:dyDescent="0.2">
      <c r="B851" s="28" t="str">
        <f>IF(Jun!$I78="SI",Jun!$H$67,"")</f>
        <v/>
      </c>
      <c r="C851" s="28" t="str">
        <f>IF(Jun!$I78="SI",Jun!$H78,"")</f>
        <v/>
      </c>
      <c r="D851" s="28" t="str">
        <f>IF(Jun!$I78="SI",Jun!$L78,"")</f>
        <v/>
      </c>
      <c r="E851" s="47" t="s">
        <v>112</v>
      </c>
    </row>
    <row r="852" spans="2:5" x14ac:dyDescent="0.2">
      <c r="B852" s="28" t="str">
        <f>IF(Jun!$I82="SI",Jun!$H$81,"")</f>
        <v/>
      </c>
      <c r="C852" s="28" t="str">
        <f>IF(Jun!$I82="SI",Jun!$H82,"")</f>
        <v/>
      </c>
      <c r="D852" s="28" t="str">
        <f>IF(Jun!$I82="SI",Jun!$L82,"")</f>
        <v/>
      </c>
      <c r="E852" s="47" t="s">
        <v>112</v>
      </c>
    </row>
    <row r="853" spans="2:5" x14ac:dyDescent="0.2">
      <c r="B853" s="28" t="str">
        <f>IF(Jun!$I83="SI",Jun!$H$81,"")</f>
        <v/>
      </c>
      <c r="C853" s="28" t="str">
        <f>IF(Jun!$I83="SI",Jun!$H83,"")</f>
        <v/>
      </c>
      <c r="D853" s="28" t="str">
        <f>IF(Jun!$I83="SI",Jun!$L83,"")</f>
        <v/>
      </c>
      <c r="E853" s="47" t="s">
        <v>112</v>
      </c>
    </row>
    <row r="854" spans="2:5" x14ac:dyDescent="0.2">
      <c r="B854" s="28" t="str">
        <f>IF(Jun!$I84="SI",Jun!$H$81,"")</f>
        <v/>
      </c>
      <c r="C854" s="28" t="str">
        <f>IF(Jun!$I84="SI",Jun!$H84,"")</f>
        <v/>
      </c>
      <c r="D854" s="28" t="str">
        <f>IF(Jun!$I84="SI",Jun!$L84,"")</f>
        <v/>
      </c>
      <c r="E854" s="47" t="s">
        <v>112</v>
      </c>
    </row>
    <row r="855" spans="2:5" x14ac:dyDescent="0.2">
      <c r="B855" s="28" t="str">
        <f>IF(Jun!$I85="SI",Jun!$H$81,"")</f>
        <v/>
      </c>
      <c r="C855" s="28" t="str">
        <f>IF(Jun!$I85="SI",Jun!$H85,"")</f>
        <v/>
      </c>
      <c r="D855" s="28" t="str">
        <f>IF(Jun!$I85="SI",Jun!$L85,"")</f>
        <v/>
      </c>
      <c r="E855" s="47" t="s">
        <v>112</v>
      </c>
    </row>
    <row r="856" spans="2:5" x14ac:dyDescent="0.2">
      <c r="B856" s="28" t="str">
        <f>IF(Jun!$I86="SI",Jun!$H$81,"")</f>
        <v/>
      </c>
      <c r="C856" s="28" t="str">
        <f>IF(Jun!$I86="SI",Jun!$H86,"")</f>
        <v/>
      </c>
      <c r="D856" s="28" t="str">
        <f>IF(Jun!$I86="SI",Jun!$L86,"")</f>
        <v/>
      </c>
      <c r="E856" s="47" t="s">
        <v>112</v>
      </c>
    </row>
    <row r="857" spans="2:5" x14ac:dyDescent="0.2">
      <c r="B857" s="28" t="str">
        <f>IF(Jun!$I87="SI",Jun!$H$81,"")</f>
        <v/>
      </c>
      <c r="C857" s="28" t="str">
        <f>IF(Jun!$I87="SI",Jun!$H87,"")</f>
        <v/>
      </c>
      <c r="D857" s="28" t="str">
        <f>IF(Jun!$I87="SI",Jun!$L87,"")</f>
        <v/>
      </c>
      <c r="E857" s="47" t="s">
        <v>112</v>
      </c>
    </row>
    <row r="858" spans="2:5" x14ac:dyDescent="0.2">
      <c r="B858" s="28" t="str">
        <f>IF(Jun!$I91="SI",Jun!$H$90,"")</f>
        <v/>
      </c>
      <c r="C858" s="28" t="str">
        <f>IF(Jun!$I91="SI",Jun!$H91,"")</f>
        <v/>
      </c>
      <c r="D858" s="28" t="str">
        <f>IF(Jun!$I91="SI",Jun!$L91,"")</f>
        <v/>
      </c>
      <c r="E858" s="47" t="s">
        <v>112</v>
      </c>
    </row>
    <row r="859" spans="2:5" x14ac:dyDescent="0.2">
      <c r="B859" s="28" t="str">
        <f>IF(Jun!$I92="SI",Jun!$H$90,"")</f>
        <v/>
      </c>
      <c r="C859" s="28" t="str">
        <f>IF(Jun!$I92="SI",Jun!$H92,"")</f>
        <v/>
      </c>
      <c r="D859" s="28" t="str">
        <f>IF(Jun!$I92="SI",Jun!$L92,"")</f>
        <v/>
      </c>
      <c r="E859" s="47" t="s">
        <v>112</v>
      </c>
    </row>
    <row r="860" spans="2:5" x14ac:dyDescent="0.2">
      <c r="B860" s="28" t="str">
        <f>IF(Jun!$I93="SI",Jun!$H$90,"")</f>
        <v/>
      </c>
      <c r="C860" s="28" t="str">
        <f>IF(Jun!$I93="SI",Jun!$H93,"")</f>
        <v/>
      </c>
      <c r="D860" s="28" t="str">
        <f>IF(Jun!$I93="SI",Jun!$L93,"")</f>
        <v/>
      </c>
      <c r="E860" s="47" t="s">
        <v>112</v>
      </c>
    </row>
    <row r="861" spans="2:5" x14ac:dyDescent="0.2">
      <c r="B861" s="28" t="str">
        <f>IF(Jun!$I94="SI",Jun!$H$90,"")</f>
        <v/>
      </c>
      <c r="C861" s="28" t="str">
        <f>IF(Jun!$I94="SI",Jun!$H94,"")</f>
        <v/>
      </c>
      <c r="D861" s="28" t="str">
        <f>IF(Jun!$I94="SI",Jun!$L94,"")</f>
        <v/>
      </c>
      <c r="E861" s="47" t="s">
        <v>112</v>
      </c>
    </row>
    <row r="862" spans="2:5" x14ac:dyDescent="0.2">
      <c r="B862" s="28" t="str">
        <f>IF(Jun!$I95="SI",Jun!$H$90,"")</f>
        <v/>
      </c>
      <c r="C862" s="28" t="str">
        <f>IF(Jun!$I95="SI",Jun!$H95,"")</f>
        <v/>
      </c>
      <c r="D862" s="28" t="str">
        <f>IF(Jun!$I95="SI",Jun!$L95,"")</f>
        <v/>
      </c>
      <c r="E862" s="47" t="s">
        <v>112</v>
      </c>
    </row>
    <row r="863" spans="2:5" x14ac:dyDescent="0.2">
      <c r="B863" s="28" t="str">
        <f>IF(Jun!$I96="SI",Jun!$H$90,"")</f>
        <v/>
      </c>
      <c r="C863" s="28" t="str">
        <f>IF(Jun!$I96="SI",Jun!$H96,"")</f>
        <v/>
      </c>
      <c r="D863" s="28" t="str">
        <f>IF(Jun!$I96="SI",Jun!$L96,"")</f>
        <v/>
      </c>
      <c r="E863" s="47" t="s">
        <v>112</v>
      </c>
    </row>
    <row r="864" spans="2:5" x14ac:dyDescent="0.2">
      <c r="B864" s="28" t="str">
        <f>IF(Jun!$I97="SI",Jun!$H$90,"")</f>
        <v/>
      </c>
      <c r="C864" s="28" t="str">
        <f>IF(Jun!$I97="SI",Jun!$H97,"")</f>
        <v/>
      </c>
      <c r="D864" s="28" t="str">
        <f>IF(Jun!$I97="SI",Jun!$L97,"")</f>
        <v/>
      </c>
      <c r="E864" s="47" t="s">
        <v>112</v>
      </c>
    </row>
    <row r="865" spans="2:5" x14ac:dyDescent="0.2">
      <c r="B865" s="28" t="str">
        <f>IF(Jun!$I101="SI",Jun!$H$100,"")</f>
        <v/>
      </c>
      <c r="C865" s="28" t="str">
        <f>IF(Jun!$I101="SI",Jun!$H101,"")</f>
        <v/>
      </c>
      <c r="D865" s="28" t="str">
        <f>IF(Jun!$I101="SI",Jun!$L101,"")</f>
        <v/>
      </c>
      <c r="E865" s="47" t="s">
        <v>112</v>
      </c>
    </row>
    <row r="866" spans="2:5" x14ac:dyDescent="0.2">
      <c r="B866" s="28" t="str">
        <f>IF(Jun!$I102="SI",Jun!$H$100,"")</f>
        <v/>
      </c>
      <c r="C866" s="28" t="str">
        <f>IF(Jun!$I102="SI",Jun!$H102,"")</f>
        <v/>
      </c>
      <c r="D866" s="28" t="str">
        <f>IF(Jun!$I102="SI",Jun!$L102,"")</f>
        <v/>
      </c>
      <c r="E866" s="47" t="s">
        <v>112</v>
      </c>
    </row>
    <row r="867" spans="2:5" x14ac:dyDescent="0.2">
      <c r="B867" s="28" t="str">
        <f>IF(Jun!$I103="SI",Jun!$H$100,"")</f>
        <v/>
      </c>
      <c r="C867" s="28" t="str">
        <f>IF(Jun!$I103="SI",Jun!$H103,"")</f>
        <v/>
      </c>
      <c r="D867" s="28" t="str">
        <f>IF(Jun!$I103="SI",Jun!$L103,"")</f>
        <v/>
      </c>
      <c r="E867" s="47" t="s">
        <v>112</v>
      </c>
    </row>
    <row r="868" spans="2:5" x14ac:dyDescent="0.2">
      <c r="B868" s="28" t="str">
        <f>IF(Jun!$I104="SI",Jun!$H$100,"")</f>
        <v/>
      </c>
      <c r="C868" s="28" t="str">
        <f>IF(Jun!$I104="SI",Jun!$H104,"")</f>
        <v/>
      </c>
      <c r="D868" s="28" t="str">
        <f>IF(Jun!$I104="SI",Jun!$L104,"")</f>
        <v/>
      </c>
      <c r="E868" s="47" t="s">
        <v>112</v>
      </c>
    </row>
    <row r="869" spans="2:5" x14ac:dyDescent="0.2">
      <c r="B869" s="28" t="str">
        <f>IF(Jun!$I105="SI",Jun!$H$100,"")</f>
        <v/>
      </c>
      <c r="C869" s="28" t="str">
        <f>IF(Jun!$I105="SI",Jun!$H105,"")</f>
        <v/>
      </c>
      <c r="D869" s="28" t="str">
        <f>IF(Jun!$I105="SI",Jun!$L105,"")</f>
        <v/>
      </c>
      <c r="E869" s="47" t="s">
        <v>112</v>
      </c>
    </row>
    <row r="870" spans="2:5" x14ac:dyDescent="0.2">
      <c r="B870" s="28" t="str">
        <f>IF(Jun!$I106="SI",Jun!$H$100,"")</f>
        <v/>
      </c>
      <c r="C870" s="28" t="str">
        <f>IF(Jun!$I106="SI",Jun!$H106,"")</f>
        <v/>
      </c>
      <c r="D870" s="28" t="str">
        <f>IF(Jun!$I106="SI",Jun!$L106,"")</f>
        <v/>
      </c>
      <c r="E870" s="47" t="s">
        <v>112</v>
      </c>
    </row>
    <row r="871" spans="2:5" x14ac:dyDescent="0.2">
      <c r="B871" s="28" t="str">
        <f>IF(Jun!$I107="SI",Jun!$H$100,"")</f>
        <v/>
      </c>
      <c r="C871" s="28" t="str">
        <f>IF(Jun!$I107="SI",Jun!$H107,"")</f>
        <v/>
      </c>
      <c r="D871" s="28" t="str">
        <f>IF(Jun!$I107="SI",Jun!$L107,"")</f>
        <v/>
      </c>
      <c r="E871" s="47" t="s">
        <v>112</v>
      </c>
    </row>
    <row r="872" spans="2:5" x14ac:dyDescent="0.2">
      <c r="B872" s="29"/>
      <c r="C872" s="29"/>
      <c r="D872" s="29"/>
      <c r="E872" s="47" t="s">
        <v>112</v>
      </c>
    </row>
    <row r="873" spans="2:5" x14ac:dyDescent="0.2">
      <c r="B873" s="28" t="str">
        <f>IF(Jul!$C13="SI",Jul!$B$12,"")</f>
        <v/>
      </c>
      <c r="C873" s="28" t="str">
        <f>IF(Jul!$C13="SI",Jul!$B13,"")</f>
        <v/>
      </c>
      <c r="D873" s="28" t="str">
        <f>IF(Jul!$C13="SI",Jul!$F13,"")</f>
        <v/>
      </c>
      <c r="E873" s="47" t="s">
        <v>113</v>
      </c>
    </row>
    <row r="874" spans="2:5" x14ac:dyDescent="0.2">
      <c r="B874" s="28" t="str">
        <f>IF(Jul!$C14="SI",Jul!$B$12,"")</f>
        <v/>
      </c>
      <c r="C874" s="28" t="str">
        <f>IF(Jul!$C14="SI",Jul!$B14,"")</f>
        <v/>
      </c>
      <c r="D874" s="28" t="str">
        <f>IF(Jul!$C14="SI",Jul!$F14,"")</f>
        <v/>
      </c>
      <c r="E874" s="47" t="s">
        <v>113</v>
      </c>
    </row>
    <row r="875" spans="2:5" x14ac:dyDescent="0.2">
      <c r="B875" s="28" t="str">
        <f>IF(Jul!$C15="SI",Jul!$B$12,"")</f>
        <v/>
      </c>
      <c r="C875" s="28" t="str">
        <f>IF(Jul!$C15="SI",Jul!$B15,"")</f>
        <v/>
      </c>
      <c r="D875" s="28" t="str">
        <f>IF(Jul!$C15="SI",Jul!$F15,"")</f>
        <v/>
      </c>
      <c r="E875" s="47" t="s">
        <v>113</v>
      </c>
    </row>
    <row r="876" spans="2:5" x14ac:dyDescent="0.2">
      <c r="B876" s="28" t="str">
        <f>IF(Jul!$C16="SI",Jul!$B$12,"")</f>
        <v/>
      </c>
      <c r="C876" s="28" t="str">
        <f>IF(Jul!$C16="SI",Jul!$B16,"")</f>
        <v/>
      </c>
      <c r="D876" s="28" t="str">
        <f>IF(Jul!$C16="SI",Jul!$F16,"")</f>
        <v/>
      </c>
      <c r="E876" s="47" t="s">
        <v>113</v>
      </c>
    </row>
    <row r="877" spans="2:5" x14ac:dyDescent="0.2">
      <c r="B877" s="28" t="str">
        <f>IF(Jul!$C17="SI",Jul!$B$12,"")</f>
        <v/>
      </c>
      <c r="C877" s="28" t="str">
        <f>IF(Jul!$C17="SI",Jul!$B17,"")</f>
        <v/>
      </c>
      <c r="D877" s="28" t="str">
        <f>IF(Jul!$C17="SI",Jul!$F17,"")</f>
        <v/>
      </c>
      <c r="E877" s="47" t="s">
        <v>113</v>
      </c>
    </row>
    <row r="878" spans="2:5" x14ac:dyDescent="0.2">
      <c r="B878" s="28" t="str">
        <f>IF(Jul!$C18="SI",Jul!$B$12,"")</f>
        <v/>
      </c>
      <c r="C878" s="28" t="str">
        <f>IF(Jul!$C18="SI",Jul!$B18,"")</f>
        <v/>
      </c>
      <c r="D878" s="28" t="str">
        <f>IF(Jul!$C18="SI",Jul!$F18,"")</f>
        <v/>
      </c>
      <c r="E878" s="47" t="s">
        <v>113</v>
      </c>
    </row>
    <row r="879" spans="2:5" x14ac:dyDescent="0.2">
      <c r="B879" s="28" t="str">
        <f>IF(Jul!$C19="SI",Jul!$B$12,"")</f>
        <v/>
      </c>
      <c r="C879" s="28" t="str">
        <f>IF(Jul!$C19="SI",Jul!$B19,"")</f>
        <v/>
      </c>
      <c r="D879" s="28" t="str">
        <f>IF(Jul!$C19="SI",Jul!$F19,"")</f>
        <v/>
      </c>
      <c r="E879" s="47" t="s">
        <v>113</v>
      </c>
    </row>
    <row r="880" spans="2:5" x14ac:dyDescent="0.2">
      <c r="B880" s="28" t="str">
        <f>IF(Jul!$C20="SI",Jul!$B$12,"")</f>
        <v/>
      </c>
      <c r="C880" s="28" t="str">
        <f>IF(Jul!$C20="SI",Jul!$B20,"")</f>
        <v/>
      </c>
      <c r="D880" s="28" t="str">
        <f>IF(Jul!$C20="SI",Jul!$F20,"")</f>
        <v/>
      </c>
      <c r="E880" s="47" t="s">
        <v>113</v>
      </c>
    </row>
    <row r="881" spans="2:5" x14ac:dyDescent="0.2">
      <c r="B881" s="28" t="str">
        <f>IF(Jul!$C21="SI",Jul!$B$12,"")</f>
        <v/>
      </c>
      <c r="C881" s="28" t="str">
        <f>IF(Jul!$C21="SI",Jul!$B21,"")</f>
        <v/>
      </c>
      <c r="D881" s="28" t="str">
        <f>IF(Jul!$C21="SI",Jul!$F21,"")</f>
        <v/>
      </c>
      <c r="E881" s="47" t="s">
        <v>113</v>
      </c>
    </row>
    <row r="882" spans="2:5" x14ac:dyDescent="0.2">
      <c r="B882" s="28" t="str">
        <f>IF(Jul!$C22="SI",Jul!$B$12,"")</f>
        <v/>
      </c>
      <c r="C882" s="28" t="str">
        <f>IF(Jul!$C22="SI",Jul!$B22,"")</f>
        <v/>
      </c>
      <c r="D882" s="28" t="str">
        <f>IF(Jul!$C22="SI",Jul!$F22,"")</f>
        <v/>
      </c>
      <c r="E882" s="47" t="s">
        <v>113</v>
      </c>
    </row>
    <row r="883" spans="2:5" x14ac:dyDescent="0.2">
      <c r="B883" s="28" t="str">
        <f>IF(Jul!$C23="SI",Jul!$B$12,"")</f>
        <v/>
      </c>
      <c r="C883" s="28" t="str">
        <f>IF(Jul!$C23="SI",Jul!$B23,"")</f>
        <v/>
      </c>
      <c r="D883" s="28" t="str">
        <f>IF(Jul!$C23="SI",Jul!$F23,"")</f>
        <v/>
      </c>
      <c r="E883" s="47" t="s">
        <v>113</v>
      </c>
    </row>
    <row r="884" spans="2:5" x14ac:dyDescent="0.2">
      <c r="B884" s="28" t="str">
        <f>IF(Jul!$C24="SI",Jul!$B$12,"")</f>
        <v/>
      </c>
      <c r="C884" s="28" t="str">
        <f>IF(Jul!$C24="SI",Jul!$B24,"")</f>
        <v/>
      </c>
      <c r="D884" s="28" t="str">
        <f>IF(Jul!$C24="SI",Jul!$F24,"")</f>
        <v/>
      </c>
      <c r="E884" s="47" t="s">
        <v>113</v>
      </c>
    </row>
    <row r="885" spans="2:5" x14ac:dyDescent="0.2">
      <c r="B885" s="28" t="str">
        <f>IF(Jul!$C28="SI",Jul!$B$27,"")</f>
        <v/>
      </c>
      <c r="C885" s="28" t="str">
        <f>IF(Jul!$C28="SI",Jul!$B28,"")</f>
        <v/>
      </c>
      <c r="D885" s="28" t="str">
        <f>IF(Jul!$C28="SI",Jul!$F28,"")</f>
        <v/>
      </c>
      <c r="E885" s="47" t="s">
        <v>113</v>
      </c>
    </row>
    <row r="886" spans="2:5" x14ac:dyDescent="0.2">
      <c r="B886" s="28" t="str">
        <f>IF(Jul!$C29="SI",Jul!$B$27,"")</f>
        <v/>
      </c>
      <c r="C886" s="28" t="str">
        <f>IF(Jul!$C29="SI",Jul!$B29,"")</f>
        <v/>
      </c>
      <c r="D886" s="28" t="str">
        <f>IF(Jul!$C29="SI",Jul!$F29,"")</f>
        <v/>
      </c>
      <c r="E886" s="47" t="s">
        <v>113</v>
      </c>
    </row>
    <row r="887" spans="2:5" x14ac:dyDescent="0.2">
      <c r="B887" s="28" t="str">
        <f>IF(Jul!$C30="SI",Jul!$B$27,"")</f>
        <v/>
      </c>
      <c r="C887" s="28" t="str">
        <f>IF(Jul!$C30="SI",Jul!$B30,"")</f>
        <v/>
      </c>
      <c r="D887" s="28" t="str">
        <f>IF(Jul!$C30="SI",Jul!$F30,"")</f>
        <v/>
      </c>
      <c r="E887" s="47" t="s">
        <v>113</v>
      </c>
    </row>
    <row r="888" spans="2:5" x14ac:dyDescent="0.2">
      <c r="B888" s="28" t="str">
        <f>IF(Jul!$C31="SI",Jul!$B$27,"")</f>
        <v/>
      </c>
      <c r="C888" s="28" t="str">
        <f>IF(Jul!$C31="SI",Jul!$B31,"")</f>
        <v/>
      </c>
      <c r="D888" s="28" t="str">
        <f>IF(Jul!$C31="SI",Jul!$F31,"")</f>
        <v/>
      </c>
      <c r="E888" s="47" t="s">
        <v>113</v>
      </c>
    </row>
    <row r="889" spans="2:5" x14ac:dyDescent="0.2">
      <c r="B889" s="28" t="str">
        <f>IF(Jul!$C32="SI",Jul!$B$27,"")</f>
        <v/>
      </c>
      <c r="C889" s="28" t="str">
        <f>IF(Jul!$C32="SI",Jul!$B32,"")</f>
        <v/>
      </c>
      <c r="D889" s="28" t="str">
        <f>IF(Jul!$C32="SI",Jul!$F32,"")</f>
        <v/>
      </c>
      <c r="E889" s="47" t="s">
        <v>113</v>
      </c>
    </row>
    <row r="890" spans="2:5" x14ac:dyDescent="0.2">
      <c r="B890" s="28" t="str">
        <f>IF(Jul!$C33="SI",Jul!$B$27,"")</f>
        <v/>
      </c>
      <c r="C890" s="28" t="str">
        <f>IF(Jul!$C33="SI",Jul!$B33,"")</f>
        <v/>
      </c>
      <c r="D890" s="28" t="str">
        <f>IF(Jul!$C33="SI",Jul!$F33,"")</f>
        <v/>
      </c>
      <c r="E890" s="47" t="s">
        <v>113</v>
      </c>
    </row>
    <row r="891" spans="2:5" x14ac:dyDescent="0.2">
      <c r="B891" s="28" t="str">
        <f>IF(Jul!$C34="SI",Jul!$B$27,"")</f>
        <v/>
      </c>
      <c r="C891" s="28" t="str">
        <f>IF(Jul!$C34="SI",Jul!$B34,"")</f>
        <v/>
      </c>
      <c r="D891" s="28" t="str">
        <f>IF(Jul!$C34="SI",Jul!$F34,"")</f>
        <v/>
      </c>
      <c r="E891" s="47" t="s">
        <v>113</v>
      </c>
    </row>
    <row r="892" spans="2:5" x14ac:dyDescent="0.2">
      <c r="B892" s="28" t="str">
        <f>IF(Jul!$C35="SI",Jul!$B$27,"")</f>
        <v/>
      </c>
      <c r="C892" s="28" t="str">
        <f>IF(Jul!$C35="SI",Jul!$B35,"")</f>
        <v/>
      </c>
      <c r="D892" s="28" t="str">
        <f>IF(Jul!$C35="SI",Jul!$F35,"")</f>
        <v/>
      </c>
      <c r="E892" s="47" t="s">
        <v>113</v>
      </c>
    </row>
    <row r="893" spans="2:5" x14ac:dyDescent="0.2">
      <c r="B893" s="28" t="str">
        <f>IF(Jul!$C39="SI",Jul!$B$38,"")</f>
        <v/>
      </c>
      <c r="C893" s="28" t="str">
        <f>IF(Jul!$C39="SI",Jul!$B39,"")</f>
        <v/>
      </c>
      <c r="D893" s="28" t="str">
        <f>IF(Jul!$C39="SI",Jul!$F39,"")</f>
        <v/>
      </c>
      <c r="E893" s="47" t="s">
        <v>113</v>
      </c>
    </row>
    <row r="894" spans="2:5" x14ac:dyDescent="0.2">
      <c r="B894" s="28" t="str">
        <f>IF(Jul!$C40="SI",Jul!$B$38,"")</f>
        <v/>
      </c>
      <c r="C894" s="28" t="str">
        <f>IF(Jul!$C40="SI",Jul!$B40,"")</f>
        <v/>
      </c>
      <c r="D894" s="28" t="str">
        <f>IF(Jul!$C40="SI",Jul!$F40,"")</f>
        <v/>
      </c>
      <c r="E894" s="47" t="s">
        <v>113</v>
      </c>
    </row>
    <row r="895" spans="2:5" x14ac:dyDescent="0.2">
      <c r="B895" s="28" t="str">
        <f>IF(Jul!$C41="SI",Jul!$B$38,"")</f>
        <v/>
      </c>
      <c r="C895" s="28" t="str">
        <f>IF(Jul!$C41="SI",Jul!$B41,"")</f>
        <v/>
      </c>
      <c r="D895" s="28" t="str">
        <f>IF(Jul!$C41="SI",Jul!$F41,"")</f>
        <v/>
      </c>
      <c r="E895" s="47" t="s">
        <v>113</v>
      </c>
    </row>
    <row r="896" spans="2:5" x14ac:dyDescent="0.2">
      <c r="B896" s="28" t="str">
        <f>IF(Jul!$C42="SI",Jul!$B$38,"")</f>
        <v/>
      </c>
      <c r="C896" s="28" t="str">
        <f>IF(Jul!$C42="SI",Jul!$B42,"")</f>
        <v/>
      </c>
      <c r="D896" s="28" t="str">
        <f>IF(Jul!$C42="SI",Jul!$F42,"")</f>
        <v/>
      </c>
      <c r="E896" s="47" t="s">
        <v>113</v>
      </c>
    </row>
    <row r="897" spans="2:5" x14ac:dyDescent="0.2">
      <c r="B897" s="28" t="str">
        <f>IF(Jul!$C43="SI",Jul!$B$38,"")</f>
        <v/>
      </c>
      <c r="C897" s="28" t="str">
        <f>IF(Jul!$C43="SI",Jul!$B43,"")</f>
        <v/>
      </c>
      <c r="D897" s="28" t="str">
        <f>IF(Jul!$C43="SI",Jul!$F43,"")</f>
        <v/>
      </c>
      <c r="E897" s="47" t="s">
        <v>113</v>
      </c>
    </row>
    <row r="898" spans="2:5" x14ac:dyDescent="0.2">
      <c r="B898" s="28" t="str">
        <f>IF(Jul!$C44="SI",Jul!$B$38,"")</f>
        <v/>
      </c>
      <c r="C898" s="28" t="str">
        <f>IF(Jul!$C44="SI",Jul!$B44,"")</f>
        <v/>
      </c>
      <c r="D898" s="28" t="str">
        <f>IF(Jul!$C44="SI",Jul!$F44,"")</f>
        <v/>
      </c>
      <c r="E898" s="47" t="s">
        <v>113</v>
      </c>
    </row>
    <row r="899" spans="2:5" x14ac:dyDescent="0.2">
      <c r="B899" s="28" t="str">
        <f>IF(Jul!$C45="SI",Jul!$B$38,"")</f>
        <v/>
      </c>
      <c r="C899" s="28" t="str">
        <f>IF(Jul!$C45="SI",Jul!$B45,"")</f>
        <v/>
      </c>
      <c r="D899" s="28" t="str">
        <f>IF(Jul!$C45="SI",Jul!$F45,"")</f>
        <v/>
      </c>
      <c r="E899" s="47" t="s">
        <v>113</v>
      </c>
    </row>
    <row r="900" spans="2:5" x14ac:dyDescent="0.2">
      <c r="B900" s="28" t="str">
        <f>IF(Jul!$C49="SI",Jul!$B$48,"")</f>
        <v/>
      </c>
      <c r="C900" s="28" t="str">
        <f>IF(Jul!$C49="SI",Jul!$B49,"")</f>
        <v/>
      </c>
      <c r="D900" s="28" t="str">
        <f>IF(Jul!$C49="SI",Jul!$F49,"")</f>
        <v/>
      </c>
      <c r="E900" s="47" t="s">
        <v>113</v>
      </c>
    </row>
    <row r="901" spans="2:5" x14ac:dyDescent="0.2">
      <c r="B901" s="28" t="str">
        <f>IF(Jul!$C50="SI",Jul!$B$48,"")</f>
        <v/>
      </c>
      <c r="C901" s="28" t="str">
        <f>IF(Jul!$C50="SI",Jul!$B50,"")</f>
        <v/>
      </c>
      <c r="D901" s="28" t="str">
        <f>IF(Jul!$C50="SI",Jul!$F50,"")</f>
        <v/>
      </c>
      <c r="E901" s="47" t="s">
        <v>113</v>
      </c>
    </row>
    <row r="902" spans="2:5" x14ac:dyDescent="0.2">
      <c r="B902" s="28" t="str">
        <f>IF(Jul!$C51="SI",Jul!$B$48,"")</f>
        <v/>
      </c>
      <c r="C902" s="28" t="str">
        <f>IF(Jul!$C51="SI",Jul!$B51,"")</f>
        <v/>
      </c>
      <c r="D902" s="28" t="str">
        <f>IF(Jul!$C51="SI",Jul!$F51,"")</f>
        <v/>
      </c>
      <c r="E902" s="47" t="s">
        <v>113</v>
      </c>
    </row>
    <row r="903" spans="2:5" x14ac:dyDescent="0.2">
      <c r="B903" s="28" t="str">
        <f>IF(Jul!$C52="SI",Jul!$B$48,"")</f>
        <v/>
      </c>
      <c r="C903" s="28" t="str">
        <f>IF(Jul!$C52="SI",Jul!$B52,"")</f>
        <v/>
      </c>
      <c r="D903" s="28" t="str">
        <f>IF(Jul!$C52="SI",Jul!$F52,"")</f>
        <v/>
      </c>
      <c r="E903" s="47" t="s">
        <v>113</v>
      </c>
    </row>
    <row r="904" spans="2:5" x14ac:dyDescent="0.2">
      <c r="B904" s="28" t="str">
        <f>IF(Jul!$C53="SI",Jul!$B$48,"")</f>
        <v/>
      </c>
      <c r="C904" s="28" t="str">
        <f>IF(Jul!$C53="SI",Jul!$B53,"")</f>
        <v/>
      </c>
      <c r="D904" s="28" t="str">
        <f>IF(Jul!$C53="SI",Jul!$F53,"")</f>
        <v/>
      </c>
      <c r="E904" s="47" t="s">
        <v>113</v>
      </c>
    </row>
    <row r="905" spans="2:5" x14ac:dyDescent="0.2">
      <c r="B905" s="28" t="str">
        <f>IF(Jul!$C54="SI",Jul!$B$48,"")</f>
        <v/>
      </c>
      <c r="C905" s="28" t="str">
        <f>IF(Jul!$C54="SI",Jul!$B54,"")</f>
        <v/>
      </c>
      <c r="D905" s="28" t="str">
        <f>IF(Jul!$C54="SI",Jul!$F54,"")</f>
        <v/>
      </c>
      <c r="E905" s="47" t="s">
        <v>113</v>
      </c>
    </row>
    <row r="906" spans="2:5" x14ac:dyDescent="0.2">
      <c r="B906" s="28" t="str">
        <f>IF(Jul!$C58="SI",Jul!$B$57,"")</f>
        <v/>
      </c>
      <c r="C906" s="28" t="str">
        <f>IF(Jul!$C58="SI",Jul!$B58,"")</f>
        <v/>
      </c>
      <c r="D906" s="28" t="str">
        <f>IF(Jul!$C58="SI",Jul!$F58,"")</f>
        <v/>
      </c>
      <c r="E906" s="47" t="s">
        <v>113</v>
      </c>
    </row>
    <row r="907" spans="2:5" x14ac:dyDescent="0.2">
      <c r="B907" s="28" t="str">
        <f>IF(Jul!$C59="SI",Jul!$B$57,"")</f>
        <v/>
      </c>
      <c r="C907" s="28" t="str">
        <f>IF(Jul!$C59="SI",Jul!$B59,"")</f>
        <v/>
      </c>
      <c r="D907" s="28" t="str">
        <f>IF(Jul!$C59="SI",Jul!$F59,"")</f>
        <v/>
      </c>
      <c r="E907" s="47" t="s">
        <v>113</v>
      </c>
    </row>
    <row r="908" spans="2:5" x14ac:dyDescent="0.2">
      <c r="B908" s="28" t="str">
        <f>IF(Jul!$C60="SI",Jul!$B$57,"")</f>
        <v/>
      </c>
      <c r="C908" s="28" t="str">
        <f>IF(Jul!$C60="SI",Jul!$B60,"")</f>
        <v/>
      </c>
      <c r="D908" s="28" t="str">
        <f>IF(Jul!$C60="SI",Jul!$F60,"")</f>
        <v/>
      </c>
      <c r="E908" s="47" t="s">
        <v>113</v>
      </c>
    </row>
    <row r="909" spans="2:5" x14ac:dyDescent="0.2">
      <c r="B909" s="28" t="str">
        <f>IF(Jul!$C61="SI",Jul!$B$57,"")</f>
        <v/>
      </c>
      <c r="C909" s="28" t="str">
        <f>IF(Jul!$C61="SI",Jul!$B61,"")</f>
        <v/>
      </c>
      <c r="D909" s="28" t="str">
        <f>IF(Jul!$C61="SI",Jul!$F61,"")</f>
        <v/>
      </c>
      <c r="E909" s="47" t="s">
        <v>113</v>
      </c>
    </row>
    <row r="910" spans="2:5" x14ac:dyDescent="0.2">
      <c r="B910" s="28" t="str">
        <f>IF(Jul!$C62="SI",Jul!$B$57,"")</f>
        <v/>
      </c>
      <c r="C910" s="28" t="str">
        <f>IF(Jul!$C62="SI",Jul!$B62,"")</f>
        <v/>
      </c>
      <c r="D910" s="28" t="str">
        <f>IF(Jul!$C62="SI",Jul!$F62,"")</f>
        <v/>
      </c>
      <c r="E910" s="47" t="s">
        <v>113</v>
      </c>
    </row>
    <row r="911" spans="2:5" x14ac:dyDescent="0.2">
      <c r="B911" s="28" t="str">
        <f>IF(Jul!$C63="SI",Jul!$B$57,"")</f>
        <v/>
      </c>
      <c r="C911" s="28" t="str">
        <f>IF(Jul!$C63="SI",Jul!$B63,"")</f>
        <v/>
      </c>
      <c r="D911" s="28" t="str">
        <f>IF(Jul!$C63="SI",Jul!$F63,"")</f>
        <v/>
      </c>
      <c r="E911" s="47" t="s">
        <v>113</v>
      </c>
    </row>
    <row r="912" spans="2:5" x14ac:dyDescent="0.2">
      <c r="B912" s="28" t="str">
        <f>IF(Jul!$C64="SI",Jul!$B$57,"")</f>
        <v/>
      </c>
      <c r="C912" s="28" t="str">
        <f>IF(Jul!$C64="SI",Jul!$B64,"")</f>
        <v/>
      </c>
      <c r="D912" s="28" t="str">
        <f>IF(Jul!$C64="SI",Jul!$F64,"")</f>
        <v/>
      </c>
      <c r="E912" s="47" t="s">
        <v>113</v>
      </c>
    </row>
    <row r="913" spans="2:5" x14ac:dyDescent="0.2">
      <c r="B913" s="28" t="str">
        <f>IF(Jul!$C68="SI",Jul!$B$67,"")</f>
        <v/>
      </c>
      <c r="C913" s="28" t="str">
        <f>IF(Jul!$C68="SI",Jul!$B68,"")</f>
        <v/>
      </c>
      <c r="D913" s="28" t="str">
        <f>IF(Jul!$C68="SI",Jul!$F68,"")</f>
        <v/>
      </c>
      <c r="E913" s="47" t="s">
        <v>113</v>
      </c>
    </row>
    <row r="914" spans="2:5" x14ac:dyDescent="0.2">
      <c r="B914" s="28" t="str">
        <f>IF(Jul!$C69="SI",Jul!$B$67,"")</f>
        <v/>
      </c>
      <c r="C914" s="28" t="str">
        <f>IF(Jul!$C69="SI",Jul!$B69,"")</f>
        <v/>
      </c>
      <c r="D914" s="28" t="str">
        <f>IF(Jul!$C69="SI",Jul!$F69,"")</f>
        <v/>
      </c>
      <c r="E914" s="47" t="s">
        <v>113</v>
      </c>
    </row>
    <row r="915" spans="2:5" x14ac:dyDescent="0.2">
      <c r="B915" s="28" t="str">
        <f>IF(Jul!$C70="SI",Jul!$B$67,"")</f>
        <v/>
      </c>
      <c r="C915" s="28" t="str">
        <f>IF(Jul!$C70="SI",Jul!$B70,"")</f>
        <v/>
      </c>
      <c r="D915" s="28" t="str">
        <f>IF(Jul!$C70="SI",Jul!$F70,"")</f>
        <v/>
      </c>
      <c r="E915" s="47" t="s">
        <v>113</v>
      </c>
    </row>
    <row r="916" spans="2:5" x14ac:dyDescent="0.2">
      <c r="B916" s="28" t="str">
        <f>IF(Jul!$C71="SI",Jul!$B$67,"")</f>
        <v/>
      </c>
      <c r="C916" s="28" t="str">
        <f>IF(Jul!$C71="SI",Jul!$B71,"")</f>
        <v/>
      </c>
      <c r="D916" s="28" t="str">
        <f>IF(Jul!$C71="SI",Jul!$F71,"")</f>
        <v/>
      </c>
      <c r="E916" s="47" t="s">
        <v>113</v>
      </c>
    </row>
    <row r="917" spans="2:5" x14ac:dyDescent="0.2">
      <c r="B917" s="28" t="str">
        <f>IF(Jul!$C72="SI",Jul!$B$67,"")</f>
        <v/>
      </c>
      <c r="C917" s="28" t="str">
        <f>IF(Jul!$C72="SI",Jul!$B72,"")</f>
        <v/>
      </c>
      <c r="D917" s="28" t="str">
        <f>IF(Jul!$C72="SI",Jul!$F72,"")</f>
        <v/>
      </c>
      <c r="E917" s="47" t="s">
        <v>113</v>
      </c>
    </row>
    <row r="918" spans="2:5" x14ac:dyDescent="0.2">
      <c r="B918" s="28" t="str">
        <f>IF(Jul!$C73="SI",Jul!$B$67,"")</f>
        <v/>
      </c>
      <c r="C918" s="28" t="str">
        <f>IF(Jul!$C73="SI",Jul!$B73,"")</f>
        <v/>
      </c>
      <c r="D918" s="28" t="str">
        <f>IF(Jul!$C73="SI",Jul!$F73,"")</f>
        <v/>
      </c>
      <c r="E918" s="47" t="s">
        <v>113</v>
      </c>
    </row>
    <row r="919" spans="2:5" x14ac:dyDescent="0.2">
      <c r="B919" s="28" t="str">
        <f>IF(Jul!$C74="SI",Jul!$B$67,"")</f>
        <v/>
      </c>
      <c r="C919" s="28" t="str">
        <f>IF(Jul!$C74="SI",Jul!$B74,"")</f>
        <v/>
      </c>
      <c r="D919" s="28" t="str">
        <f>IF(Jul!$C74="SI",Jul!$F74,"")</f>
        <v/>
      </c>
      <c r="E919" s="47" t="s">
        <v>113</v>
      </c>
    </row>
    <row r="920" spans="2:5" x14ac:dyDescent="0.2">
      <c r="B920" s="28" t="str">
        <f>IF(Jul!$C75="SI",Jul!$B$67,"")</f>
        <v/>
      </c>
      <c r="C920" s="28" t="str">
        <f>IF(Jul!$C75="SI",Jul!$B75,"")</f>
        <v/>
      </c>
      <c r="D920" s="28" t="str">
        <f>IF(Jul!$C75="SI",Jul!$F75,"")</f>
        <v/>
      </c>
      <c r="E920" s="47" t="s">
        <v>113</v>
      </c>
    </row>
    <row r="921" spans="2:5" x14ac:dyDescent="0.2">
      <c r="B921" s="28" t="str">
        <f>IF(Jul!$C76="SI",Jul!$B$67,"")</f>
        <v/>
      </c>
      <c r="C921" s="28" t="str">
        <f>IF(Jul!$C76="SI",Jul!$B76,"")</f>
        <v/>
      </c>
      <c r="D921" s="28" t="str">
        <f>IF(Jul!$C76="SI",Jul!$F76,"")</f>
        <v/>
      </c>
      <c r="E921" s="47" t="s">
        <v>113</v>
      </c>
    </row>
    <row r="922" spans="2:5" x14ac:dyDescent="0.2">
      <c r="B922" s="28" t="str">
        <f>IF(Jul!$C77="SI",Jul!$B$67,"")</f>
        <v/>
      </c>
      <c r="C922" s="28" t="str">
        <f>IF(Jul!$C77="SI",Jul!$B77,"")</f>
        <v/>
      </c>
      <c r="D922" s="28" t="str">
        <f>IF(Jul!$C77="SI",Jul!$F77,"")</f>
        <v/>
      </c>
      <c r="E922" s="47" t="s">
        <v>113</v>
      </c>
    </row>
    <row r="923" spans="2:5" x14ac:dyDescent="0.2">
      <c r="B923" s="28" t="str">
        <f>IF(Jul!$C78="SI",Jul!$B$67,"")</f>
        <v/>
      </c>
      <c r="C923" s="28" t="str">
        <f>IF(Jul!$C78="SI",Jul!$B78,"")</f>
        <v/>
      </c>
      <c r="D923" s="28" t="str">
        <f>IF(Jul!$C78="SI",Jul!$F78,"")</f>
        <v/>
      </c>
      <c r="E923" s="47" t="s">
        <v>113</v>
      </c>
    </row>
    <row r="924" spans="2:5" x14ac:dyDescent="0.2">
      <c r="B924" s="28" t="str">
        <f>IF(Jul!$C82="SI",Jul!$B$81,"")</f>
        <v/>
      </c>
      <c r="C924" s="28" t="str">
        <f>IF(Jul!$C82="SI",Jul!$B82,"")</f>
        <v/>
      </c>
      <c r="D924" s="28" t="str">
        <f>IF(Jul!$C82="SI",Jul!$F82,"")</f>
        <v/>
      </c>
      <c r="E924" s="47" t="s">
        <v>113</v>
      </c>
    </row>
    <row r="925" spans="2:5" x14ac:dyDescent="0.2">
      <c r="B925" s="28" t="str">
        <f>IF(Jul!$C83="SI",Jul!$B$81,"")</f>
        <v/>
      </c>
      <c r="C925" s="28" t="str">
        <f>IF(Jul!$C83="SI",Jul!$B83,"")</f>
        <v/>
      </c>
      <c r="D925" s="28" t="str">
        <f>IF(Jul!$C83="SI",Jul!$F83,"")</f>
        <v/>
      </c>
      <c r="E925" s="47" t="s">
        <v>113</v>
      </c>
    </row>
    <row r="926" spans="2:5" x14ac:dyDescent="0.2">
      <c r="B926" s="28" t="str">
        <f>IF(Jul!$C84="SI",Jul!$B$81,"")</f>
        <v/>
      </c>
      <c r="C926" s="28" t="str">
        <f>IF(Jul!$C84="SI",Jul!$B84,"")</f>
        <v/>
      </c>
      <c r="D926" s="28" t="str">
        <f>IF(Jul!$C84="SI",Jul!$F84,"")</f>
        <v/>
      </c>
      <c r="E926" s="47" t="s">
        <v>113</v>
      </c>
    </row>
    <row r="927" spans="2:5" x14ac:dyDescent="0.2">
      <c r="B927" s="28" t="str">
        <f>IF(Jul!$C85="SI",Jul!$B$81,"")</f>
        <v/>
      </c>
      <c r="C927" s="28" t="str">
        <f>IF(Jul!$C85="SI",Jul!$B85,"")</f>
        <v/>
      </c>
      <c r="D927" s="28" t="str">
        <f>IF(Jul!$C85="SI",Jul!$F85,"")</f>
        <v/>
      </c>
      <c r="E927" s="47" t="s">
        <v>113</v>
      </c>
    </row>
    <row r="928" spans="2:5" x14ac:dyDescent="0.2">
      <c r="B928" s="28" t="str">
        <f>IF(Jul!$C86="SI",Jul!$B$81,"")</f>
        <v/>
      </c>
      <c r="C928" s="28" t="str">
        <f>IF(Jul!$C86="SI",Jul!$B86,"")</f>
        <v/>
      </c>
      <c r="D928" s="28" t="str">
        <f>IF(Jul!$C86="SI",Jul!$F86,"")</f>
        <v/>
      </c>
      <c r="E928" s="47" t="s">
        <v>113</v>
      </c>
    </row>
    <row r="929" spans="2:5" x14ac:dyDescent="0.2">
      <c r="B929" s="28" t="str">
        <f>IF(Jul!$C87="SI",Jul!$B$81,"")</f>
        <v/>
      </c>
      <c r="C929" s="28" t="str">
        <f>IF(Jul!$C87="SI",Jul!$B87,"")</f>
        <v/>
      </c>
      <c r="D929" s="28" t="str">
        <f>IF(Jul!$C87="SI",Jul!$F87,"")</f>
        <v/>
      </c>
      <c r="E929" s="47" t="s">
        <v>113</v>
      </c>
    </row>
    <row r="930" spans="2:5" x14ac:dyDescent="0.2">
      <c r="B930" s="28" t="str">
        <f>IF(Jul!$C91="SI",Jul!$B$90,"")</f>
        <v/>
      </c>
      <c r="C930" s="28" t="str">
        <f>IF(Jul!$C91="SI",Jul!$B91,"")</f>
        <v/>
      </c>
      <c r="D930" s="28" t="str">
        <f>IF(Jul!$C91="SI",Jul!$F91,"")</f>
        <v/>
      </c>
      <c r="E930" s="47" t="s">
        <v>113</v>
      </c>
    </row>
    <row r="931" spans="2:5" x14ac:dyDescent="0.2">
      <c r="B931" s="28" t="str">
        <f>IF(Jul!$C92="SI",Jul!$B$90,"")</f>
        <v/>
      </c>
      <c r="C931" s="28" t="str">
        <f>IF(Jul!$C92="SI",Jul!$B92,"")</f>
        <v/>
      </c>
      <c r="D931" s="28" t="str">
        <f>IF(Jul!$C92="SI",Jul!$F92,"")</f>
        <v/>
      </c>
      <c r="E931" s="47" t="s">
        <v>113</v>
      </c>
    </row>
    <row r="932" spans="2:5" x14ac:dyDescent="0.2">
      <c r="B932" s="28" t="str">
        <f>IF(Jul!$C93="SI",Jul!$B$90,"")</f>
        <v/>
      </c>
      <c r="C932" s="28" t="str">
        <f>IF(Jul!$C93="SI",Jul!$B93,"")</f>
        <v/>
      </c>
      <c r="D932" s="28" t="str">
        <f>IF(Jul!$C93="SI",Jul!$F93,"")</f>
        <v/>
      </c>
      <c r="E932" s="47" t="s">
        <v>113</v>
      </c>
    </row>
    <row r="933" spans="2:5" x14ac:dyDescent="0.2">
      <c r="B933" s="28" t="str">
        <f>IF(Jul!$C94="SI",Jul!$B$90,"")</f>
        <v/>
      </c>
      <c r="C933" s="28" t="str">
        <f>IF(Jul!$C94="SI",Jul!$B94,"")</f>
        <v/>
      </c>
      <c r="D933" s="28" t="str">
        <f>IF(Jul!$C94="SI",Jul!$F94,"")</f>
        <v/>
      </c>
      <c r="E933" s="47" t="s">
        <v>113</v>
      </c>
    </row>
    <row r="934" spans="2:5" x14ac:dyDescent="0.2">
      <c r="B934" s="28" t="str">
        <f>IF(Jul!$C95="SI",Jul!$B$90,"")</f>
        <v/>
      </c>
      <c r="C934" s="28" t="str">
        <f>IF(Jul!$C95="SI",Jul!$B95,"")</f>
        <v/>
      </c>
      <c r="D934" s="28" t="str">
        <f>IF(Jul!$C95="SI",Jul!$F95,"")</f>
        <v/>
      </c>
      <c r="E934" s="47" t="s">
        <v>113</v>
      </c>
    </row>
    <row r="935" spans="2:5" x14ac:dyDescent="0.2">
      <c r="B935" s="28" t="str">
        <f>IF(Jul!$C96="SI",Jul!$B$90,"")</f>
        <v/>
      </c>
      <c r="C935" s="28" t="str">
        <f>IF(Jul!$C96="SI",Jul!$B96,"")</f>
        <v/>
      </c>
      <c r="D935" s="28" t="str">
        <f>IF(Jul!$C96="SI",Jul!$F96,"")</f>
        <v/>
      </c>
      <c r="E935" s="47" t="s">
        <v>113</v>
      </c>
    </row>
    <row r="936" spans="2:5" x14ac:dyDescent="0.2">
      <c r="B936" s="28" t="str">
        <f>IF(Jul!$C97="SI",Jul!$B$90,"")</f>
        <v/>
      </c>
      <c r="C936" s="28" t="str">
        <f>IF(Jul!$C97="SI",Jul!$B97,"")</f>
        <v/>
      </c>
      <c r="D936" s="28" t="str">
        <f>IF(Jul!$C97="SI",Jul!$F97,"")</f>
        <v/>
      </c>
      <c r="E936" s="47" t="s">
        <v>113</v>
      </c>
    </row>
    <row r="937" spans="2:5" x14ac:dyDescent="0.2">
      <c r="B937" s="28" t="str">
        <f>IF(Jul!$C101="SI",Jul!$B$100,"")</f>
        <v/>
      </c>
      <c r="C937" s="28" t="str">
        <f>IF(Jul!$C101="SI",Jul!$B101,"")</f>
        <v/>
      </c>
      <c r="D937" s="28" t="str">
        <f>IF(Jul!$C101="SI",Jul!$F101,"")</f>
        <v/>
      </c>
      <c r="E937" s="47" t="s">
        <v>113</v>
      </c>
    </row>
    <row r="938" spans="2:5" x14ac:dyDescent="0.2">
      <c r="B938" s="28" t="str">
        <f>IF(Jul!$C102="SI",Jul!$B$100,"")</f>
        <v/>
      </c>
      <c r="C938" s="28" t="str">
        <f>IF(Jul!$C102="SI",Jul!$B102,"")</f>
        <v/>
      </c>
      <c r="D938" s="28" t="str">
        <f>IF(Jul!$C102="SI",Jul!$F102,"")</f>
        <v/>
      </c>
      <c r="E938" s="47" t="s">
        <v>113</v>
      </c>
    </row>
    <row r="939" spans="2:5" x14ac:dyDescent="0.2">
      <c r="B939" s="28" t="str">
        <f>IF(Jul!$C103="SI",Jul!$B$100,"")</f>
        <v/>
      </c>
      <c r="C939" s="28" t="str">
        <f>IF(Jul!$C103="SI",Jul!$B103,"")</f>
        <v/>
      </c>
      <c r="D939" s="28" t="str">
        <f>IF(Jul!$C103="SI",Jul!$F103,"")</f>
        <v/>
      </c>
      <c r="E939" s="47" t="s">
        <v>113</v>
      </c>
    </row>
    <row r="940" spans="2:5" x14ac:dyDescent="0.2">
      <c r="B940" s="28" t="str">
        <f>IF(Jul!$C104="SI",Jul!$B$100,"")</f>
        <v/>
      </c>
      <c r="C940" s="28" t="str">
        <f>IF(Jul!$C104="SI",Jul!$B104,"")</f>
        <v/>
      </c>
      <c r="D940" s="28" t="str">
        <f>IF(Jul!$C104="SI",Jul!$F104,"")</f>
        <v/>
      </c>
      <c r="E940" s="47" t="s">
        <v>113</v>
      </c>
    </row>
    <row r="941" spans="2:5" x14ac:dyDescent="0.2">
      <c r="B941" s="28" t="str">
        <f>IF(Jul!$C105="SI",Jul!$B$100,"")</f>
        <v/>
      </c>
      <c r="C941" s="28" t="str">
        <f>IF(Jul!$C105="SI",Jul!$B105,"")</f>
        <v/>
      </c>
      <c r="D941" s="28" t="str">
        <f>IF(Jul!$C105="SI",Jul!$F105,"")</f>
        <v/>
      </c>
      <c r="E941" s="47" t="s">
        <v>113</v>
      </c>
    </row>
    <row r="942" spans="2:5" x14ac:dyDescent="0.2">
      <c r="B942" s="28" t="str">
        <f>IF(Jul!$C106="SI",Jul!$B$100,"")</f>
        <v/>
      </c>
      <c r="C942" s="28" t="str">
        <f>IF(Jul!$C106="SI",Jul!$B106,"")</f>
        <v/>
      </c>
      <c r="D942" s="28" t="str">
        <f>IF(Jul!$C106="SI",Jul!$F106,"")</f>
        <v/>
      </c>
      <c r="E942" s="47" t="s">
        <v>113</v>
      </c>
    </row>
    <row r="943" spans="2:5" x14ac:dyDescent="0.2">
      <c r="B943" s="28" t="str">
        <f>IF(Jul!$C107="SI",Jul!$B$100,"")</f>
        <v/>
      </c>
      <c r="C943" s="28" t="str">
        <f>IF(Jul!$C107="SI",Jul!$B107,"")</f>
        <v/>
      </c>
      <c r="D943" s="28" t="str">
        <f>IF(Jul!$C107="SI",Jul!$F107,"")</f>
        <v/>
      </c>
      <c r="E943" s="47" t="s">
        <v>113</v>
      </c>
    </row>
    <row r="944" spans="2:5" x14ac:dyDescent="0.2">
      <c r="B944" s="29"/>
      <c r="C944" s="29"/>
      <c r="D944" s="29"/>
      <c r="E944" s="47" t="s">
        <v>113</v>
      </c>
    </row>
    <row r="945" spans="2:5" x14ac:dyDescent="0.2">
      <c r="B945" s="28" t="str">
        <f>IF(Jul!$I13="SI",Jul!$H$12,"")</f>
        <v>AHORROS</v>
      </c>
      <c r="C945" s="28" t="str">
        <f>IF(Jul!$I13="SI",Jul!$H13,"")</f>
        <v>Fondo de Emergencia</v>
      </c>
      <c r="D945" s="28">
        <f>IF(Jul!$I13="SI",Jul!$L13,"")</f>
        <v>0</v>
      </c>
      <c r="E945" s="47" t="s">
        <v>113</v>
      </c>
    </row>
    <row r="946" spans="2:5" x14ac:dyDescent="0.2">
      <c r="B946" s="28" t="str">
        <f>IF(Jul!$I14="SI",Jul!$H$12,"")</f>
        <v/>
      </c>
      <c r="C946" s="28" t="str">
        <f>IF(Jul!$I14="SI",Jul!$H14,"")</f>
        <v/>
      </c>
      <c r="D946" s="28" t="str">
        <f>IF(Jul!$I14="SI",Jul!$L14,"")</f>
        <v/>
      </c>
      <c r="E946" s="47" t="s">
        <v>113</v>
      </c>
    </row>
    <row r="947" spans="2:5" x14ac:dyDescent="0.2">
      <c r="B947" s="28" t="str">
        <f>IF(Jul!$I15="SI",Jul!$H$12,"")</f>
        <v/>
      </c>
      <c r="C947" s="28" t="str">
        <f>IF(Jul!$I15="SI",Jul!$H15,"")</f>
        <v/>
      </c>
      <c r="D947" s="28" t="str">
        <f>IF(Jul!$I15="SI",Jul!$L15,"")</f>
        <v/>
      </c>
      <c r="E947" s="47" t="s">
        <v>113</v>
      </c>
    </row>
    <row r="948" spans="2:5" x14ac:dyDescent="0.2">
      <c r="B948" s="28" t="str">
        <f>IF(Jul!$I16="SI",Jul!$H$12,"")</f>
        <v/>
      </c>
      <c r="C948" s="28" t="str">
        <f>IF(Jul!$I16="SI",Jul!$H16,"")</f>
        <v/>
      </c>
      <c r="D948" s="28" t="str">
        <f>IF(Jul!$I16="SI",Jul!$L16,"")</f>
        <v/>
      </c>
      <c r="E948" s="47" t="s">
        <v>113</v>
      </c>
    </row>
    <row r="949" spans="2:5" x14ac:dyDescent="0.2">
      <c r="B949" s="28" t="str">
        <f>IF(Jul!$I17="SI",Jul!$H$12,"")</f>
        <v/>
      </c>
      <c r="C949" s="28" t="str">
        <f>IF(Jul!$I17="SI",Jul!$H17,"")</f>
        <v/>
      </c>
      <c r="D949" s="28" t="str">
        <f>IF(Jul!$I17="SI",Jul!$L17,"")</f>
        <v/>
      </c>
      <c r="E949" s="47" t="s">
        <v>113</v>
      </c>
    </row>
    <row r="950" spans="2:5" x14ac:dyDescent="0.2">
      <c r="B950" s="28" t="str">
        <f>IF(Jul!$I18="SI",Jul!$H$12,"")</f>
        <v/>
      </c>
      <c r="C950" s="28" t="str">
        <f>IF(Jul!$I18="SI",Jul!$H18,"")</f>
        <v/>
      </c>
      <c r="D950" s="28" t="str">
        <f>IF(Jul!$I18="SI",Jul!$L18,"")</f>
        <v/>
      </c>
      <c r="E950" s="47" t="s">
        <v>113</v>
      </c>
    </row>
    <row r="951" spans="2:5" x14ac:dyDescent="0.2">
      <c r="B951" s="28" t="str">
        <f>IF(Jul!$I19="SI",Jul!$H$12,"")</f>
        <v/>
      </c>
      <c r="C951" s="28" t="str">
        <f>IF(Jul!$I19="SI",Jul!$H19,"")</f>
        <v/>
      </c>
      <c r="D951" s="28" t="str">
        <f>IF(Jul!$I19="SI",Jul!$L19,"")</f>
        <v/>
      </c>
      <c r="E951" s="47" t="s">
        <v>113</v>
      </c>
    </row>
    <row r="952" spans="2:5" x14ac:dyDescent="0.2">
      <c r="B952" s="28" t="str">
        <f>IF(Jul!$I20="SI",Jul!$H$12,"")</f>
        <v/>
      </c>
      <c r="C952" s="28" t="str">
        <f>IF(Jul!$I20="SI",Jul!$H20,"")</f>
        <v/>
      </c>
      <c r="D952" s="28" t="str">
        <f>IF(Jul!$I20="SI",Jul!$L20,"")</f>
        <v/>
      </c>
      <c r="E952" s="47" t="s">
        <v>113</v>
      </c>
    </row>
    <row r="953" spans="2:5" x14ac:dyDescent="0.2">
      <c r="B953" s="28" t="str">
        <f>IF(Jul!$I21="SI",Jul!$H$12,"")</f>
        <v/>
      </c>
      <c r="C953" s="28" t="str">
        <f>IF(Jul!$I21="SI",Jul!$H21,"")</f>
        <v/>
      </c>
      <c r="D953" s="28" t="str">
        <f>IF(Jul!$I21="SI",Jul!$L21,"")</f>
        <v/>
      </c>
      <c r="E953" s="47" t="s">
        <v>113</v>
      </c>
    </row>
    <row r="954" spans="2:5" x14ac:dyDescent="0.2">
      <c r="B954" s="28" t="str">
        <f>IF(Jul!$I22="SI",Jul!$H$12,"")</f>
        <v/>
      </c>
      <c r="C954" s="28" t="str">
        <f>IF(Jul!$I22="SI",Jul!$H22,"")</f>
        <v/>
      </c>
      <c r="D954" s="28" t="str">
        <f>IF(Jul!$I22="SI",Jul!$L22,"")</f>
        <v/>
      </c>
      <c r="E954" s="47" t="s">
        <v>113</v>
      </c>
    </row>
    <row r="955" spans="2:5" x14ac:dyDescent="0.2">
      <c r="B955" s="28" t="str">
        <f>IF(Jul!$I23="SI",Jul!$H$12,"")</f>
        <v/>
      </c>
      <c r="C955" s="28" t="str">
        <f>IF(Jul!$I23="SI",Jul!$H23,"")</f>
        <v/>
      </c>
      <c r="D955" s="28" t="str">
        <f>IF(Jul!$I23="SI",Jul!$L23,"")</f>
        <v/>
      </c>
      <c r="E955" s="47" t="s">
        <v>113</v>
      </c>
    </row>
    <row r="956" spans="2:5" x14ac:dyDescent="0.2">
      <c r="B956" s="28" t="str">
        <f>IF(Jul!$I24="SI",Jul!$H$12,"")</f>
        <v/>
      </c>
      <c r="C956" s="28" t="str">
        <f>IF(Jul!$I24="SI",Jul!$H24,"")</f>
        <v/>
      </c>
      <c r="D956" s="28" t="str">
        <f>IF(Jul!$I24="SI",Jul!$L24,"")</f>
        <v/>
      </c>
      <c r="E956" s="47" t="s">
        <v>113</v>
      </c>
    </row>
    <row r="957" spans="2:5" x14ac:dyDescent="0.2">
      <c r="B957" s="28" t="str">
        <f>IF(Jul!$I28="SI",Jul!$H$27,"")</f>
        <v/>
      </c>
      <c r="C957" s="28" t="str">
        <f>IF(Jul!$I28="SI",Jul!$H28,"")</f>
        <v/>
      </c>
      <c r="D957" s="28" t="str">
        <f>IF(Jul!$I28="SI",Jul!$L28,"")</f>
        <v/>
      </c>
      <c r="E957" s="47" t="s">
        <v>113</v>
      </c>
    </row>
    <row r="958" spans="2:5" x14ac:dyDescent="0.2">
      <c r="B958" s="28" t="str">
        <f>IF(Jul!$I29="SI",Jul!$H$27,"")</f>
        <v/>
      </c>
      <c r="C958" s="28" t="str">
        <f>IF(Jul!$I29="SI",Jul!$H29,"")</f>
        <v/>
      </c>
      <c r="D958" s="28" t="str">
        <f>IF(Jul!$I29="SI",Jul!$L29,"")</f>
        <v/>
      </c>
      <c r="E958" s="47" t="s">
        <v>113</v>
      </c>
    </row>
    <row r="959" spans="2:5" x14ac:dyDescent="0.2">
      <c r="B959" s="28" t="str">
        <f>IF(Jul!$I30="SI",Jul!$H$27,"")</f>
        <v/>
      </c>
      <c r="C959" s="28" t="str">
        <f>IF(Jul!$I30="SI",Jul!$H30,"")</f>
        <v/>
      </c>
      <c r="D959" s="28" t="str">
        <f>IF(Jul!$I30="SI",Jul!$L30,"")</f>
        <v/>
      </c>
      <c r="E959" s="47" t="s">
        <v>113</v>
      </c>
    </row>
    <row r="960" spans="2:5" x14ac:dyDescent="0.2">
      <c r="B960" s="28" t="str">
        <f>IF(Jul!$I31="SI",Jul!$H$27,"")</f>
        <v/>
      </c>
      <c r="C960" s="28" t="str">
        <f>IF(Jul!$I31="SI",Jul!$H31,"")</f>
        <v/>
      </c>
      <c r="D960" s="28" t="str">
        <f>IF(Jul!$I31="SI",Jul!$L31,"")</f>
        <v/>
      </c>
      <c r="E960" s="47" t="s">
        <v>113</v>
      </c>
    </row>
    <row r="961" spans="2:5" x14ac:dyDescent="0.2">
      <c r="B961" s="28" t="str">
        <f>IF(Jul!$I32="SI",Jul!$H$27,"")</f>
        <v/>
      </c>
      <c r="C961" s="28" t="str">
        <f>IF(Jul!$I32="SI",Jul!$H32,"")</f>
        <v/>
      </c>
      <c r="D961" s="28" t="str">
        <f>IF(Jul!$I32="SI",Jul!$L32,"")</f>
        <v/>
      </c>
      <c r="E961" s="47" t="s">
        <v>113</v>
      </c>
    </row>
    <row r="962" spans="2:5" x14ac:dyDescent="0.2">
      <c r="B962" s="28" t="str">
        <f>IF(Jul!$I33="SI",Jul!$H$27,"")</f>
        <v/>
      </c>
      <c r="C962" s="28" t="str">
        <f>IF(Jul!$I33="SI",Jul!$H33,"")</f>
        <v/>
      </c>
      <c r="D962" s="28" t="str">
        <f>IF(Jul!$I33="SI",Jul!$L33,"")</f>
        <v/>
      </c>
      <c r="E962" s="47" t="s">
        <v>113</v>
      </c>
    </row>
    <row r="963" spans="2:5" x14ac:dyDescent="0.2">
      <c r="B963" s="28" t="str">
        <f>IF(Jul!$I34="SI",Jul!$H$27,"")</f>
        <v/>
      </c>
      <c r="C963" s="28" t="str">
        <f>IF(Jul!$I34="SI",Jul!$H34,"")</f>
        <v/>
      </c>
      <c r="D963" s="28" t="str">
        <f>IF(Jul!$I34="SI",Jul!$L34,"")</f>
        <v/>
      </c>
      <c r="E963" s="47" t="s">
        <v>113</v>
      </c>
    </row>
    <row r="964" spans="2:5" x14ac:dyDescent="0.2">
      <c r="B964" s="28" t="str">
        <f>IF(Jul!$I35="SI",Jul!$H$27,"")</f>
        <v/>
      </c>
      <c r="C964" s="28" t="str">
        <f>IF(Jul!$I35="SI",Jul!$H35,"")</f>
        <v/>
      </c>
      <c r="D964" s="28" t="str">
        <f>IF(Jul!$I35="SI",Jul!$L35,"")</f>
        <v/>
      </c>
      <c r="E964" s="47" t="s">
        <v>113</v>
      </c>
    </row>
    <row r="965" spans="2:5" x14ac:dyDescent="0.2">
      <c r="B965" s="28" t="str">
        <f>IF(Jul!$I39="SI",Jul!$H$38,"")</f>
        <v/>
      </c>
      <c r="C965" s="28" t="str">
        <f>IF(Jul!$I39="SI",Jul!$H39,"")</f>
        <v/>
      </c>
      <c r="D965" s="28" t="str">
        <f>IF(Jul!$I39="SI",Jul!$L39,"")</f>
        <v/>
      </c>
      <c r="E965" s="47" t="s">
        <v>113</v>
      </c>
    </row>
    <row r="966" spans="2:5" x14ac:dyDescent="0.2">
      <c r="B966" s="28" t="str">
        <f>IF(Jul!$I40="SI",Jul!$H$38,"")</f>
        <v/>
      </c>
      <c r="C966" s="28" t="str">
        <f>IF(Jul!$I40="SI",Jul!$H40,"")</f>
        <v/>
      </c>
      <c r="D966" s="28" t="str">
        <f>IF(Jul!$I40="SI",Jul!$L40,"")</f>
        <v/>
      </c>
      <c r="E966" s="47" t="s">
        <v>113</v>
      </c>
    </row>
    <row r="967" spans="2:5" x14ac:dyDescent="0.2">
      <c r="B967" s="28" t="str">
        <f>IF(Jul!$I41="SI",Jul!$H$38,"")</f>
        <v/>
      </c>
      <c r="C967" s="28" t="str">
        <f>IF(Jul!$I41="SI",Jul!$H41,"")</f>
        <v/>
      </c>
      <c r="D967" s="28" t="str">
        <f>IF(Jul!$I41="SI",Jul!$L41,"")</f>
        <v/>
      </c>
      <c r="E967" s="47" t="s">
        <v>113</v>
      </c>
    </row>
    <row r="968" spans="2:5" x14ac:dyDescent="0.2">
      <c r="B968" s="28" t="str">
        <f>IF(Jul!$I42="SI",Jul!$H$38,"")</f>
        <v/>
      </c>
      <c r="C968" s="28" t="str">
        <f>IF(Jul!$I42="SI",Jul!$H42,"")</f>
        <v/>
      </c>
      <c r="D968" s="28" t="str">
        <f>IF(Jul!$I42="SI",Jul!$L42,"")</f>
        <v/>
      </c>
      <c r="E968" s="47" t="s">
        <v>113</v>
      </c>
    </row>
    <row r="969" spans="2:5" x14ac:dyDescent="0.2">
      <c r="B969" s="28" t="str">
        <f>IF(Jul!$I43="SI",Jul!$H$38,"")</f>
        <v/>
      </c>
      <c r="C969" s="28" t="str">
        <f>IF(Jul!$I43="SI",Jul!$H43,"")</f>
        <v/>
      </c>
      <c r="D969" s="28" t="str">
        <f>IF(Jul!$I43="SI",Jul!$L43,"")</f>
        <v/>
      </c>
      <c r="E969" s="47" t="s">
        <v>113</v>
      </c>
    </row>
    <row r="970" spans="2:5" x14ac:dyDescent="0.2">
      <c r="B970" s="28" t="str">
        <f>IF(Jul!$I44="SI",Jul!$H$38,"")</f>
        <v/>
      </c>
      <c r="C970" s="28" t="str">
        <f>IF(Jul!$I44="SI",Jul!$H44,"")</f>
        <v/>
      </c>
      <c r="D970" s="28" t="str">
        <f>IF(Jul!$I44="SI",Jul!$L44,"")</f>
        <v/>
      </c>
      <c r="E970" s="47" t="s">
        <v>113</v>
      </c>
    </row>
    <row r="971" spans="2:5" x14ac:dyDescent="0.2">
      <c r="B971" s="28" t="str">
        <f>IF(Jul!$I45="SI",Jul!$H$38,"")</f>
        <v/>
      </c>
      <c r="C971" s="28" t="str">
        <f>IF(Jul!$I45="SI",Jul!$H45,"")</f>
        <v/>
      </c>
      <c r="D971" s="28" t="str">
        <f>IF(Jul!$I45="SI",Jul!$L45,"")</f>
        <v/>
      </c>
      <c r="E971" s="47" t="s">
        <v>113</v>
      </c>
    </row>
    <row r="972" spans="2:5" x14ac:dyDescent="0.2">
      <c r="B972" s="28" t="str">
        <f>IF(Jul!$I49="SI",Jul!$H$48,"")</f>
        <v/>
      </c>
      <c r="C972" s="28" t="str">
        <f>IF(Jul!$I49="SI",Jul!$H49,"")</f>
        <v/>
      </c>
      <c r="D972" s="28" t="str">
        <f>IF(Jul!$I49="SI",Jul!$L49,"")</f>
        <v/>
      </c>
      <c r="E972" s="47" t="s">
        <v>113</v>
      </c>
    </row>
    <row r="973" spans="2:5" x14ac:dyDescent="0.2">
      <c r="B973" s="28" t="str">
        <f>IF(Jul!$I50="SI",Jul!$H$48,"")</f>
        <v/>
      </c>
      <c r="C973" s="28" t="str">
        <f>IF(Jul!$I50="SI",Jul!$H50,"")</f>
        <v/>
      </c>
      <c r="D973" s="28" t="str">
        <f>IF(Jul!$I50="SI",Jul!$L50,"")</f>
        <v/>
      </c>
      <c r="E973" s="47" t="s">
        <v>113</v>
      </c>
    </row>
    <row r="974" spans="2:5" x14ac:dyDescent="0.2">
      <c r="B974" s="28" t="str">
        <f>IF(Jul!$I51="SI",Jul!$H$48,"")</f>
        <v/>
      </c>
      <c r="C974" s="28" t="str">
        <f>IF(Jul!$I51="SI",Jul!$H51,"")</f>
        <v/>
      </c>
      <c r="D974" s="28" t="str">
        <f>IF(Jul!$I51="SI",Jul!$L51,"")</f>
        <v/>
      </c>
      <c r="E974" s="47" t="s">
        <v>113</v>
      </c>
    </row>
    <row r="975" spans="2:5" x14ac:dyDescent="0.2">
      <c r="B975" s="28" t="str">
        <f>IF(Jul!$I52="SI",Jul!$H$48,"")</f>
        <v/>
      </c>
      <c r="C975" s="28" t="str">
        <f>IF(Jul!$I52="SI",Jul!$H52,"")</f>
        <v/>
      </c>
      <c r="D975" s="28" t="str">
        <f>IF(Jul!$I52="SI",Jul!$L52,"")</f>
        <v/>
      </c>
      <c r="E975" s="47" t="s">
        <v>113</v>
      </c>
    </row>
    <row r="976" spans="2:5" x14ac:dyDescent="0.2">
      <c r="B976" s="28" t="str">
        <f>IF(Jul!$I53="SI",Jul!$H$48,"")</f>
        <v/>
      </c>
      <c r="C976" s="28" t="str">
        <f>IF(Jul!$I53="SI",Jul!$H53,"")</f>
        <v/>
      </c>
      <c r="D976" s="28" t="str">
        <f>IF(Jul!$I53="SI",Jul!$L53,"")</f>
        <v/>
      </c>
      <c r="E976" s="47" t="s">
        <v>113</v>
      </c>
    </row>
    <row r="977" spans="2:5" x14ac:dyDescent="0.2">
      <c r="B977" s="28" t="str">
        <f>IF(Jul!$I54="SI",Jul!$H$48,"")</f>
        <v/>
      </c>
      <c r="C977" s="28" t="str">
        <f>IF(Jul!$I54="SI",Jul!$H54,"")</f>
        <v/>
      </c>
      <c r="D977" s="28" t="str">
        <f>IF(Jul!$I54="SI",Jul!$L54,"")</f>
        <v/>
      </c>
      <c r="E977" s="47" t="s">
        <v>113</v>
      </c>
    </row>
    <row r="978" spans="2:5" x14ac:dyDescent="0.2">
      <c r="B978" s="28" t="str">
        <f>IF(Jul!$I58="SI",Jul!$H$57,"")</f>
        <v/>
      </c>
      <c r="C978" s="28" t="str">
        <f>IF(Jul!$I58="SI",Jul!$H58,"")</f>
        <v/>
      </c>
      <c r="D978" s="28" t="str">
        <f>IF(Jul!$I58="SI",Jul!$L58,"")</f>
        <v/>
      </c>
      <c r="E978" s="47" t="s">
        <v>113</v>
      </c>
    </row>
    <row r="979" spans="2:5" x14ac:dyDescent="0.2">
      <c r="B979" s="28" t="str">
        <f>IF(Jul!$I59="SI",Jul!$H$57,"")</f>
        <v/>
      </c>
      <c r="C979" s="28" t="str">
        <f>IF(Jul!$I59="SI",Jul!$H59,"")</f>
        <v/>
      </c>
      <c r="D979" s="28" t="str">
        <f>IF(Jul!$I59="SI",Jul!$L59,"")</f>
        <v/>
      </c>
      <c r="E979" s="47" t="s">
        <v>113</v>
      </c>
    </row>
    <row r="980" spans="2:5" x14ac:dyDescent="0.2">
      <c r="B980" s="28" t="str">
        <f>IF(Jul!$I60="SI",Jul!$H$57,"")</f>
        <v/>
      </c>
      <c r="C980" s="28" t="str">
        <f>IF(Jul!$I60="SI",Jul!$H60,"")</f>
        <v/>
      </c>
      <c r="D980" s="28" t="str">
        <f>IF(Jul!$I60="SI",Jul!$L60,"")</f>
        <v/>
      </c>
      <c r="E980" s="47" t="s">
        <v>113</v>
      </c>
    </row>
    <row r="981" spans="2:5" x14ac:dyDescent="0.2">
      <c r="B981" s="28" t="str">
        <f>IF(Jul!$I61="SI",Jul!$H$57,"")</f>
        <v/>
      </c>
      <c r="C981" s="28" t="str">
        <f>IF(Jul!$I61="SI",Jul!$H61,"")</f>
        <v/>
      </c>
      <c r="D981" s="28" t="str">
        <f>IF(Jul!$I61="SI",Jul!$L61,"")</f>
        <v/>
      </c>
      <c r="E981" s="47" t="s">
        <v>113</v>
      </c>
    </row>
    <row r="982" spans="2:5" x14ac:dyDescent="0.2">
      <c r="B982" s="28" t="str">
        <f>IF(Jul!$I62="SI",Jul!$H$57,"")</f>
        <v/>
      </c>
      <c r="C982" s="28" t="str">
        <f>IF(Jul!$I62="SI",Jul!$H62,"")</f>
        <v/>
      </c>
      <c r="D982" s="28" t="str">
        <f>IF(Jul!$I62="SI",Jul!$L62,"")</f>
        <v/>
      </c>
      <c r="E982" s="47" t="s">
        <v>113</v>
      </c>
    </row>
    <row r="983" spans="2:5" x14ac:dyDescent="0.2">
      <c r="B983" s="28" t="str">
        <f>IF(Jul!$I63="SI",Jul!$H$57,"")</f>
        <v/>
      </c>
      <c r="C983" s="28" t="str">
        <f>IF(Jul!$I63="SI",Jul!$H63,"")</f>
        <v/>
      </c>
      <c r="D983" s="28" t="str">
        <f>IF(Jul!$I63="SI",Jul!$L63,"")</f>
        <v/>
      </c>
      <c r="E983" s="47" t="s">
        <v>113</v>
      </c>
    </row>
    <row r="984" spans="2:5" x14ac:dyDescent="0.2">
      <c r="B984" s="28" t="str">
        <f>IF(Jul!$I64="SI",Jul!$H$57,"")</f>
        <v/>
      </c>
      <c r="C984" s="28" t="str">
        <f>IF(Jul!$I64="SI",Jul!$H64,"")</f>
        <v/>
      </c>
      <c r="D984" s="28" t="str">
        <f>IF(Jul!$I64="SI",Jul!$L64,"")</f>
        <v/>
      </c>
      <c r="E984" s="47" t="s">
        <v>113</v>
      </c>
    </row>
    <row r="985" spans="2:5" x14ac:dyDescent="0.2">
      <c r="B985" s="28" t="str">
        <f>IF(Jul!$I68="SI",Jul!$H$67,"")</f>
        <v/>
      </c>
      <c r="C985" s="28" t="str">
        <f>IF(Jul!$I68="SI",Jul!$H68,"")</f>
        <v/>
      </c>
      <c r="D985" s="28" t="str">
        <f>IF(Jul!$I68="SI",Jul!$L68,"")</f>
        <v/>
      </c>
      <c r="E985" s="47" t="s">
        <v>113</v>
      </c>
    </row>
    <row r="986" spans="2:5" x14ac:dyDescent="0.2">
      <c r="B986" s="28" t="str">
        <f>IF(Jul!$I69="SI",Jul!$H$67,"")</f>
        <v/>
      </c>
      <c r="C986" s="28" t="str">
        <f>IF(Jul!$I69="SI",Jul!$H69,"")</f>
        <v/>
      </c>
      <c r="D986" s="28" t="str">
        <f>IF(Jul!$I69="SI",Jul!$L69,"")</f>
        <v/>
      </c>
      <c r="E986" s="47" t="s">
        <v>113</v>
      </c>
    </row>
    <row r="987" spans="2:5" x14ac:dyDescent="0.2">
      <c r="B987" s="28" t="str">
        <f>IF(Jul!$I70="SI",Jul!$H$67,"")</f>
        <v/>
      </c>
      <c r="C987" s="28" t="str">
        <f>IF(Jul!$I70="SI",Jul!$H70,"")</f>
        <v/>
      </c>
      <c r="D987" s="28" t="str">
        <f>IF(Jul!$I70="SI",Jul!$L70,"")</f>
        <v/>
      </c>
      <c r="E987" s="47" t="s">
        <v>113</v>
      </c>
    </row>
    <row r="988" spans="2:5" x14ac:dyDescent="0.2">
      <c r="B988" s="28" t="str">
        <f>IF(Jul!$I71="SI",Jul!$H$67,"")</f>
        <v/>
      </c>
      <c r="C988" s="28" t="str">
        <f>IF(Jul!$I71="SI",Jul!$H71,"")</f>
        <v/>
      </c>
      <c r="D988" s="28" t="str">
        <f>IF(Jul!$I71="SI",Jul!$L71,"")</f>
        <v/>
      </c>
      <c r="E988" s="47" t="s">
        <v>113</v>
      </c>
    </row>
    <row r="989" spans="2:5" x14ac:dyDescent="0.2">
      <c r="B989" s="28" t="str">
        <f>IF(Jul!$I72="SI",Jul!$H$67,"")</f>
        <v/>
      </c>
      <c r="C989" s="28" t="str">
        <f>IF(Jul!$I72="SI",Jul!$H72,"")</f>
        <v/>
      </c>
      <c r="D989" s="28" t="str">
        <f>IF(Jul!$I72="SI",Jul!$L72,"")</f>
        <v/>
      </c>
      <c r="E989" s="47" t="s">
        <v>113</v>
      </c>
    </row>
    <row r="990" spans="2:5" x14ac:dyDescent="0.2">
      <c r="B990" s="28" t="str">
        <f>IF(Jul!$I73="SI",Jul!$H$67,"")</f>
        <v/>
      </c>
      <c r="C990" s="28" t="str">
        <f>IF(Jul!$I73="SI",Jul!$H73,"")</f>
        <v/>
      </c>
      <c r="D990" s="28" t="str">
        <f>IF(Jul!$I73="SI",Jul!$L73,"")</f>
        <v/>
      </c>
      <c r="E990" s="47" t="s">
        <v>113</v>
      </c>
    </row>
    <row r="991" spans="2:5" x14ac:dyDescent="0.2">
      <c r="B991" s="28" t="str">
        <f>IF(Jul!$I74="SI",Jul!$H$67,"")</f>
        <v/>
      </c>
      <c r="C991" s="28" t="str">
        <f>IF(Jul!$I74="SI",Jul!$H74,"")</f>
        <v/>
      </c>
      <c r="D991" s="28" t="str">
        <f>IF(Jul!$I74="SI",Jul!$L74,"")</f>
        <v/>
      </c>
      <c r="E991" s="47" t="s">
        <v>113</v>
      </c>
    </row>
    <row r="992" spans="2:5" x14ac:dyDescent="0.2">
      <c r="B992" s="28" t="str">
        <f>IF(Jul!$I75="SI",Jul!$H$67,"")</f>
        <v/>
      </c>
      <c r="C992" s="28" t="str">
        <f>IF(Jul!$I75="SI",Jul!$H75,"")</f>
        <v/>
      </c>
      <c r="D992" s="28" t="str">
        <f>IF(Jul!$I75="SI",Jul!$L75,"")</f>
        <v/>
      </c>
      <c r="E992" s="47" t="s">
        <v>113</v>
      </c>
    </row>
    <row r="993" spans="2:5" x14ac:dyDescent="0.2">
      <c r="B993" s="28" t="str">
        <f>IF(Jul!$I76="SI",Jul!$H$67,"")</f>
        <v/>
      </c>
      <c r="C993" s="28" t="str">
        <f>IF(Jul!$I76="SI",Jul!$H76,"")</f>
        <v/>
      </c>
      <c r="D993" s="28" t="str">
        <f>IF(Jul!$I76="SI",Jul!$L76,"")</f>
        <v/>
      </c>
      <c r="E993" s="47" t="s">
        <v>113</v>
      </c>
    </row>
    <row r="994" spans="2:5" x14ac:dyDescent="0.2">
      <c r="B994" s="28" t="str">
        <f>IF(Jul!$I77="SI",Jul!$H$67,"")</f>
        <v/>
      </c>
      <c r="C994" s="28" t="str">
        <f>IF(Jul!$I77="SI",Jul!$H77,"")</f>
        <v/>
      </c>
      <c r="D994" s="28" t="str">
        <f>IF(Jul!$I77="SI",Jul!$L77,"")</f>
        <v/>
      </c>
      <c r="E994" s="47" t="s">
        <v>113</v>
      </c>
    </row>
    <row r="995" spans="2:5" x14ac:dyDescent="0.2">
      <c r="B995" s="28" t="str">
        <f>IF(Jul!$I78="SI",Jul!$H$67,"")</f>
        <v/>
      </c>
      <c r="C995" s="28" t="str">
        <f>IF(Jul!$I78="SI",Jul!$H78,"")</f>
        <v/>
      </c>
      <c r="D995" s="28" t="str">
        <f>IF(Jul!$I78="SI",Jul!$L78,"")</f>
        <v/>
      </c>
      <c r="E995" s="47" t="s">
        <v>113</v>
      </c>
    </row>
    <row r="996" spans="2:5" x14ac:dyDescent="0.2">
      <c r="B996" s="28" t="str">
        <f>IF(Jul!$I82="SI",Jul!$H$81,"")</f>
        <v/>
      </c>
      <c r="C996" s="28" t="str">
        <f>IF(Jul!$I82="SI",Jul!$H82,"")</f>
        <v/>
      </c>
      <c r="D996" s="28" t="str">
        <f>IF(Jul!$I82="SI",Jul!$L82,"")</f>
        <v/>
      </c>
      <c r="E996" s="47" t="s">
        <v>113</v>
      </c>
    </row>
    <row r="997" spans="2:5" x14ac:dyDescent="0.2">
      <c r="B997" s="28" t="str">
        <f>IF(Jul!$I83="SI",Jul!$H$81,"")</f>
        <v/>
      </c>
      <c r="C997" s="28" t="str">
        <f>IF(Jul!$I83="SI",Jul!$H83,"")</f>
        <v/>
      </c>
      <c r="D997" s="28" t="str">
        <f>IF(Jul!$I83="SI",Jul!$L83,"")</f>
        <v/>
      </c>
      <c r="E997" s="47" t="s">
        <v>113</v>
      </c>
    </row>
    <row r="998" spans="2:5" x14ac:dyDescent="0.2">
      <c r="B998" s="28" t="str">
        <f>IF(Jul!$I84="SI",Jul!$H$81,"")</f>
        <v/>
      </c>
      <c r="C998" s="28" t="str">
        <f>IF(Jul!$I84="SI",Jul!$H84,"")</f>
        <v/>
      </c>
      <c r="D998" s="28" t="str">
        <f>IF(Jul!$I84="SI",Jul!$L84,"")</f>
        <v/>
      </c>
      <c r="E998" s="47" t="s">
        <v>113</v>
      </c>
    </row>
    <row r="999" spans="2:5" x14ac:dyDescent="0.2">
      <c r="B999" s="28" t="str">
        <f>IF(Jul!$I85="SI",Jul!$H$81,"")</f>
        <v/>
      </c>
      <c r="C999" s="28" t="str">
        <f>IF(Jul!$I85="SI",Jul!$H85,"")</f>
        <v/>
      </c>
      <c r="D999" s="28" t="str">
        <f>IF(Jul!$I85="SI",Jul!$L85,"")</f>
        <v/>
      </c>
      <c r="E999" s="47" t="s">
        <v>113</v>
      </c>
    </row>
    <row r="1000" spans="2:5" x14ac:dyDescent="0.2">
      <c r="B1000" s="28" t="str">
        <f>IF(Jul!$I86="SI",Jul!$H$81,"")</f>
        <v/>
      </c>
      <c r="C1000" s="28" t="str">
        <f>IF(Jul!$I86="SI",Jul!$H86,"")</f>
        <v/>
      </c>
      <c r="D1000" s="28" t="str">
        <f>IF(Jul!$I86="SI",Jul!$L86,"")</f>
        <v/>
      </c>
      <c r="E1000" s="47" t="s">
        <v>113</v>
      </c>
    </row>
    <row r="1001" spans="2:5" x14ac:dyDescent="0.2">
      <c r="B1001" s="28" t="str">
        <f>IF(Jul!$I87="SI",Jul!$H$81,"")</f>
        <v/>
      </c>
      <c r="C1001" s="28" t="str">
        <f>IF(Jul!$I87="SI",Jul!$H87,"")</f>
        <v/>
      </c>
      <c r="D1001" s="28" t="str">
        <f>IF(Jul!$I87="SI",Jul!$L87,"")</f>
        <v/>
      </c>
      <c r="E1001" s="47" t="s">
        <v>113</v>
      </c>
    </row>
    <row r="1002" spans="2:5" x14ac:dyDescent="0.2">
      <c r="B1002" s="28" t="str">
        <f>IF(Jul!$I91="SI",Jul!$H$90,"")</f>
        <v/>
      </c>
      <c r="C1002" s="28" t="str">
        <f>IF(Jul!$I91="SI",Jul!$H91,"")</f>
        <v/>
      </c>
      <c r="D1002" s="28" t="str">
        <f>IF(Jul!$I91="SI",Jul!$L91,"")</f>
        <v/>
      </c>
      <c r="E1002" s="47" t="s">
        <v>113</v>
      </c>
    </row>
    <row r="1003" spans="2:5" x14ac:dyDescent="0.2">
      <c r="B1003" s="28" t="str">
        <f>IF(Jul!$I92="SI",Jul!$H$90,"")</f>
        <v/>
      </c>
      <c r="C1003" s="28" t="str">
        <f>IF(Jul!$I92="SI",Jul!$H92,"")</f>
        <v/>
      </c>
      <c r="D1003" s="28" t="str">
        <f>IF(Jul!$I92="SI",Jul!$L92,"")</f>
        <v/>
      </c>
      <c r="E1003" s="47" t="s">
        <v>113</v>
      </c>
    </row>
    <row r="1004" spans="2:5" x14ac:dyDescent="0.2">
      <c r="B1004" s="28" t="str">
        <f>IF(Jul!$I93="SI",Jul!$H$90,"")</f>
        <v/>
      </c>
      <c r="C1004" s="28" t="str">
        <f>IF(Jul!$I93="SI",Jul!$H93,"")</f>
        <v/>
      </c>
      <c r="D1004" s="28" t="str">
        <f>IF(Jul!$I93="SI",Jul!$L93,"")</f>
        <v/>
      </c>
      <c r="E1004" s="47" t="s">
        <v>113</v>
      </c>
    </row>
    <row r="1005" spans="2:5" x14ac:dyDescent="0.2">
      <c r="B1005" s="28" t="str">
        <f>IF(Jul!$I94="SI",Jul!$H$90,"")</f>
        <v/>
      </c>
      <c r="C1005" s="28" t="str">
        <f>IF(Jul!$I94="SI",Jul!$H94,"")</f>
        <v/>
      </c>
      <c r="D1005" s="28" t="str">
        <f>IF(Jul!$I94="SI",Jul!$L94,"")</f>
        <v/>
      </c>
      <c r="E1005" s="47" t="s">
        <v>113</v>
      </c>
    </row>
    <row r="1006" spans="2:5" x14ac:dyDescent="0.2">
      <c r="B1006" s="28" t="str">
        <f>IF(Jul!$I95="SI",Jul!$H$90,"")</f>
        <v/>
      </c>
      <c r="C1006" s="28" t="str">
        <f>IF(Jul!$I95="SI",Jul!$H95,"")</f>
        <v/>
      </c>
      <c r="D1006" s="28" t="str">
        <f>IF(Jul!$I95="SI",Jul!$L95,"")</f>
        <v/>
      </c>
      <c r="E1006" s="47" t="s">
        <v>113</v>
      </c>
    </row>
    <row r="1007" spans="2:5" x14ac:dyDescent="0.2">
      <c r="B1007" s="28" t="str">
        <f>IF(Jul!$I96="SI",Jul!$H$90,"")</f>
        <v/>
      </c>
      <c r="C1007" s="28" t="str">
        <f>IF(Jul!$I96="SI",Jul!$H96,"")</f>
        <v/>
      </c>
      <c r="D1007" s="28" t="str">
        <f>IF(Jul!$I96="SI",Jul!$L96,"")</f>
        <v/>
      </c>
      <c r="E1007" s="47" t="s">
        <v>113</v>
      </c>
    </row>
    <row r="1008" spans="2:5" x14ac:dyDescent="0.2">
      <c r="B1008" s="28" t="str">
        <f>IF(Jul!$I97="SI",Jul!$H$90,"")</f>
        <v/>
      </c>
      <c r="C1008" s="28" t="str">
        <f>IF(Jul!$I97="SI",Jul!$H97,"")</f>
        <v/>
      </c>
      <c r="D1008" s="28" t="str">
        <f>IF(Jul!$I97="SI",Jul!$L97,"")</f>
        <v/>
      </c>
      <c r="E1008" s="47" t="s">
        <v>113</v>
      </c>
    </row>
    <row r="1009" spans="2:5" x14ac:dyDescent="0.2">
      <c r="B1009" s="28" t="str">
        <f>IF(Jul!$I101="SI",Jul!$H$100,"")</f>
        <v/>
      </c>
      <c r="C1009" s="28" t="str">
        <f>IF(Jul!$I101="SI",Jul!$H101,"")</f>
        <v/>
      </c>
      <c r="D1009" s="28" t="str">
        <f>IF(Jul!$I101="SI",Jul!$L101,"")</f>
        <v/>
      </c>
      <c r="E1009" s="47" t="s">
        <v>113</v>
      </c>
    </row>
    <row r="1010" spans="2:5" x14ac:dyDescent="0.2">
      <c r="B1010" s="28" t="str">
        <f>IF(Jul!$I102="SI",Jul!$H$100,"")</f>
        <v/>
      </c>
      <c r="C1010" s="28" t="str">
        <f>IF(Jul!$I102="SI",Jul!$H102,"")</f>
        <v/>
      </c>
      <c r="D1010" s="28" t="str">
        <f>IF(Jul!$I102="SI",Jul!$L102,"")</f>
        <v/>
      </c>
      <c r="E1010" s="47" t="s">
        <v>113</v>
      </c>
    </row>
    <row r="1011" spans="2:5" x14ac:dyDescent="0.2">
      <c r="B1011" s="28" t="str">
        <f>IF(Jul!$I103="SI",Jul!$H$100,"")</f>
        <v/>
      </c>
      <c r="C1011" s="28" t="str">
        <f>IF(Jul!$I103="SI",Jul!$H103,"")</f>
        <v/>
      </c>
      <c r="D1011" s="28" t="str">
        <f>IF(Jul!$I103="SI",Jul!$L103,"")</f>
        <v/>
      </c>
      <c r="E1011" s="47" t="s">
        <v>113</v>
      </c>
    </row>
    <row r="1012" spans="2:5" x14ac:dyDescent="0.2">
      <c r="B1012" s="28" t="str">
        <f>IF(Jul!$I104="SI",Jul!$H$100,"")</f>
        <v/>
      </c>
      <c r="C1012" s="28" t="str">
        <f>IF(Jul!$I104="SI",Jul!$H104,"")</f>
        <v/>
      </c>
      <c r="D1012" s="28" t="str">
        <f>IF(Jul!$I104="SI",Jul!$L104,"")</f>
        <v/>
      </c>
      <c r="E1012" s="47" t="s">
        <v>113</v>
      </c>
    </row>
    <row r="1013" spans="2:5" x14ac:dyDescent="0.2">
      <c r="B1013" s="28" t="str">
        <f>IF(Jul!$I105="SI",Jul!$H$100,"")</f>
        <v/>
      </c>
      <c r="C1013" s="28" t="str">
        <f>IF(Jul!$I105="SI",Jul!$H105,"")</f>
        <v/>
      </c>
      <c r="D1013" s="28" t="str">
        <f>IF(Jul!$I105="SI",Jul!$L105,"")</f>
        <v/>
      </c>
      <c r="E1013" s="47" t="s">
        <v>113</v>
      </c>
    </row>
    <row r="1014" spans="2:5" x14ac:dyDescent="0.2">
      <c r="B1014" s="28" t="str">
        <f>IF(Jul!$I106="SI",Jul!$H$100,"")</f>
        <v/>
      </c>
      <c r="C1014" s="28" t="str">
        <f>IF(Jul!$I106="SI",Jul!$H106,"")</f>
        <v/>
      </c>
      <c r="D1014" s="28" t="str">
        <f>IF(Jul!$I106="SI",Jul!$L106,"")</f>
        <v/>
      </c>
      <c r="E1014" s="47" t="s">
        <v>113</v>
      </c>
    </row>
    <row r="1015" spans="2:5" x14ac:dyDescent="0.2">
      <c r="B1015" s="28" t="str">
        <f>IF(Jul!$I107="SI",Jul!$H$100,"")</f>
        <v/>
      </c>
      <c r="C1015" s="28" t="str">
        <f>IF(Jul!$I107="SI",Jul!$H107,"")</f>
        <v/>
      </c>
      <c r="D1015" s="28" t="str">
        <f>IF(Jul!$I107="SI",Jul!$L107,"")</f>
        <v/>
      </c>
      <c r="E1015" s="47" t="s">
        <v>113</v>
      </c>
    </row>
    <row r="1016" spans="2:5" x14ac:dyDescent="0.2">
      <c r="B1016" s="29"/>
      <c r="C1016" s="29"/>
      <c r="D1016" s="29"/>
      <c r="E1016" s="47" t="s">
        <v>113</v>
      </c>
    </row>
    <row r="1017" spans="2:5" x14ac:dyDescent="0.2">
      <c r="B1017" s="28" t="str">
        <f>IF(Ago!$C13="SI",Ago!$B$12,"")</f>
        <v/>
      </c>
      <c r="C1017" s="28" t="str">
        <f>IF(Ago!$C13="SI",Ago!$B13,"")</f>
        <v/>
      </c>
      <c r="D1017" s="28" t="str">
        <f>IF(Ago!$C13="SI",Ago!$F13,"")</f>
        <v/>
      </c>
      <c r="E1017" s="48" t="s">
        <v>114</v>
      </c>
    </row>
    <row r="1018" spans="2:5" x14ac:dyDescent="0.2">
      <c r="B1018" s="28" t="str">
        <f>IF(Ago!$C14="SI",Ago!$B$12,"")</f>
        <v/>
      </c>
      <c r="C1018" s="28" t="str">
        <f>IF(Ago!$C14="SI",Ago!$B14,"")</f>
        <v/>
      </c>
      <c r="D1018" s="28" t="str">
        <f>IF(Ago!$C14="SI",Ago!$F14,"")</f>
        <v/>
      </c>
      <c r="E1018" s="48" t="s">
        <v>114</v>
      </c>
    </row>
    <row r="1019" spans="2:5" x14ac:dyDescent="0.2">
      <c r="B1019" s="28" t="str">
        <f>IF(Ago!$C15="SI",Ago!$B$12,"")</f>
        <v/>
      </c>
      <c r="C1019" s="28" t="str">
        <f>IF(Ago!$C15="SI",Ago!$B15,"")</f>
        <v/>
      </c>
      <c r="D1019" s="28" t="str">
        <f>IF(Ago!$C15="SI",Ago!$F15,"")</f>
        <v/>
      </c>
      <c r="E1019" s="48" t="s">
        <v>114</v>
      </c>
    </row>
    <row r="1020" spans="2:5" x14ac:dyDescent="0.2">
      <c r="B1020" s="28" t="str">
        <f>IF(Ago!$C16="SI",Ago!$B$12,"")</f>
        <v/>
      </c>
      <c r="C1020" s="28" t="str">
        <f>IF(Ago!$C16="SI",Ago!$B16,"")</f>
        <v/>
      </c>
      <c r="D1020" s="28" t="str">
        <f>IF(Ago!$C16="SI",Ago!$F16,"")</f>
        <v/>
      </c>
      <c r="E1020" s="48" t="s">
        <v>114</v>
      </c>
    </row>
    <row r="1021" spans="2:5" x14ac:dyDescent="0.2">
      <c r="B1021" s="28" t="str">
        <f>IF(Ago!$C17="SI",Ago!$B$12,"")</f>
        <v/>
      </c>
      <c r="C1021" s="28" t="str">
        <f>IF(Ago!$C17="SI",Ago!$B17,"")</f>
        <v/>
      </c>
      <c r="D1021" s="28" t="str">
        <f>IF(Ago!$C17="SI",Ago!$F17,"")</f>
        <v/>
      </c>
      <c r="E1021" s="48" t="s">
        <v>114</v>
      </c>
    </row>
    <row r="1022" spans="2:5" x14ac:dyDescent="0.2">
      <c r="B1022" s="28" t="str">
        <f>IF(Ago!$C18="SI",Ago!$B$12,"")</f>
        <v/>
      </c>
      <c r="C1022" s="28" t="str">
        <f>IF(Ago!$C18="SI",Ago!$B18,"")</f>
        <v/>
      </c>
      <c r="D1022" s="28" t="str">
        <f>IF(Ago!$C18="SI",Ago!$F18,"")</f>
        <v/>
      </c>
      <c r="E1022" s="48" t="s">
        <v>114</v>
      </c>
    </row>
    <row r="1023" spans="2:5" x14ac:dyDescent="0.2">
      <c r="B1023" s="28" t="str">
        <f>IF(Ago!$C19="SI",Ago!$B$12,"")</f>
        <v/>
      </c>
      <c r="C1023" s="28" t="str">
        <f>IF(Ago!$C19="SI",Ago!$B19,"")</f>
        <v/>
      </c>
      <c r="D1023" s="28" t="str">
        <f>IF(Ago!$C19="SI",Ago!$F19,"")</f>
        <v/>
      </c>
      <c r="E1023" s="48" t="s">
        <v>114</v>
      </c>
    </row>
    <row r="1024" spans="2:5" x14ac:dyDescent="0.2">
      <c r="B1024" s="28" t="str">
        <f>IF(Ago!$C20="SI",Ago!$B$12,"")</f>
        <v/>
      </c>
      <c r="C1024" s="28" t="str">
        <f>IF(Ago!$C20="SI",Ago!$B20,"")</f>
        <v/>
      </c>
      <c r="D1024" s="28" t="str">
        <f>IF(Ago!$C20="SI",Ago!$F20,"")</f>
        <v/>
      </c>
      <c r="E1024" s="48" t="s">
        <v>114</v>
      </c>
    </row>
    <row r="1025" spans="2:5" x14ac:dyDescent="0.2">
      <c r="B1025" s="28" t="str">
        <f>IF(Ago!$C21="SI",Ago!$B$12,"")</f>
        <v/>
      </c>
      <c r="C1025" s="28" t="str">
        <f>IF(Ago!$C21="SI",Ago!$B21,"")</f>
        <v/>
      </c>
      <c r="D1025" s="28" t="str">
        <f>IF(Ago!$C21="SI",Ago!$F21,"")</f>
        <v/>
      </c>
      <c r="E1025" s="48" t="s">
        <v>114</v>
      </c>
    </row>
    <row r="1026" spans="2:5" x14ac:dyDescent="0.2">
      <c r="B1026" s="28" t="str">
        <f>IF(Ago!$C22="SI",Ago!$B$12,"")</f>
        <v/>
      </c>
      <c r="C1026" s="28" t="str">
        <f>IF(Ago!$C22="SI",Ago!$B22,"")</f>
        <v/>
      </c>
      <c r="D1026" s="28" t="str">
        <f>IF(Ago!$C22="SI",Ago!$F22,"")</f>
        <v/>
      </c>
      <c r="E1026" s="48" t="s">
        <v>114</v>
      </c>
    </row>
    <row r="1027" spans="2:5" x14ac:dyDescent="0.2">
      <c r="B1027" s="28" t="str">
        <f>IF(Ago!$C23="SI",Ago!$B$12,"")</f>
        <v/>
      </c>
      <c r="C1027" s="28" t="str">
        <f>IF(Ago!$C23="SI",Ago!$B23,"")</f>
        <v/>
      </c>
      <c r="D1027" s="28" t="str">
        <f>IF(Ago!$C23="SI",Ago!$F23,"")</f>
        <v/>
      </c>
      <c r="E1027" s="48" t="s">
        <v>114</v>
      </c>
    </row>
    <row r="1028" spans="2:5" x14ac:dyDescent="0.2">
      <c r="B1028" s="28" t="str">
        <f>IF(Ago!$C24="SI",Ago!$B$12,"")</f>
        <v/>
      </c>
      <c r="C1028" s="28" t="str">
        <f>IF(Ago!$C24="SI",Ago!$B24,"")</f>
        <v/>
      </c>
      <c r="D1028" s="28" t="str">
        <f>IF(Ago!$C24="SI",Ago!$F24,"")</f>
        <v/>
      </c>
      <c r="E1028" s="48" t="s">
        <v>114</v>
      </c>
    </row>
    <row r="1029" spans="2:5" x14ac:dyDescent="0.2">
      <c r="B1029" s="28" t="str">
        <f>IF(Ago!$C28="SI",Ago!$B$27,"")</f>
        <v/>
      </c>
      <c r="C1029" s="28" t="str">
        <f>IF(Ago!$C28="SI",Ago!$B28,"")</f>
        <v/>
      </c>
      <c r="D1029" s="28" t="str">
        <f>IF(Ago!$C28="SI",Ago!$F28,"")</f>
        <v/>
      </c>
      <c r="E1029" s="48" t="s">
        <v>114</v>
      </c>
    </row>
    <row r="1030" spans="2:5" x14ac:dyDescent="0.2">
      <c r="B1030" s="28" t="str">
        <f>IF(Ago!$C29="SI",Ago!$B$27,"")</f>
        <v/>
      </c>
      <c r="C1030" s="28" t="str">
        <f>IF(Ago!$C29="SI",Ago!$B29,"")</f>
        <v/>
      </c>
      <c r="D1030" s="28" t="str">
        <f>IF(Ago!$C29="SI",Ago!$F29,"")</f>
        <v/>
      </c>
      <c r="E1030" s="48" t="s">
        <v>114</v>
      </c>
    </row>
    <row r="1031" spans="2:5" x14ac:dyDescent="0.2">
      <c r="B1031" s="28" t="str">
        <f>IF(Ago!$C30="SI",Ago!$B$27,"")</f>
        <v/>
      </c>
      <c r="C1031" s="28" t="str">
        <f>IF(Ago!$C30="SI",Ago!$B30,"")</f>
        <v/>
      </c>
      <c r="D1031" s="28" t="str">
        <f>IF(Ago!$C30="SI",Ago!$F30,"")</f>
        <v/>
      </c>
      <c r="E1031" s="48" t="s">
        <v>114</v>
      </c>
    </row>
    <row r="1032" spans="2:5" x14ac:dyDescent="0.2">
      <c r="B1032" s="28" t="str">
        <f>IF(Ago!$C31="SI",Ago!$B$27,"")</f>
        <v/>
      </c>
      <c r="C1032" s="28" t="str">
        <f>IF(Ago!$C31="SI",Ago!$B31,"")</f>
        <v/>
      </c>
      <c r="D1032" s="28" t="str">
        <f>IF(Ago!$C31="SI",Ago!$F31,"")</f>
        <v/>
      </c>
      <c r="E1032" s="48" t="s">
        <v>114</v>
      </c>
    </row>
    <row r="1033" spans="2:5" x14ac:dyDescent="0.2">
      <c r="B1033" s="28" t="str">
        <f>IF(Ago!$C32="SI",Ago!$B$27,"")</f>
        <v/>
      </c>
      <c r="C1033" s="28" t="str">
        <f>IF(Ago!$C32="SI",Ago!$B32,"")</f>
        <v/>
      </c>
      <c r="D1033" s="28" t="str">
        <f>IF(Ago!$C32="SI",Ago!$F32,"")</f>
        <v/>
      </c>
      <c r="E1033" s="48" t="s">
        <v>114</v>
      </c>
    </row>
    <row r="1034" spans="2:5" x14ac:dyDescent="0.2">
      <c r="B1034" s="28" t="str">
        <f>IF(Ago!$C33="SI",Ago!$B$27,"")</f>
        <v/>
      </c>
      <c r="C1034" s="28" t="str">
        <f>IF(Ago!$C33="SI",Ago!$B33,"")</f>
        <v/>
      </c>
      <c r="D1034" s="28" t="str">
        <f>IF(Ago!$C33="SI",Ago!$F33,"")</f>
        <v/>
      </c>
      <c r="E1034" s="48" t="s">
        <v>114</v>
      </c>
    </row>
    <row r="1035" spans="2:5" x14ac:dyDescent="0.2">
      <c r="B1035" s="28" t="str">
        <f>IF(Ago!$C34="SI",Ago!$B$27,"")</f>
        <v/>
      </c>
      <c r="C1035" s="28" t="str">
        <f>IF(Ago!$C34="SI",Ago!$B34,"")</f>
        <v/>
      </c>
      <c r="D1035" s="28" t="str">
        <f>IF(Ago!$C34="SI",Ago!$F34,"")</f>
        <v/>
      </c>
      <c r="E1035" s="48" t="s">
        <v>114</v>
      </c>
    </row>
    <row r="1036" spans="2:5" x14ac:dyDescent="0.2">
      <c r="B1036" s="28" t="str">
        <f>IF(Ago!$C35="SI",Ago!$B$27,"")</f>
        <v/>
      </c>
      <c r="C1036" s="28" t="str">
        <f>IF(Ago!$C35="SI",Ago!$B35,"")</f>
        <v/>
      </c>
      <c r="D1036" s="28" t="str">
        <f>IF(Ago!$C35="SI",Ago!$F35,"")</f>
        <v/>
      </c>
      <c r="E1036" s="48" t="s">
        <v>114</v>
      </c>
    </row>
    <row r="1037" spans="2:5" x14ac:dyDescent="0.2">
      <c r="B1037" s="28" t="str">
        <f>IF(Ago!$C39="SI",Ago!$B$38,"")</f>
        <v/>
      </c>
      <c r="C1037" s="28" t="str">
        <f>IF(Ago!$C39="SI",Ago!$B39,"")</f>
        <v/>
      </c>
      <c r="D1037" s="28" t="str">
        <f>IF(Ago!$C39="SI",Ago!$F39,"")</f>
        <v/>
      </c>
      <c r="E1037" s="48" t="s">
        <v>114</v>
      </c>
    </row>
    <row r="1038" spans="2:5" x14ac:dyDescent="0.2">
      <c r="B1038" s="28" t="str">
        <f>IF(Ago!$C40="SI",Ago!$B$38,"")</f>
        <v/>
      </c>
      <c r="C1038" s="28" t="str">
        <f>IF(Ago!$C40="SI",Ago!$B40,"")</f>
        <v/>
      </c>
      <c r="D1038" s="28" t="str">
        <f>IF(Ago!$C40="SI",Ago!$F40,"")</f>
        <v/>
      </c>
      <c r="E1038" s="48" t="s">
        <v>114</v>
      </c>
    </row>
    <row r="1039" spans="2:5" x14ac:dyDescent="0.2">
      <c r="B1039" s="28" t="str">
        <f>IF(Ago!$C41="SI",Ago!$B$38,"")</f>
        <v/>
      </c>
      <c r="C1039" s="28" t="str">
        <f>IF(Ago!$C41="SI",Ago!$B41,"")</f>
        <v/>
      </c>
      <c r="D1039" s="28" t="str">
        <f>IF(Ago!$C41="SI",Ago!$F41,"")</f>
        <v/>
      </c>
      <c r="E1039" s="48" t="s">
        <v>114</v>
      </c>
    </row>
    <row r="1040" spans="2:5" x14ac:dyDescent="0.2">
      <c r="B1040" s="28" t="str">
        <f>IF(Ago!$C42="SI",Ago!$B$38,"")</f>
        <v/>
      </c>
      <c r="C1040" s="28" t="str">
        <f>IF(Ago!$C42="SI",Ago!$B42,"")</f>
        <v/>
      </c>
      <c r="D1040" s="28" t="str">
        <f>IF(Ago!$C42="SI",Ago!$F42,"")</f>
        <v/>
      </c>
      <c r="E1040" s="48" t="s">
        <v>114</v>
      </c>
    </row>
    <row r="1041" spans="2:5" x14ac:dyDescent="0.2">
      <c r="B1041" s="28" t="str">
        <f>IF(Ago!$C43="SI",Ago!$B$38,"")</f>
        <v/>
      </c>
      <c r="C1041" s="28" t="str">
        <f>IF(Ago!$C43="SI",Ago!$B43,"")</f>
        <v/>
      </c>
      <c r="D1041" s="28" t="str">
        <f>IF(Ago!$C43="SI",Ago!$F43,"")</f>
        <v/>
      </c>
      <c r="E1041" s="48" t="s">
        <v>114</v>
      </c>
    </row>
    <row r="1042" spans="2:5" x14ac:dyDescent="0.2">
      <c r="B1042" s="28" t="str">
        <f>IF(Ago!$C44="SI",Ago!$B$38,"")</f>
        <v/>
      </c>
      <c r="C1042" s="28" t="str">
        <f>IF(Ago!$C44="SI",Ago!$B44,"")</f>
        <v/>
      </c>
      <c r="D1042" s="28" t="str">
        <f>IF(Ago!$C44="SI",Ago!$F44,"")</f>
        <v/>
      </c>
      <c r="E1042" s="48" t="s">
        <v>114</v>
      </c>
    </row>
    <row r="1043" spans="2:5" x14ac:dyDescent="0.2">
      <c r="B1043" s="28" t="str">
        <f>IF(Ago!$C45="SI",Ago!$B$38,"")</f>
        <v/>
      </c>
      <c r="C1043" s="28" t="str">
        <f>IF(Ago!$C45="SI",Ago!$B45,"")</f>
        <v/>
      </c>
      <c r="D1043" s="28" t="str">
        <f>IF(Ago!$C45="SI",Ago!$F45,"")</f>
        <v/>
      </c>
      <c r="E1043" s="48" t="s">
        <v>114</v>
      </c>
    </row>
    <row r="1044" spans="2:5" x14ac:dyDescent="0.2">
      <c r="B1044" s="28" t="str">
        <f>IF(Ago!$C49="SI",Ago!$B$48,"")</f>
        <v/>
      </c>
      <c r="C1044" s="28" t="str">
        <f>IF(Ago!$C49="SI",Ago!$B49,"")</f>
        <v/>
      </c>
      <c r="D1044" s="28" t="str">
        <f>IF(Ago!$C49="SI",Ago!$F49,"")</f>
        <v/>
      </c>
      <c r="E1044" s="48" t="s">
        <v>114</v>
      </c>
    </row>
    <row r="1045" spans="2:5" x14ac:dyDescent="0.2">
      <c r="B1045" s="28" t="str">
        <f>IF(Ago!$C50="SI",Ago!$B$48,"")</f>
        <v/>
      </c>
      <c r="C1045" s="28" t="str">
        <f>IF(Ago!$C50="SI",Ago!$B50,"")</f>
        <v/>
      </c>
      <c r="D1045" s="28" t="str">
        <f>IF(Ago!$C50="SI",Ago!$F50,"")</f>
        <v/>
      </c>
      <c r="E1045" s="48" t="s">
        <v>114</v>
      </c>
    </row>
    <row r="1046" spans="2:5" x14ac:dyDescent="0.2">
      <c r="B1046" s="28" t="str">
        <f>IF(Ago!$C51="SI",Ago!$B$48,"")</f>
        <v/>
      </c>
      <c r="C1046" s="28" t="str">
        <f>IF(Ago!$C51="SI",Ago!$B51,"")</f>
        <v/>
      </c>
      <c r="D1046" s="28" t="str">
        <f>IF(Ago!$C51="SI",Ago!$F51,"")</f>
        <v/>
      </c>
      <c r="E1046" s="48" t="s">
        <v>114</v>
      </c>
    </row>
    <row r="1047" spans="2:5" x14ac:dyDescent="0.2">
      <c r="B1047" s="28" t="str">
        <f>IF(Ago!$C52="SI",Ago!$B$48,"")</f>
        <v/>
      </c>
      <c r="C1047" s="28" t="str">
        <f>IF(Ago!$C52="SI",Ago!$B52,"")</f>
        <v/>
      </c>
      <c r="D1047" s="28" t="str">
        <f>IF(Ago!$C52="SI",Ago!$F52,"")</f>
        <v/>
      </c>
      <c r="E1047" s="48" t="s">
        <v>114</v>
      </c>
    </row>
    <row r="1048" spans="2:5" x14ac:dyDescent="0.2">
      <c r="B1048" s="28" t="str">
        <f>IF(Ago!$C53="SI",Ago!$B$48,"")</f>
        <v/>
      </c>
      <c r="C1048" s="28" t="str">
        <f>IF(Ago!$C53="SI",Ago!$B53,"")</f>
        <v/>
      </c>
      <c r="D1048" s="28" t="str">
        <f>IF(Ago!$C53="SI",Ago!$F53,"")</f>
        <v/>
      </c>
      <c r="E1048" s="48" t="s">
        <v>114</v>
      </c>
    </row>
    <row r="1049" spans="2:5" x14ac:dyDescent="0.2">
      <c r="B1049" s="28" t="str">
        <f>IF(Ago!$C54="SI",Ago!$B$48,"")</f>
        <v/>
      </c>
      <c r="C1049" s="28" t="str">
        <f>IF(Ago!$C54="SI",Ago!$B54,"")</f>
        <v/>
      </c>
      <c r="D1049" s="28" t="str">
        <f>IF(Ago!$C54="SI",Ago!$F54,"")</f>
        <v/>
      </c>
      <c r="E1049" s="48" t="s">
        <v>114</v>
      </c>
    </row>
    <row r="1050" spans="2:5" x14ac:dyDescent="0.2">
      <c r="B1050" s="28" t="str">
        <f>IF(Ago!$C58="SI",Ago!$B$57,"")</f>
        <v/>
      </c>
      <c r="C1050" s="28" t="str">
        <f>IF(Ago!$C58="SI",Ago!$B58,"")</f>
        <v/>
      </c>
      <c r="D1050" s="28" t="str">
        <f>IF(Ago!$C58="SI",Ago!$F58,"")</f>
        <v/>
      </c>
      <c r="E1050" s="48" t="s">
        <v>114</v>
      </c>
    </row>
    <row r="1051" spans="2:5" x14ac:dyDescent="0.2">
      <c r="B1051" s="28" t="str">
        <f>IF(Ago!$C59="SI",Ago!$B$57,"")</f>
        <v/>
      </c>
      <c r="C1051" s="28" t="str">
        <f>IF(Ago!$C59="SI",Ago!$B59,"")</f>
        <v/>
      </c>
      <c r="D1051" s="28" t="str">
        <f>IF(Ago!$C59="SI",Ago!$F59,"")</f>
        <v/>
      </c>
      <c r="E1051" s="48" t="s">
        <v>114</v>
      </c>
    </row>
    <row r="1052" spans="2:5" x14ac:dyDescent="0.2">
      <c r="B1052" s="28" t="str">
        <f>IF(Ago!$C60="SI",Ago!$B$57,"")</f>
        <v/>
      </c>
      <c r="C1052" s="28" t="str">
        <f>IF(Ago!$C60="SI",Ago!$B60,"")</f>
        <v/>
      </c>
      <c r="D1052" s="28" t="str">
        <f>IF(Ago!$C60="SI",Ago!$F60,"")</f>
        <v/>
      </c>
      <c r="E1052" s="48" t="s">
        <v>114</v>
      </c>
    </row>
    <row r="1053" spans="2:5" x14ac:dyDescent="0.2">
      <c r="B1053" s="28" t="str">
        <f>IF(Ago!$C61="SI",Ago!$B$57,"")</f>
        <v/>
      </c>
      <c r="C1053" s="28" t="str">
        <f>IF(Ago!$C61="SI",Ago!$B61,"")</f>
        <v/>
      </c>
      <c r="D1053" s="28" t="str">
        <f>IF(Ago!$C61="SI",Ago!$F61,"")</f>
        <v/>
      </c>
      <c r="E1053" s="48" t="s">
        <v>114</v>
      </c>
    </row>
    <row r="1054" spans="2:5" x14ac:dyDescent="0.2">
      <c r="B1054" s="28" t="str">
        <f>IF(Ago!$C62="SI",Ago!$B$57,"")</f>
        <v/>
      </c>
      <c r="C1054" s="28" t="str">
        <f>IF(Ago!$C62="SI",Ago!$B62,"")</f>
        <v/>
      </c>
      <c r="D1054" s="28" t="str">
        <f>IF(Ago!$C62="SI",Ago!$F62,"")</f>
        <v/>
      </c>
      <c r="E1054" s="48" t="s">
        <v>114</v>
      </c>
    </row>
    <row r="1055" spans="2:5" x14ac:dyDescent="0.2">
      <c r="B1055" s="28" t="str">
        <f>IF(Ago!$C63="SI",Ago!$B$57,"")</f>
        <v/>
      </c>
      <c r="C1055" s="28" t="str">
        <f>IF(Ago!$C63="SI",Ago!$B63,"")</f>
        <v/>
      </c>
      <c r="D1055" s="28" t="str">
        <f>IF(Ago!$C63="SI",Ago!$F63,"")</f>
        <v/>
      </c>
      <c r="E1055" s="48" t="s">
        <v>114</v>
      </c>
    </row>
    <row r="1056" spans="2:5" x14ac:dyDescent="0.2">
      <c r="B1056" s="28" t="str">
        <f>IF(Ago!$C64="SI",Ago!$B$57,"")</f>
        <v/>
      </c>
      <c r="C1056" s="28" t="str">
        <f>IF(Ago!$C64="SI",Ago!$B64,"")</f>
        <v/>
      </c>
      <c r="D1056" s="28" t="str">
        <f>IF(Ago!$C64="SI",Ago!$F64,"")</f>
        <v/>
      </c>
      <c r="E1056" s="48" t="s">
        <v>114</v>
      </c>
    </row>
    <row r="1057" spans="2:5" x14ac:dyDescent="0.2">
      <c r="B1057" s="28" t="str">
        <f>IF(Ago!$C68="SI",Ago!$B$67,"")</f>
        <v/>
      </c>
      <c r="C1057" s="28" t="str">
        <f>IF(Ago!$C68="SI",Ago!$B68,"")</f>
        <v/>
      </c>
      <c r="D1057" s="28" t="str">
        <f>IF(Ago!$C68="SI",Ago!$F68,"")</f>
        <v/>
      </c>
      <c r="E1057" s="48" t="s">
        <v>114</v>
      </c>
    </row>
    <row r="1058" spans="2:5" x14ac:dyDescent="0.2">
      <c r="B1058" s="28" t="str">
        <f>IF(Ago!$C69="SI",Ago!$B$67,"")</f>
        <v/>
      </c>
      <c r="C1058" s="28" t="str">
        <f>IF(Ago!$C69="SI",Ago!$B69,"")</f>
        <v/>
      </c>
      <c r="D1058" s="28" t="str">
        <f>IF(Ago!$C69="SI",Ago!$F69,"")</f>
        <v/>
      </c>
      <c r="E1058" s="48" t="s">
        <v>114</v>
      </c>
    </row>
    <row r="1059" spans="2:5" x14ac:dyDescent="0.2">
      <c r="B1059" s="28" t="str">
        <f>IF(Ago!$C70="SI",Ago!$B$67,"")</f>
        <v/>
      </c>
      <c r="C1059" s="28" t="str">
        <f>IF(Ago!$C70="SI",Ago!$B70,"")</f>
        <v/>
      </c>
      <c r="D1059" s="28" t="str">
        <f>IF(Ago!$C70="SI",Ago!$F70,"")</f>
        <v/>
      </c>
      <c r="E1059" s="48" t="s">
        <v>114</v>
      </c>
    </row>
    <row r="1060" spans="2:5" x14ac:dyDescent="0.2">
      <c r="B1060" s="28" t="str">
        <f>IF(Ago!$C71="SI",Ago!$B$67,"")</f>
        <v/>
      </c>
      <c r="C1060" s="28" t="str">
        <f>IF(Ago!$C71="SI",Ago!$B71,"")</f>
        <v/>
      </c>
      <c r="D1060" s="28" t="str">
        <f>IF(Ago!$C71="SI",Ago!$F71,"")</f>
        <v/>
      </c>
      <c r="E1060" s="48" t="s">
        <v>114</v>
      </c>
    </row>
    <row r="1061" spans="2:5" x14ac:dyDescent="0.2">
      <c r="B1061" s="28" t="str">
        <f>IF(Ago!$C72="SI",Ago!$B$67,"")</f>
        <v/>
      </c>
      <c r="C1061" s="28" t="str">
        <f>IF(Ago!$C72="SI",Ago!$B72,"")</f>
        <v/>
      </c>
      <c r="D1061" s="28" t="str">
        <f>IF(Ago!$C72="SI",Ago!$F72,"")</f>
        <v/>
      </c>
      <c r="E1061" s="48" t="s">
        <v>114</v>
      </c>
    </row>
    <row r="1062" spans="2:5" x14ac:dyDescent="0.2">
      <c r="B1062" s="28" t="str">
        <f>IF(Ago!$C73="SI",Ago!$B$67,"")</f>
        <v/>
      </c>
      <c r="C1062" s="28" t="str">
        <f>IF(Ago!$C73="SI",Ago!$B73,"")</f>
        <v/>
      </c>
      <c r="D1062" s="28" t="str">
        <f>IF(Ago!$C73="SI",Ago!$F73,"")</f>
        <v/>
      </c>
      <c r="E1062" s="48" t="s">
        <v>114</v>
      </c>
    </row>
    <row r="1063" spans="2:5" x14ac:dyDescent="0.2">
      <c r="B1063" s="28" t="str">
        <f>IF(Ago!$C74="SI",Ago!$B$67,"")</f>
        <v/>
      </c>
      <c r="C1063" s="28" t="str">
        <f>IF(Ago!$C74="SI",Ago!$B74,"")</f>
        <v/>
      </c>
      <c r="D1063" s="28" t="str">
        <f>IF(Ago!$C74="SI",Ago!$F74,"")</f>
        <v/>
      </c>
      <c r="E1063" s="48" t="s">
        <v>114</v>
      </c>
    </row>
    <row r="1064" spans="2:5" x14ac:dyDescent="0.2">
      <c r="B1064" s="28" t="str">
        <f>IF(Ago!$C75="SI",Ago!$B$67,"")</f>
        <v/>
      </c>
      <c r="C1064" s="28" t="str">
        <f>IF(Ago!$C75="SI",Ago!$B75,"")</f>
        <v/>
      </c>
      <c r="D1064" s="28" t="str">
        <f>IF(Ago!$C75="SI",Ago!$F75,"")</f>
        <v/>
      </c>
      <c r="E1064" s="48" t="s">
        <v>114</v>
      </c>
    </row>
    <row r="1065" spans="2:5" x14ac:dyDescent="0.2">
      <c r="B1065" s="28" t="str">
        <f>IF(Ago!$C76="SI",Ago!$B$67,"")</f>
        <v/>
      </c>
      <c r="C1065" s="28" t="str">
        <f>IF(Ago!$C76="SI",Ago!$B76,"")</f>
        <v/>
      </c>
      <c r="D1065" s="28" t="str">
        <f>IF(Ago!$C76="SI",Ago!$F76,"")</f>
        <v/>
      </c>
      <c r="E1065" s="48" t="s">
        <v>114</v>
      </c>
    </row>
    <row r="1066" spans="2:5" x14ac:dyDescent="0.2">
      <c r="B1066" s="28" t="str">
        <f>IF(Ago!$C77="SI",Ago!$B$67,"")</f>
        <v/>
      </c>
      <c r="C1066" s="28" t="str">
        <f>IF(Ago!$C77="SI",Ago!$B77,"")</f>
        <v/>
      </c>
      <c r="D1066" s="28" t="str">
        <f>IF(Ago!$C77="SI",Ago!$F77,"")</f>
        <v/>
      </c>
      <c r="E1066" s="48" t="s">
        <v>114</v>
      </c>
    </row>
    <row r="1067" spans="2:5" x14ac:dyDescent="0.2">
      <c r="B1067" s="28" t="str">
        <f>IF(Ago!$C78="SI",Ago!$B$67,"")</f>
        <v/>
      </c>
      <c r="C1067" s="28" t="str">
        <f>IF(Ago!$C78="SI",Ago!$B78,"")</f>
        <v/>
      </c>
      <c r="D1067" s="28" t="str">
        <f>IF(Ago!$C78="SI",Ago!$F78,"")</f>
        <v/>
      </c>
      <c r="E1067" s="48" t="s">
        <v>114</v>
      </c>
    </row>
    <row r="1068" spans="2:5" x14ac:dyDescent="0.2">
      <c r="B1068" s="28" t="str">
        <f>IF(Ago!$C82="SI",Ago!$B$81,"")</f>
        <v/>
      </c>
      <c r="C1068" s="28" t="str">
        <f>IF(Ago!$C82="SI",Ago!$B82,"")</f>
        <v/>
      </c>
      <c r="D1068" s="28" t="str">
        <f>IF(Ago!$C82="SI",Ago!$F82,"")</f>
        <v/>
      </c>
      <c r="E1068" s="48" t="s">
        <v>114</v>
      </c>
    </row>
    <row r="1069" spans="2:5" x14ac:dyDescent="0.2">
      <c r="B1069" s="28" t="str">
        <f>IF(Ago!$C83="SI",Ago!$B$81,"")</f>
        <v/>
      </c>
      <c r="C1069" s="28" t="str">
        <f>IF(Ago!$C83="SI",Ago!$B83,"")</f>
        <v/>
      </c>
      <c r="D1069" s="28" t="str">
        <f>IF(Ago!$C83="SI",Ago!$F83,"")</f>
        <v/>
      </c>
      <c r="E1069" s="48" t="s">
        <v>114</v>
      </c>
    </row>
    <row r="1070" spans="2:5" x14ac:dyDescent="0.2">
      <c r="B1070" s="28" t="str">
        <f>IF(Ago!$C84="SI",Ago!$B$81,"")</f>
        <v/>
      </c>
      <c r="C1070" s="28" t="str">
        <f>IF(Ago!$C84="SI",Ago!$B84,"")</f>
        <v/>
      </c>
      <c r="D1070" s="28" t="str">
        <f>IF(Ago!$C84="SI",Ago!$F84,"")</f>
        <v/>
      </c>
      <c r="E1070" s="48" t="s">
        <v>114</v>
      </c>
    </row>
    <row r="1071" spans="2:5" x14ac:dyDescent="0.2">
      <c r="B1071" s="28" t="str">
        <f>IF(Ago!$C85="SI",Ago!$B$81,"")</f>
        <v/>
      </c>
      <c r="C1071" s="28" t="str">
        <f>IF(Ago!$C85="SI",Ago!$B85,"")</f>
        <v/>
      </c>
      <c r="D1071" s="28" t="str">
        <f>IF(Ago!$C85="SI",Ago!$F85,"")</f>
        <v/>
      </c>
      <c r="E1071" s="48" t="s">
        <v>114</v>
      </c>
    </row>
    <row r="1072" spans="2:5" x14ac:dyDescent="0.2">
      <c r="B1072" s="28" t="str">
        <f>IF(Ago!$C86="SI",Ago!$B$81,"")</f>
        <v/>
      </c>
      <c r="C1072" s="28" t="str">
        <f>IF(Ago!$C86="SI",Ago!$B86,"")</f>
        <v/>
      </c>
      <c r="D1072" s="28" t="str">
        <f>IF(Ago!$C86="SI",Ago!$F86,"")</f>
        <v/>
      </c>
      <c r="E1072" s="48" t="s">
        <v>114</v>
      </c>
    </row>
    <row r="1073" spans="2:5" x14ac:dyDescent="0.2">
      <c r="B1073" s="28" t="str">
        <f>IF(Ago!$C87="SI",Ago!$B$81,"")</f>
        <v/>
      </c>
      <c r="C1073" s="28" t="str">
        <f>IF(Ago!$C87="SI",Ago!$B87,"")</f>
        <v/>
      </c>
      <c r="D1073" s="28" t="str">
        <f>IF(Ago!$C87="SI",Ago!$F87,"")</f>
        <v/>
      </c>
      <c r="E1073" s="48" t="s">
        <v>114</v>
      </c>
    </row>
    <row r="1074" spans="2:5" x14ac:dyDescent="0.2">
      <c r="B1074" s="28" t="str">
        <f>IF(Ago!$C91="SI",Ago!$B$90,"")</f>
        <v/>
      </c>
      <c r="C1074" s="28" t="str">
        <f>IF(Ago!$C91="SI",Ago!$B91,"")</f>
        <v/>
      </c>
      <c r="D1074" s="28" t="str">
        <f>IF(Ago!$C91="SI",Ago!$F91,"")</f>
        <v/>
      </c>
      <c r="E1074" s="48" t="s">
        <v>114</v>
      </c>
    </row>
    <row r="1075" spans="2:5" x14ac:dyDescent="0.2">
      <c r="B1075" s="28" t="str">
        <f>IF(Ago!$C92="SI",Ago!$B$90,"")</f>
        <v/>
      </c>
      <c r="C1075" s="28" t="str">
        <f>IF(Ago!$C92="SI",Ago!$B92,"")</f>
        <v/>
      </c>
      <c r="D1075" s="28" t="str">
        <f>IF(Ago!$C92="SI",Ago!$F92,"")</f>
        <v/>
      </c>
      <c r="E1075" s="48" t="s">
        <v>114</v>
      </c>
    </row>
    <row r="1076" spans="2:5" x14ac:dyDescent="0.2">
      <c r="B1076" s="28" t="str">
        <f>IF(Ago!$C93="SI",Ago!$B$90,"")</f>
        <v/>
      </c>
      <c r="C1076" s="28" t="str">
        <f>IF(Ago!$C93="SI",Ago!$B93,"")</f>
        <v/>
      </c>
      <c r="D1076" s="28" t="str">
        <f>IF(Ago!$C93="SI",Ago!$F93,"")</f>
        <v/>
      </c>
      <c r="E1076" s="48" t="s">
        <v>114</v>
      </c>
    </row>
    <row r="1077" spans="2:5" x14ac:dyDescent="0.2">
      <c r="B1077" s="28" t="str">
        <f>IF(Ago!$C94="SI",Ago!$B$90,"")</f>
        <v/>
      </c>
      <c r="C1077" s="28" t="str">
        <f>IF(Ago!$C94="SI",Ago!$B94,"")</f>
        <v/>
      </c>
      <c r="D1077" s="28" t="str">
        <f>IF(Ago!$C94="SI",Ago!$F94,"")</f>
        <v/>
      </c>
      <c r="E1077" s="48" t="s">
        <v>114</v>
      </c>
    </row>
    <row r="1078" spans="2:5" x14ac:dyDescent="0.2">
      <c r="B1078" s="28" t="str">
        <f>IF(Ago!$C95="SI",Ago!$B$90,"")</f>
        <v/>
      </c>
      <c r="C1078" s="28" t="str">
        <f>IF(Ago!$C95="SI",Ago!$B95,"")</f>
        <v/>
      </c>
      <c r="D1078" s="28" t="str">
        <f>IF(Ago!$C95="SI",Ago!$F95,"")</f>
        <v/>
      </c>
      <c r="E1078" s="48" t="s">
        <v>114</v>
      </c>
    </row>
    <row r="1079" spans="2:5" x14ac:dyDescent="0.2">
      <c r="B1079" s="28" t="str">
        <f>IF(Ago!$C96="SI",Ago!$B$90,"")</f>
        <v/>
      </c>
      <c r="C1079" s="28" t="str">
        <f>IF(Ago!$C96="SI",Ago!$B96,"")</f>
        <v/>
      </c>
      <c r="D1079" s="28" t="str">
        <f>IF(Ago!$C96="SI",Ago!$F96,"")</f>
        <v/>
      </c>
      <c r="E1079" s="48" t="s">
        <v>114</v>
      </c>
    </row>
    <row r="1080" spans="2:5" x14ac:dyDescent="0.2">
      <c r="B1080" s="28" t="str">
        <f>IF(Ago!$C97="SI",Ago!$B$90,"")</f>
        <v/>
      </c>
      <c r="C1080" s="28" t="str">
        <f>IF(Ago!$C97="SI",Ago!$B97,"")</f>
        <v/>
      </c>
      <c r="D1080" s="28" t="str">
        <f>IF(Ago!$C97="SI",Ago!$F97,"")</f>
        <v/>
      </c>
      <c r="E1080" s="48" t="s">
        <v>114</v>
      </c>
    </row>
    <row r="1081" spans="2:5" x14ac:dyDescent="0.2">
      <c r="B1081" s="28" t="str">
        <f>IF(Ago!$C101="SI",Ago!$B$100,"")</f>
        <v/>
      </c>
      <c r="C1081" s="28" t="str">
        <f>IF(Ago!$C101="SI",Ago!$B101,"")</f>
        <v/>
      </c>
      <c r="D1081" s="28" t="str">
        <f>IF(Ago!$C101="SI",Ago!$F101,"")</f>
        <v/>
      </c>
      <c r="E1081" s="48" t="s">
        <v>114</v>
      </c>
    </row>
    <row r="1082" spans="2:5" x14ac:dyDescent="0.2">
      <c r="B1082" s="28" t="str">
        <f>IF(Ago!$C102="SI",Ago!$B$100,"")</f>
        <v/>
      </c>
      <c r="C1082" s="28" t="str">
        <f>IF(Ago!$C102="SI",Ago!$B102,"")</f>
        <v/>
      </c>
      <c r="D1082" s="28" t="str">
        <f>IF(Ago!$C102="SI",Ago!$F102,"")</f>
        <v/>
      </c>
      <c r="E1082" s="48" t="s">
        <v>114</v>
      </c>
    </row>
    <row r="1083" spans="2:5" x14ac:dyDescent="0.2">
      <c r="B1083" s="28" t="str">
        <f>IF(Ago!$C103="SI",Ago!$B$100,"")</f>
        <v/>
      </c>
      <c r="C1083" s="28" t="str">
        <f>IF(Ago!$C103="SI",Ago!$B103,"")</f>
        <v/>
      </c>
      <c r="D1083" s="28" t="str">
        <f>IF(Ago!$C103="SI",Ago!$F103,"")</f>
        <v/>
      </c>
      <c r="E1083" s="48" t="s">
        <v>114</v>
      </c>
    </row>
    <row r="1084" spans="2:5" x14ac:dyDescent="0.2">
      <c r="B1084" s="28" t="str">
        <f>IF(Ago!$C104="SI",Ago!$B$100,"")</f>
        <v/>
      </c>
      <c r="C1084" s="28" t="str">
        <f>IF(Ago!$C104="SI",Ago!$B104,"")</f>
        <v/>
      </c>
      <c r="D1084" s="28" t="str">
        <f>IF(Ago!$C104="SI",Ago!$F104,"")</f>
        <v/>
      </c>
      <c r="E1084" s="48" t="s">
        <v>114</v>
      </c>
    </row>
    <row r="1085" spans="2:5" x14ac:dyDescent="0.2">
      <c r="B1085" s="28" t="str">
        <f>IF(Ago!$C105="SI",Ago!$B$100,"")</f>
        <v/>
      </c>
      <c r="C1085" s="28" t="str">
        <f>IF(Ago!$C105="SI",Ago!$B105,"")</f>
        <v/>
      </c>
      <c r="D1085" s="28" t="str">
        <f>IF(Ago!$C105="SI",Ago!$F105,"")</f>
        <v/>
      </c>
      <c r="E1085" s="48" t="s">
        <v>114</v>
      </c>
    </row>
    <row r="1086" spans="2:5" x14ac:dyDescent="0.2">
      <c r="B1086" s="28" t="str">
        <f>IF(Ago!$C106="SI",Ago!$B$100,"")</f>
        <v/>
      </c>
      <c r="C1086" s="28" t="str">
        <f>IF(Ago!$C106="SI",Ago!$B106,"")</f>
        <v/>
      </c>
      <c r="D1086" s="28" t="str">
        <f>IF(Ago!$C106="SI",Ago!$F106,"")</f>
        <v/>
      </c>
      <c r="E1086" s="48" t="s">
        <v>114</v>
      </c>
    </row>
    <row r="1087" spans="2:5" x14ac:dyDescent="0.2">
      <c r="B1087" s="28" t="str">
        <f>IF(Ago!$C107="SI",Ago!$B$100,"")</f>
        <v/>
      </c>
      <c r="C1087" s="28" t="str">
        <f>IF(Ago!$C107="SI",Ago!$B107,"")</f>
        <v/>
      </c>
      <c r="D1087" s="28" t="str">
        <f>IF(Ago!$C107="SI",Ago!$F107,"")</f>
        <v/>
      </c>
      <c r="E1087" s="48" t="s">
        <v>114</v>
      </c>
    </row>
    <row r="1088" spans="2:5" x14ac:dyDescent="0.2">
      <c r="B1088" s="29"/>
      <c r="C1088" s="29"/>
      <c r="D1088" s="29"/>
      <c r="E1088" s="48" t="s">
        <v>114</v>
      </c>
    </row>
    <row r="1089" spans="2:5" x14ac:dyDescent="0.2">
      <c r="B1089" s="28" t="str">
        <f>IF(Ago!$I13="SI",Ago!$H$12,"")</f>
        <v>AHORROS</v>
      </c>
      <c r="C1089" s="28" t="str">
        <f>IF(Ago!$I13="SI",Ago!$H13,"")</f>
        <v>Fondo de Emergencia</v>
      </c>
      <c r="D1089" s="28">
        <f>IF(Ago!$I13="SI",Ago!$L13,"")</f>
        <v>0</v>
      </c>
      <c r="E1089" s="48" t="s">
        <v>114</v>
      </c>
    </row>
    <row r="1090" spans="2:5" x14ac:dyDescent="0.2">
      <c r="B1090" s="28" t="str">
        <f>IF(Ago!$I14="SI",Ago!$H$12,"")</f>
        <v/>
      </c>
      <c r="C1090" s="28" t="str">
        <f>IF(Ago!$I14="SI",Ago!$H14,"")</f>
        <v/>
      </c>
      <c r="D1090" s="28" t="str">
        <f>IF(Ago!$I14="SI",Ago!$L14,"")</f>
        <v/>
      </c>
      <c r="E1090" s="48" t="s">
        <v>114</v>
      </c>
    </row>
    <row r="1091" spans="2:5" x14ac:dyDescent="0.2">
      <c r="B1091" s="28" t="str">
        <f>IF(Ago!$I15="SI",Ago!$H$12,"")</f>
        <v/>
      </c>
      <c r="C1091" s="28" t="str">
        <f>IF(Ago!$I15="SI",Ago!$H15,"")</f>
        <v/>
      </c>
      <c r="D1091" s="28" t="str">
        <f>IF(Ago!$I15="SI",Ago!$L15,"")</f>
        <v/>
      </c>
      <c r="E1091" s="48" t="s">
        <v>114</v>
      </c>
    </row>
    <row r="1092" spans="2:5" x14ac:dyDescent="0.2">
      <c r="B1092" s="28" t="str">
        <f>IF(Ago!$I16="SI",Ago!$H$12,"")</f>
        <v/>
      </c>
      <c r="C1092" s="28" t="str">
        <f>IF(Ago!$I16="SI",Ago!$H16,"")</f>
        <v/>
      </c>
      <c r="D1092" s="28" t="str">
        <f>IF(Ago!$I16="SI",Ago!$L16,"")</f>
        <v/>
      </c>
      <c r="E1092" s="48" t="s">
        <v>114</v>
      </c>
    </row>
    <row r="1093" spans="2:5" x14ac:dyDescent="0.2">
      <c r="B1093" s="28" t="str">
        <f>IF(Ago!$I17="SI",Ago!$H$12,"")</f>
        <v/>
      </c>
      <c r="C1093" s="28" t="str">
        <f>IF(Ago!$I17="SI",Ago!$H17,"")</f>
        <v/>
      </c>
      <c r="D1093" s="28" t="str">
        <f>IF(Ago!$I17="SI",Ago!$L17,"")</f>
        <v/>
      </c>
      <c r="E1093" s="48" t="s">
        <v>114</v>
      </c>
    </row>
    <row r="1094" spans="2:5" x14ac:dyDescent="0.2">
      <c r="B1094" s="28" t="str">
        <f>IF(Ago!$I18="SI",Ago!$H$12,"")</f>
        <v/>
      </c>
      <c r="C1094" s="28" t="str">
        <f>IF(Ago!$I18="SI",Ago!$H18,"")</f>
        <v/>
      </c>
      <c r="D1094" s="28" t="str">
        <f>IF(Ago!$I18="SI",Ago!$L18,"")</f>
        <v/>
      </c>
      <c r="E1094" s="48" t="s">
        <v>114</v>
      </c>
    </row>
    <row r="1095" spans="2:5" x14ac:dyDescent="0.2">
      <c r="B1095" s="28" t="str">
        <f>IF(Ago!$I19="SI",Ago!$H$12,"")</f>
        <v/>
      </c>
      <c r="C1095" s="28" t="str">
        <f>IF(Ago!$I19="SI",Ago!$H19,"")</f>
        <v/>
      </c>
      <c r="D1095" s="28" t="str">
        <f>IF(Ago!$I19="SI",Ago!$L19,"")</f>
        <v/>
      </c>
      <c r="E1095" s="48" t="s">
        <v>114</v>
      </c>
    </row>
    <row r="1096" spans="2:5" x14ac:dyDescent="0.2">
      <c r="B1096" s="28" t="str">
        <f>IF(Ago!$I20="SI",Ago!$H$12,"")</f>
        <v/>
      </c>
      <c r="C1096" s="28" t="str">
        <f>IF(Ago!$I20="SI",Ago!$H20,"")</f>
        <v/>
      </c>
      <c r="D1096" s="28" t="str">
        <f>IF(Ago!$I20="SI",Ago!$L20,"")</f>
        <v/>
      </c>
      <c r="E1096" s="48" t="s">
        <v>114</v>
      </c>
    </row>
    <row r="1097" spans="2:5" x14ac:dyDescent="0.2">
      <c r="B1097" s="28" t="str">
        <f>IF(Ago!$I21="SI",Ago!$H$12,"")</f>
        <v/>
      </c>
      <c r="C1097" s="28" t="str">
        <f>IF(Ago!$I21="SI",Ago!$H21,"")</f>
        <v/>
      </c>
      <c r="D1097" s="28" t="str">
        <f>IF(Ago!$I21="SI",Ago!$L21,"")</f>
        <v/>
      </c>
      <c r="E1097" s="48" t="s">
        <v>114</v>
      </c>
    </row>
    <row r="1098" spans="2:5" x14ac:dyDescent="0.2">
      <c r="B1098" s="28" t="str">
        <f>IF(Ago!$I22="SI",Ago!$H$12,"")</f>
        <v/>
      </c>
      <c r="C1098" s="28" t="str">
        <f>IF(Ago!$I22="SI",Ago!$H22,"")</f>
        <v/>
      </c>
      <c r="D1098" s="28" t="str">
        <f>IF(Ago!$I22="SI",Ago!$L22,"")</f>
        <v/>
      </c>
      <c r="E1098" s="48" t="s">
        <v>114</v>
      </c>
    </row>
    <row r="1099" spans="2:5" x14ac:dyDescent="0.2">
      <c r="B1099" s="28" t="str">
        <f>IF(Ago!$I23="SI",Ago!$H$12,"")</f>
        <v/>
      </c>
      <c r="C1099" s="28" t="str">
        <f>IF(Ago!$I23="SI",Ago!$H23,"")</f>
        <v/>
      </c>
      <c r="D1099" s="28" t="str">
        <f>IF(Ago!$I23="SI",Ago!$L23,"")</f>
        <v/>
      </c>
      <c r="E1099" s="48" t="s">
        <v>114</v>
      </c>
    </row>
    <row r="1100" spans="2:5" x14ac:dyDescent="0.2">
      <c r="B1100" s="28" t="str">
        <f>IF(Ago!$I24="SI",Ago!$H$12,"")</f>
        <v/>
      </c>
      <c r="C1100" s="28" t="str">
        <f>IF(Ago!$I24="SI",Ago!$H24,"")</f>
        <v/>
      </c>
      <c r="D1100" s="28" t="str">
        <f>IF(Ago!$I24="SI",Ago!$L24,"")</f>
        <v/>
      </c>
      <c r="E1100" s="48" t="s">
        <v>114</v>
      </c>
    </row>
    <row r="1101" spans="2:5" x14ac:dyDescent="0.2">
      <c r="B1101" s="28" t="str">
        <f>IF(Ago!$I28="SI",Ago!$H$27,"")</f>
        <v/>
      </c>
      <c r="C1101" s="28" t="str">
        <f>IF(Ago!$I28="SI",Ago!$H28,"")</f>
        <v/>
      </c>
      <c r="D1101" s="28" t="str">
        <f>IF(Ago!$I28="SI",Ago!$L28,"")</f>
        <v/>
      </c>
      <c r="E1101" s="48" t="s">
        <v>114</v>
      </c>
    </row>
    <row r="1102" spans="2:5" x14ac:dyDescent="0.2">
      <c r="B1102" s="28" t="str">
        <f>IF(Ago!$I29="SI",Ago!$H$27,"")</f>
        <v/>
      </c>
      <c r="C1102" s="28" t="str">
        <f>IF(Ago!$I29="SI",Ago!$H29,"")</f>
        <v/>
      </c>
      <c r="D1102" s="28" t="str">
        <f>IF(Ago!$I29="SI",Ago!$L29,"")</f>
        <v/>
      </c>
      <c r="E1102" s="48" t="s">
        <v>114</v>
      </c>
    </row>
    <row r="1103" spans="2:5" x14ac:dyDescent="0.2">
      <c r="B1103" s="28" t="str">
        <f>IF(Ago!$I30="SI",Ago!$H$27,"")</f>
        <v/>
      </c>
      <c r="C1103" s="28" t="str">
        <f>IF(Ago!$I30="SI",Ago!$H30,"")</f>
        <v/>
      </c>
      <c r="D1103" s="28" t="str">
        <f>IF(Ago!$I30="SI",Ago!$L30,"")</f>
        <v/>
      </c>
      <c r="E1103" s="48" t="s">
        <v>114</v>
      </c>
    </row>
    <row r="1104" spans="2:5" x14ac:dyDescent="0.2">
      <c r="B1104" s="28" t="str">
        <f>IF(Ago!$I31="SI",Ago!$H$27,"")</f>
        <v/>
      </c>
      <c r="C1104" s="28" t="str">
        <f>IF(Ago!$I31="SI",Ago!$H31,"")</f>
        <v/>
      </c>
      <c r="D1104" s="28" t="str">
        <f>IF(Ago!$I31="SI",Ago!$L31,"")</f>
        <v/>
      </c>
      <c r="E1104" s="48" t="s">
        <v>114</v>
      </c>
    </row>
    <row r="1105" spans="2:5" x14ac:dyDescent="0.2">
      <c r="B1105" s="28" t="str">
        <f>IF(Ago!$I32="SI",Ago!$H$27,"")</f>
        <v/>
      </c>
      <c r="C1105" s="28" t="str">
        <f>IF(Ago!$I32="SI",Ago!$H32,"")</f>
        <v/>
      </c>
      <c r="D1105" s="28" t="str">
        <f>IF(Ago!$I32="SI",Ago!$L32,"")</f>
        <v/>
      </c>
      <c r="E1105" s="48" t="s">
        <v>114</v>
      </c>
    </row>
    <row r="1106" spans="2:5" x14ac:dyDescent="0.2">
      <c r="B1106" s="28" t="str">
        <f>IF(Ago!$I33="SI",Ago!$H$27,"")</f>
        <v/>
      </c>
      <c r="C1106" s="28" t="str">
        <f>IF(Ago!$I33="SI",Ago!$H33,"")</f>
        <v/>
      </c>
      <c r="D1106" s="28" t="str">
        <f>IF(Ago!$I33="SI",Ago!$L33,"")</f>
        <v/>
      </c>
      <c r="E1106" s="48" t="s">
        <v>114</v>
      </c>
    </row>
    <row r="1107" spans="2:5" x14ac:dyDescent="0.2">
      <c r="B1107" s="28" t="str">
        <f>IF(Ago!$I34="SI",Ago!$H$27,"")</f>
        <v/>
      </c>
      <c r="C1107" s="28" t="str">
        <f>IF(Ago!$I34="SI",Ago!$H34,"")</f>
        <v/>
      </c>
      <c r="D1107" s="28" t="str">
        <f>IF(Ago!$I34="SI",Ago!$L34,"")</f>
        <v/>
      </c>
      <c r="E1107" s="48" t="s">
        <v>114</v>
      </c>
    </row>
    <row r="1108" spans="2:5" x14ac:dyDescent="0.2">
      <c r="B1108" s="28" t="str">
        <f>IF(Ago!$I35="SI",Ago!$H$27,"")</f>
        <v/>
      </c>
      <c r="C1108" s="28" t="str">
        <f>IF(Ago!$I35="SI",Ago!$H35,"")</f>
        <v/>
      </c>
      <c r="D1108" s="28" t="str">
        <f>IF(Ago!$I35="SI",Ago!$L35,"")</f>
        <v/>
      </c>
      <c r="E1108" s="48" t="s">
        <v>114</v>
      </c>
    </row>
    <row r="1109" spans="2:5" x14ac:dyDescent="0.2">
      <c r="B1109" s="28" t="str">
        <f>IF(Ago!$I39="SI",Ago!$H$38,"")</f>
        <v/>
      </c>
      <c r="C1109" s="28" t="str">
        <f>IF(Ago!$I39="SI",Ago!$H39,"")</f>
        <v/>
      </c>
      <c r="D1109" s="28" t="str">
        <f>IF(Ago!$I39="SI",Ago!$L39,"")</f>
        <v/>
      </c>
      <c r="E1109" s="48" t="s">
        <v>114</v>
      </c>
    </row>
    <row r="1110" spans="2:5" x14ac:dyDescent="0.2">
      <c r="B1110" s="28" t="str">
        <f>IF(Ago!$I40="SI",Ago!$H$38,"")</f>
        <v/>
      </c>
      <c r="C1110" s="28" t="str">
        <f>IF(Ago!$I40="SI",Ago!$H40,"")</f>
        <v/>
      </c>
      <c r="D1110" s="28" t="str">
        <f>IF(Ago!$I40="SI",Ago!$L40,"")</f>
        <v/>
      </c>
      <c r="E1110" s="48" t="s">
        <v>114</v>
      </c>
    </row>
    <row r="1111" spans="2:5" x14ac:dyDescent="0.2">
      <c r="B1111" s="28" t="str">
        <f>IF(Ago!$I41="SI",Ago!$H$38,"")</f>
        <v/>
      </c>
      <c r="C1111" s="28" t="str">
        <f>IF(Ago!$I41="SI",Ago!$H41,"")</f>
        <v/>
      </c>
      <c r="D1111" s="28" t="str">
        <f>IF(Ago!$I41="SI",Ago!$L41,"")</f>
        <v/>
      </c>
      <c r="E1111" s="48" t="s">
        <v>114</v>
      </c>
    </row>
    <row r="1112" spans="2:5" x14ac:dyDescent="0.2">
      <c r="B1112" s="28" t="str">
        <f>IF(Ago!$I42="SI",Ago!$H$38,"")</f>
        <v/>
      </c>
      <c r="C1112" s="28" t="str">
        <f>IF(Ago!$I42="SI",Ago!$H42,"")</f>
        <v/>
      </c>
      <c r="D1112" s="28" t="str">
        <f>IF(Ago!$I42="SI",Ago!$L42,"")</f>
        <v/>
      </c>
      <c r="E1112" s="48" t="s">
        <v>114</v>
      </c>
    </row>
    <row r="1113" spans="2:5" x14ac:dyDescent="0.2">
      <c r="B1113" s="28" t="str">
        <f>IF(Ago!$I43="SI",Ago!$H$38,"")</f>
        <v/>
      </c>
      <c r="C1113" s="28" t="str">
        <f>IF(Ago!$I43="SI",Ago!$H43,"")</f>
        <v/>
      </c>
      <c r="D1113" s="28" t="str">
        <f>IF(Ago!$I43="SI",Ago!$L43,"")</f>
        <v/>
      </c>
      <c r="E1113" s="48" t="s">
        <v>114</v>
      </c>
    </row>
    <row r="1114" spans="2:5" x14ac:dyDescent="0.2">
      <c r="B1114" s="28" t="str">
        <f>IF(Ago!$I44="SI",Ago!$H$38,"")</f>
        <v/>
      </c>
      <c r="C1114" s="28" t="str">
        <f>IF(Ago!$I44="SI",Ago!$H44,"")</f>
        <v/>
      </c>
      <c r="D1114" s="28" t="str">
        <f>IF(Ago!$I44="SI",Ago!$L44,"")</f>
        <v/>
      </c>
      <c r="E1114" s="48" t="s">
        <v>114</v>
      </c>
    </row>
    <row r="1115" spans="2:5" x14ac:dyDescent="0.2">
      <c r="B1115" s="28" t="str">
        <f>IF(Ago!$I45="SI",Ago!$H$38,"")</f>
        <v/>
      </c>
      <c r="C1115" s="28" t="str">
        <f>IF(Ago!$I45="SI",Ago!$H45,"")</f>
        <v/>
      </c>
      <c r="D1115" s="28" t="str">
        <f>IF(Ago!$I45="SI",Ago!$L45,"")</f>
        <v/>
      </c>
      <c r="E1115" s="48" t="s">
        <v>114</v>
      </c>
    </row>
    <row r="1116" spans="2:5" x14ac:dyDescent="0.2">
      <c r="B1116" s="28" t="str">
        <f>IF(Ago!$I49="SI",Ago!$H$48,"")</f>
        <v/>
      </c>
      <c r="C1116" s="28" t="str">
        <f>IF(Ago!$I49="SI",Ago!$H49,"")</f>
        <v/>
      </c>
      <c r="D1116" s="28" t="str">
        <f>IF(Ago!$I49="SI",Ago!$L49,"")</f>
        <v/>
      </c>
      <c r="E1116" s="48" t="s">
        <v>114</v>
      </c>
    </row>
    <row r="1117" spans="2:5" x14ac:dyDescent="0.2">
      <c r="B1117" s="28" t="str">
        <f>IF(Ago!$I50="SI",Ago!$H$48,"")</f>
        <v/>
      </c>
      <c r="C1117" s="28" t="str">
        <f>IF(Ago!$I50="SI",Ago!$H50,"")</f>
        <v/>
      </c>
      <c r="D1117" s="28" t="str">
        <f>IF(Ago!$I50="SI",Ago!$L50,"")</f>
        <v/>
      </c>
      <c r="E1117" s="48" t="s">
        <v>114</v>
      </c>
    </row>
    <row r="1118" spans="2:5" x14ac:dyDescent="0.2">
      <c r="B1118" s="28" t="str">
        <f>IF(Ago!$I51="SI",Ago!$H$48,"")</f>
        <v/>
      </c>
      <c r="C1118" s="28" t="str">
        <f>IF(Ago!$I51="SI",Ago!$H51,"")</f>
        <v/>
      </c>
      <c r="D1118" s="28" t="str">
        <f>IF(Ago!$I51="SI",Ago!$L51,"")</f>
        <v/>
      </c>
      <c r="E1118" s="48" t="s">
        <v>114</v>
      </c>
    </row>
    <row r="1119" spans="2:5" x14ac:dyDescent="0.2">
      <c r="B1119" s="28" t="str">
        <f>IF(Ago!$I52="SI",Ago!$H$48,"")</f>
        <v/>
      </c>
      <c r="C1119" s="28" t="str">
        <f>IF(Ago!$I52="SI",Ago!$H52,"")</f>
        <v/>
      </c>
      <c r="D1119" s="28" t="str">
        <f>IF(Ago!$I52="SI",Ago!$L52,"")</f>
        <v/>
      </c>
      <c r="E1119" s="48" t="s">
        <v>114</v>
      </c>
    </row>
    <row r="1120" spans="2:5" x14ac:dyDescent="0.2">
      <c r="B1120" s="28" t="str">
        <f>IF(Ago!$I53="SI",Ago!$H$48,"")</f>
        <v/>
      </c>
      <c r="C1120" s="28" t="str">
        <f>IF(Ago!$I53="SI",Ago!$H53,"")</f>
        <v/>
      </c>
      <c r="D1120" s="28" t="str">
        <f>IF(Ago!$I53="SI",Ago!$L53,"")</f>
        <v/>
      </c>
      <c r="E1120" s="48" t="s">
        <v>114</v>
      </c>
    </row>
    <row r="1121" spans="2:5" x14ac:dyDescent="0.2">
      <c r="B1121" s="28" t="str">
        <f>IF(Ago!$I54="SI",Ago!$H$48,"")</f>
        <v/>
      </c>
      <c r="C1121" s="28" t="str">
        <f>IF(Ago!$I54="SI",Ago!$H54,"")</f>
        <v/>
      </c>
      <c r="D1121" s="28" t="str">
        <f>IF(Ago!$I54="SI",Ago!$L54,"")</f>
        <v/>
      </c>
      <c r="E1121" s="48" t="s">
        <v>114</v>
      </c>
    </row>
    <row r="1122" spans="2:5" x14ac:dyDescent="0.2">
      <c r="B1122" s="28" t="str">
        <f>IF(Ago!$I58="SI",Ago!$H$57,"")</f>
        <v/>
      </c>
      <c r="C1122" s="28" t="str">
        <f>IF(Ago!$I58="SI",Ago!$H58,"")</f>
        <v/>
      </c>
      <c r="D1122" s="28" t="str">
        <f>IF(Ago!$I58="SI",Ago!$L58,"")</f>
        <v/>
      </c>
      <c r="E1122" s="48" t="s">
        <v>114</v>
      </c>
    </row>
    <row r="1123" spans="2:5" x14ac:dyDescent="0.2">
      <c r="B1123" s="28" t="str">
        <f>IF(Ago!$I59="SI",Ago!$H$57,"")</f>
        <v/>
      </c>
      <c r="C1123" s="28" t="str">
        <f>IF(Ago!$I59="SI",Ago!$H59,"")</f>
        <v/>
      </c>
      <c r="D1123" s="28" t="str">
        <f>IF(Ago!$I59="SI",Ago!$L59,"")</f>
        <v/>
      </c>
      <c r="E1123" s="48" t="s">
        <v>114</v>
      </c>
    </row>
    <row r="1124" spans="2:5" x14ac:dyDescent="0.2">
      <c r="B1124" s="28" t="str">
        <f>IF(Ago!$I60="SI",Ago!$H$57,"")</f>
        <v/>
      </c>
      <c r="C1124" s="28" t="str">
        <f>IF(Ago!$I60="SI",Ago!$H60,"")</f>
        <v/>
      </c>
      <c r="D1124" s="28" t="str">
        <f>IF(Ago!$I60="SI",Ago!$L60,"")</f>
        <v/>
      </c>
      <c r="E1124" s="48" t="s">
        <v>114</v>
      </c>
    </row>
    <row r="1125" spans="2:5" x14ac:dyDescent="0.2">
      <c r="B1125" s="28" t="str">
        <f>IF(Ago!$I61="SI",Ago!$H$57,"")</f>
        <v/>
      </c>
      <c r="C1125" s="28" t="str">
        <f>IF(Ago!$I61="SI",Ago!$H61,"")</f>
        <v/>
      </c>
      <c r="D1125" s="28" t="str">
        <f>IF(Ago!$I61="SI",Ago!$L61,"")</f>
        <v/>
      </c>
      <c r="E1125" s="48" t="s">
        <v>114</v>
      </c>
    </row>
    <row r="1126" spans="2:5" x14ac:dyDescent="0.2">
      <c r="B1126" s="28" t="str">
        <f>IF(Ago!$I62="SI",Ago!$H$57,"")</f>
        <v/>
      </c>
      <c r="C1126" s="28" t="str">
        <f>IF(Ago!$I62="SI",Ago!$H62,"")</f>
        <v/>
      </c>
      <c r="D1126" s="28" t="str">
        <f>IF(Ago!$I62="SI",Ago!$L62,"")</f>
        <v/>
      </c>
      <c r="E1126" s="48" t="s">
        <v>114</v>
      </c>
    </row>
    <row r="1127" spans="2:5" x14ac:dyDescent="0.2">
      <c r="B1127" s="28" t="str">
        <f>IF(Ago!$I63="SI",Ago!$H$57,"")</f>
        <v/>
      </c>
      <c r="C1127" s="28" t="str">
        <f>IF(Ago!$I63="SI",Ago!$H63,"")</f>
        <v/>
      </c>
      <c r="D1127" s="28" t="str">
        <f>IF(Ago!$I63="SI",Ago!$L63,"")</f>
        <v/>
      </c>
      <c r="E1127" s="48" t="s">
        <v>114</v>
      </c>
    </row>
    <row r="1128" spans="2:5" x14ac:dyDescent="0.2">
      <c r="B1128" s="28" t="str">
        <f>IF(Ago!$I64="SI",Ago!$H$57,"")</f>
        <v/>
      </c>
      <c r="C1128" s="28" t="str">
        <f>IF(Ago!$I64="SI",Ago!$H64,"")</f>
        <v/>
      </c>
      <c r="D1128" s="28" t="str">
        <f>IF(Ago!$I64="SI",Ago!$L64,"")</f>
        <v/>
      </c>
      <c r="E1128" s="48" t="s">
        <v>114</v>
      </c>
    </row>
    <row r="1129" spans="2:5" x14ac:dyDescent="0.2">
      <c r="B1129" s="28" t="str">
        <f>IF(Ago!$I68="SI",Ago!$H$67,"")</f>
        <v/>
      </c>
      <c r="C1129" s="28" t="str">
        <f>IF(Ago!$I68="SI",Ago!$H68,"")</f>
        <v/>
      </c>
      <c r="D1129" s="28" t="str">
        <f>IF(Ago!$I68="SI",Ago!$L68,"")</f>
        <v/>
      </c>
      <c r="E1129" s="48" t="s">
        <v>114</v>
      </c>
    </row>
    <row r="1130" spans="2:5" x14ac:dyDescent="0.2">
      <c r="B1130" s="28" t="str">
        <f>IF(Ago!$I69="SI",Ago!$H$67,"")</f>
        <v/>
      </c>
      <c r="C1130" s="28" t="str">
        <f>IF(Ago!$I69="SI",Ago!$H69,"")</f>
        <v/>
      </c>
      <c r="D1130" s="28" t="str">
        <f>IF(Ago!$I69="SI",Ago!$L69,"")</f>
        <v/>
      </c>
      <c r="E1130" s="48" t="s">
        <v>114</v>
      </c>
    </row>
    <row r="1131" spans="2:5" x14ac:dyDescent="0.2">
      <c r="B1131" s="28" t="str">
        <f>IF(Ago!$I70="SI",Ago!$H$67,"")</f>
        <v/>
      </c>
      <c r="C1131" s="28" t="str">
        <f>IF(Ago!$I70="SI",Ago!$H70,"")</f>
        <v/>
      </c>
      <c r="D1131" s="28" t="str">
        <f>IF(Ago!$I70="SI",Ago!$L70,"")</f>
        <v/>
      </c>
      <c r="E1131" s="48" t="s">
        <v>114</v>
      </c>
    </row>
    <row r="1132" spans="2:5" x14ac:dyDescent="0.2">
      <c r="B1132" s="28" t="str">
        <f>IF(Ago!$I71="SI",Ago!$H$67,"")</f>
        <v/>
      </c>
      <c r="C1132" s="28" t="str">
        <f>IF(Ago!$I71="SI",Ago!$H71,"")</f>
        <v/>
      </c>
      <c r="D1132" s="28" t="str">
        <f>IF(Ago!$I71="SI",Ago!$L71,"")</f>
        <v/>
      </c>
      <c r="E1132" s="48" t="s">
        <v>114</v>
      </c>
    </row>
    <row r="1133" spans="2:5" x14ac:dyDescent="0.2">
      <c r="B1133" s="28" t="str">
        <f>IF(Ago!$I72="SI",Ago!$H$67,"")</f>
        <v/>
      </c>
      <c r="C1133" s="28" t="str">
        <f>IF(Ago!$I72="SI",Ago!$H72,"")</f>
        <v/>
      </c>
      <c r="D1133" s="28" t="str">
        <f>IF(Ago!$I72="SI",Ago!$L72,"")</f>
        <v/>
      </c>
      <c r="E1133" s="48" t="s">
        <v>114</v>
      </c>
    </row>
    <row r="1134" spans="2:5" x14ac:dyDescent="0.2">
      <c r="B1134" s="28" t="str">
        <f>IF(Ago!$I73="SI",Ago!$H$67,"")</f>
        <v/>
      </c>
      <c r="C1134" s="28" t="str">
        <f>IF(Ago!$I73="SI",Ago!$H73,"")</f>
        <v/>
      </c>
      <c r="D1134" s="28" t="str">
        <f>IF(Ago!$I73="SI",Ago!$L73,"")</f>
        <v/>
      </c>
      <c r="E1134" s="48" t="s">
        <v>114</v>
      </c>
    </row>
    <row r="1135" spans="2:5" x14ac:dyDescent="0.2">
      <c r="B1135" s="28" t="str">
        <f>IF(Ago!$I74="SI",Ago!$H$67,"")</f>
        <v/>
      </c>
      <c r="C1135" s="28" t="str">
        <f>IF(Ago!$I74="SI",Ago!$H74,"")</f>
        <v/>
      </c>
      <c r="D1135" s="28" t="str">
        <f>IF(Ago!$I74="SI",Ago!$L74,"")</f>
        <v/>
      </c>
      <c r="E1135" s="48" t="s">
        <v>114</v>
      </c>
    </row>
    <row r="1136" spans="2:5" x14ac:dyDescent="0.2">
      <c r="B1136" s="28" t="str">
        <f>IF(Ago!$I75="SI",Ago!$H$67,"")</f>
        <v/>
      </c>
      <c r="C1136" s="28" t="str">
        <f>IF(Ago!$I75="SI",Ago!$H75,"")</f>
        <v/>
      </c>
      <c r="D1136" s="28" t="str">
        <f>IF(Ago!$I75="SI",Ago!$L75,"")</f>
        <v/>
      </c>
      <c r="E1136" s="48" t="s">
        <v>114</v>
      </c>
    </row>
    <row r="1137" spans="2:5" x14ac:dyDescent="0.2">
      <c r="B1137" s="28" t="str">
        <f>IF(Ago!$I76="SI",Ago!$H$67,"")</f>
        <v/>
      </c>
      <c r="C1137" s="28" t="str">
        <f>IF(Ago!$I76="SI",Ago!$H76,"")</f>
        <v/>
      </c>
      <c r="D1137" s="28" t="str">
        <f>IF(Ago!$I76="SI",Ago!$L76,"")</f>
        <v/>
      </c>
      <c r="E1137" s="48" t="s">
        <v>114</v>
      </c>
    </row>
    <row r="1138" spans="2:5" x14ac:dyDescent="0.2">
      <c r="B1138" s="28" t="str">
        <f>IF(Ago!$I77="SI",Ago!$H$67,"")</f>
        <v/>
      </c>
      <c r="C1138" s="28" t="str">
        <f>IF(Ago!$I77="SI",Ago!$H77,"")</f>
        <v/>
      </c>
      <c r="D1138" s="28" t="str">
        <f>IF(Ago!$I77="SI",Ago!$L77,"")</f>
        <v/>
      </c>
      <c r="E1138" s="48" t="s">
        <v>114</v>
      </c>
    </row>
    <row r="1139" spans="2:5" x14ac:dyDescent="0.2">
      <c r="B1139" s="28" t="str">
        <f>IF(Ago!$I78="SI",Ago!$H$67,"")</f>
        <v/>
      </c>
      <c r="C1139" s="28" t="str">
        <f>IF(Ago!$I78="SI",Ago!$H78,"")</f>
        <v/>
      </c>
      <c r="D1139" s="28" t="str">
        <f>IF(Ago!$I78="SI",Ago!$L78,"")</f>
        <v/>
      </c>
      <c r="E1139" s="48" t="s">
        <v>114</v>
      </c>
    </row>
    <row r="1140" spans="2:5" x14ac:dyDescent="0.2">
      <c r="B1140" s="28" t="str">
        <f>IF(Ago!$I82="SI",Ago!$H$81,"")</f>
        <v/>
      </c>
      <c r="C1140" s="28" t="str">
        <f>IF(Ago!$I82="SI",Ago!$H82,"")</f>
        <v/>
      </c>
      <c r="D1140" s="28" t="str">
        <f>IF(Ago!$I82="SI",Ago!$L82,"")</f>
        <v/>
      </c>
      <c r="E1140" s="48" t="s">
        <v>114</v>
      </c>
    </row>
    <row r="1141" spans="2:5" x14ac:dyDescent="0.2">
      <c r="B1141" s="28" t="str">
        <f>IF(Ago!$I83="SI",Ago!$H$81,"")</f>
        <v/>
      </c>
      <c r="C1141" s="28" t="str">
        <f>IF(Ago!$I83="SI",Ago!$H83,"")</f>
        <v/>
      </c>
      <c r="D1141" s="28" t="str">
        <f>IF(Ago!$I83="SI",Ago!$L83,"")</f>
        <v/>
      </c>
      <c r="E1141" s="48" t="s">
        <v>114</v>
      </c>
    </row>
    <row r="1142" spans="2:5" x14ac:dyDescent="0.2">
      <c r="B1142" s="28" t="str">
        <f>IF(Ago!$I84="SI",Ago!$H$81,"")</f>
        <v/>
      </c>
      <c r="C1142" s="28" t="str">
        <f>IF(Ago!$I84="SI",Ago!$H84,"")</f>
        <v/>
      </c>
      <c r="D1142" s="28" t="str">
        <f>IF(Ago!$I84="SI",Ago!$L84,"")</f>
        <v/>
      </c>
      <c r="E1142" s="48" t="s">
        <v>114</v>
      </c>
    </row>
    <row r="1143" spans="2:5" x14ac:dyDescent="0.2">
      <c r="B1143" s="28" t="str">
        <f>IF(Ago!$I85="SI",Ago!$H$81,"")</f>
        <v/>
      </c>
      <c r="C1143" s="28" t="str">
        <f>IF(Ago!$I85="SI",Ago!$H85,"")</f>
        <v/>
      </c>
      <c r="D1143" s="28" t="str">
        <f>IF(Ago!$I85="SI",Ago!$L85,"")</f>
        <v/>
      </c>
      <c r="E1143" s="48" t="s">
        <v>114</v>
      </c>
    </row>
    <row r="1144" spans="2:5" x14ac:dyDescent="0.2">
      <c r="B1144" s="28" t="str">
        <f>IF(Ago!$I86="SI",Ago!$H$81,"")</f>
        <v/>
      </c>
      <c r="C1144" s="28" t="str">
        <f>IF(Ago!$I86="SI",Ago!$H86,"")</f>
        <v/>
      </c>
      <c r="D1144" s="28" t="str">
        <f>IF(Ago!$I86="SI",Ago!$L86,"")</f>
        <v/>
      </c>
      <c r="E1144" s="48" t="s">
        <v>114</v>
      </c>
    </row>
    <row r="1145" spans="2:5" x14ac:dyDescent="0.2">
      <c r="B1145" s="28" t="str">
        <f>IF(Ago!$I87="SI",Ago!$H$81,"")</f>
        <v/>
      </c>
      <c r="C1145" s="28" t="str">
        <f>IF(Ago!$I87="SI",Ago!$H87,"")</f>
        <v/>
      </c>
      <c r="D1145" s="28" t="str">
        <f>IF(Ago!$I87="SI",Ago!$L87,"")</f>
        <v/>
      </c>
      <c r="E1145" s="48" t="s">
        <v>114</v>
      </c>
    </row>
    <row r="1146" spans="2:5" x14ac:dyDescent="0.2">
      <c r="B1146" s="28" t="str">
        <f>IF(Ago!$I91="SI",Ago!$H$90,"")</f>
        <v/>
      </c>
      <c r="C1146" s="28" t="str">
        <f>IF(Ago!$I91="SI",Ago!$H91,"")</f>
        <v/>
      </c>
      <c r="D1146" s="28" t="str">
        <f>IF(Ago!$I91="SI",Ago!$L91,"")</f>
        <v/>
      </c>
      <c r="E1146" s="48" t="s">
        <v>114</v>
      </c>
    </row>
    <row r="1147" spans="2:5" x14ac:dyDescent="0.2">
      <c r="B1147" s="28" t="str">
        <f>IF(Ago!$I92="SI",Ago!$H$90,"")</f>
        <v/>
      </c>
      <c r="C1147" s="28" t="str">
        <f>IF(Ago!$I92="SI",Ago!$H92,"")</f>
        <v/>
      </c>
      <c r="D1147" s="28" t="str">
        <f>IF(Ago!$I92="SI",Ago!$L92,"")</f>
        <v/>
      </c>
      <c r="E1147" s="48" t="s">
        <v>114</v>
      </c>
    </row>
    <row r="1148" spans="2:5" x14ac:dyDescent="0.2">
      <c r="B1148" s="28" t="str">
        <f>IF(Ago!$I93="SI",Ago!$H$90,"")</f>
        <v/>
      </c>
      <c r="C1148" s="28" t="str">
        <f>IF(Ago!$I93="SI",Ago!$H93,"")</f>
        <v/>
      </c>
      <c r="D1148" s="28" t="str">
        <f>IF(Ago!$I93="SI",Ago!$L93,"")</f>
        <v/>
      </c>
      <c r="E1148" s="48" t="s">
        <v>114</v>
      </c>
    </row>
    <row r="1149" spans="2:5" x14ac:dyDescent="0.2">
      <c r="B1149" s="28" t="str">
        <f>IF(Ago!$I94="SI",Ago!$H$90,"")</f>
        <v/>
      </c>
      <c r="C1149" s="28" t="str">
        <f>IF(Ago!$I94="SI",Ago!$H94,"")</f>
        <v/>
      </c>
      <c r="D1149" s="28" t="str">
        <f>IF(Ago!$I94="SI",Ago!$L94,"")</f>
        <v/>
      </c>
      <c r="E1149" s="48" t="s">
        <v>114</v>
      </c>
    </row>
    <row r="1150" spans="2:5" x14ac:dyDescent="0.2">
      <c r="B1150" s="28" t="str">
        <f>IF(Ago!$I95="SI",Ago!$H$90,"")</f>
        <v/>
      </c>
      <c r="C1150" s="28" t="str">
        <f>IF(Ago!$I95="SI",Ago!$H95,"")</f>
        <v/>
      </c>
      <c r="D1150" s="28" t="str">
        <f>IF(Ago!$I95="SI",Ago!$L95,"")</f>
        <v/>
      </c>
      <c r="E1150" s="48" t="s">
        <v>114</v>
      </c>
    </row>
    <row r="1151" spans="2:5" x14ac:dyDescent="0.2">
      <c r="B1151" s="28" t="str">
        <f>IF(Ago!$I96="SI",Ago!$H$90,"")</f>
        <v/>
      </c>
      <c r="C1151" s="28" t="str">
        <f>IF(Ago!$I96="SI",Ago!$H96,"")</f>
        <v/>
      </c>
      <c r="D1151" s="28" t="str">
        <f>IF(Ago!$I96="SI",Ago!$L96,"")</f>
        <v/>
      </c>
      <c r="E1151" s="48" t="s">
        <v>114</v>
      </c>
    </row>
    <row r="1152" spans="2:5" x14ac:dyDescent="0.2">
      <c r="B1152" s="28" t="str">
        <f>IF(Ago!$I97="SI",Ago!$H$90,"")</f>
        <v/>
      </c>
      <c r="C1152" s="28" t="str">
        <f>IF(Ago!$I97="SI",Ago!$H97,"")</f>
        <v/>
      </c>
      <c r="D1152" s="28" t="str">
        <f>IF(Ago!$I97="SI",Ago!$L97,"")</f>
        <v/>
      </c>
      <c r="E1152" s="48" t="s">
        <v>114</v>
      </c>
    </row>
    <row r="1153" spans="2:5" x14ac:dyDescent="0.2">
      <c r="B1153" s="28" t="str">
        <f>IF(Ago!$I101="SI",Ago!$H$100,"")</f>
        <v/>
      </c>
      <c r="C1153" s="28" t="str">
        <f>IF(Ago!$I101="SI",Ago!$H101,"")</f>
        <v/>
      </c>
      <c r="D1153" s="28" t="str">
        <f>IF(Ago!$I101="SI",Ago!$L101,"")</f>
        <v/>
      </c>
      <c r="E1153" s="48" t="s">
        <v>114</v>
      </c>
    </row>
    <row r="1154" spans="2:5" x14ac:dyDescent="0.2">
      <c r="B1154" s="28" t="str">
        <f>IF(Ago!$I102="SI",Ago!$H$100,"")</f>
        <v/>
      </c>
      <c r="C1154" s="28" t="str">
        <f>IF(Ago!$I102="SI",Ago!$H102,"")</f>
        <v/>
      </c>
      <c r="D1154" s="28" t="str">
        <f>IF(Ago!$I102="SI",Ago!$L102,"")</f>
        <v/>
      </c>
      <c r="E1154" s="48" t="s">
        <v>114</v>
      </c>
    </row>
    <row r="1155" spans="2:5" x14ac:dyDescent="0.2">
      <c r="B1155" s="28" t="str">
        <f>IF(Ago!$I103="SI",Ago!$H$100,"")</f>
        <v/>
      </c>
      <c r="C1155" s="28" t="str">
        <f>IF(Ago!$I103="SI",Ago!$H103,"")</f>
        <v/>
      </c>
      <c r="D1155" s="28" t="str">
        <f>IF(Ago!$I103="SI",Ago!$L103,"")</f>
        <v/>
      </c>
      <c r="E1155" s="48" t="s">
        <v>114</v>
      </c>
    </row>
    <row r="1156" spans="2:5" x14ac:dyDescent="0.2">
      <c r="B1156" s="28" t="str">
        <f>IF(Ago!$I104="SI",Ago!$H$100,"")</f>
        <v/>
      </c>
      <c r="C1156" s="28" t="str">
        <f>IF(Ago!$I104="SI",Ago!$H104,"")</f>
        <v/>
      </c>
      <c r="D1156" s="28" t="str">
        <f>IF(Ago!$I104="SI",Ago!$L104,"")</f>
        <v/>
      </c>
      <c r="E1156" s="48" t="s">
        <v>114</v>
      </c>
    </row>
    <row r="1157" spans="2:5" x14ac:dyDescent="0.2">
      <c r="B1157" s="28" t="str">
        <f>IF(Ago!$I105="SI",Ago!$H$100,"")</f>
        <v/>
      </c>
      <c r="C1157" s="28" t="str">
        <f>IF(Ago!$I105="SI",Ago!$H105,"")</f>
        <v/>
      </c>
      <c r="D1157" s="28" t="str">
        <f>IF(Ago!$I105="SI",Ago!$L105,"")</f>
        <v/>
      </c>
      <c r="E1157" s="48" t="s">
        <v>114</v>
      </c>
    </row>
    <row r="1158" spans="2:5" x14ac:dyDescent="0.2">
      <c r="B1158" s="28" t="str">
        <f>IF(Ago!$I106="SI",Ago!$H$100,"")</f>
        <v/>
      </c>
      <c r="C1158" s="28" t="str">
        <f>IF(Ago!$I106="SI",Ago!$H106,"")</f>
        <v/>
      </c>
      <c r="D1158" s="28" t="str">
        <f>IF(Ago!$I106="SI",Ago!$L106,"")</f>
        <v/>
      </c>
      <c r="E1158" s="48" t="s">
        <v>114</v>
      </c>
    </row>
    <row r="1159" spans="2:5" x14ac:dyDescent="0.2">
      <c r="B1159" s="28" t="str">
        <f>IF(Ago!$I107="SI",Ago!$H$100,"")</f>
        <v/>
      </c>
      <c r="C1159" s="28" t="str">
        <f>IF(Ago!$I107="SI",Ago!$H107,"")</f>
        <v/>
      </c>
      <c r="D1159" s="28" t="str">
        <f>IF(Ago!$I107="SI",Ago!$L107,"")</f>
        <v/>
      </c>
      <c r="E1159" s="48" t="s">
        <v>114</v>
      </c>
    </row>
    <row r="1160" spans="2:5" x14ac:dyDescent="0.2">
      <c r="B1160" s="29"/>
      <c r="C1160" s="29"/>
      <c r="D1160" s="29"/>
      <c r="E1160" s="48" t="s">
        <v>114</v>
      </c>
    </row>
    <row r="1161" spans="2:5" x14ac:dyDescent="0.2">
      <c r="B1161" s="28" t="str">
        <f>IF(Sep!$C13="SI",Sep!$B$12,"")</f>
        <v/>
      </c>
      <c r="C1161" s="28" t="str">
        <f>IF(Sep!$C13="SI",Sep!$B13,"")</f>
        <v/>
      </c>
      <c r="D1161" s="28" t="str">
        <f>IF(Sep!$C13="SI",Sep!$F13,"")</f>
        <v/>
      </c>
      <c r="E1161" s="48" t="s">
        <v>115</v>
      </c>
    </row>
    <row r="1162" spans="2:5" x14ac:dyDescent="0.2">
      <c r="B1162" s="28" t="str">
        <f>IF(Sep!$C14="SI",Sep!$B$12,"")</f>
        <v/>
      </c>
      <c r="C1162" s="28" t="str">
        <f>IF(Sep!$C14="SI",Sep!$B14,"")</f>
        <v/>
      </c>
      <c r="D1162" s="28" t="str">
        <f>IF(Sep!$C14="SI",Sep!$F14,"")</f>
        <v/>
      </c>
      <c r="E1162" s="48" t="s">
        <v>115</v>
      </c>
    </row>
    <row r="1163" spans="2:5" x14ac:dyDescent="0.2">
      <c r="B1163" s="28" t="str">
        <f>IF(Sep!$C15="SI",Sep!$B$12,"")</f>
        <v/>
      </c>
      <c r="C1163" s="28" t="str">
        <f>IF(Sep!$C15="SI",Sep!$B15,"")</f>
        <v/>
      </c>
      <c r="D1163" s="28" t="str">
        <f>IF(Sep!$C15="SI",Sep!$F15,"")</f>
        <v/>
      </c>
      <c r="E1163" s="48" t="s">
        <v>115</v>
      </c>
    </row>
    <row r="1164" spans="2:5" x14ac:dyDescent="0.2">
      <c r="B1164" s="28" t="str">
        <f>IF(Sep!$C16="SI",Sep!$B$12,"")</f>
        <v/>
      </c>
      <c r="C1164" s="28" t="str">
        <f>IF(Sep!$C16="SI",Sep!$B16,"")</f>
        <v/>
      </c>
      <c r="D1164" s="28" t="str">
        <f>IF(Sep!$C16="SI",Sep!$F16,"")</f>
        <v/>
      </c>
      <c r="E1164" s="48" t="s">
        <v>115</v>
      </c>
    </row>
    <row r="1165" spans="2:5" x14ac:dyDescent="0.2">
      <c r="B1165" s="28" t="str">
        <f>IF(Sep!$C17="SI",Sep!$B$12,"")</f>
        <v/>
      </c>
      <c r="C1165" s="28" t="str">
        <f>IF(Sep!$C17="SI",Sep!$B17,"")</f>
        <v/>
      </c>
      <c r="D1165" s="28" t="str">
        <f>IF(Sep!$C17="SI",Sep!$F17,"")</f>
        <v/>
      </c>
      <c r="E1165" s="48" t="s">
        <v>115</v>
      </c>
    </row>
    <row r="1166" spans="2:5" x14ac:dyDescent="0.2">
      <c r="B1166" s="28" t="str">
        <f>IF(Sep!$C18="SI",Sep!$B$12,"")</f>
        <v/>
      </c>
      <c r="C1166" s="28" t="str">
        <f>IF(Sep!$C18="SI",Sep!$B18,"")</f>
        <v/>
      </c>
      <c r="D1166" s="28" t="str">
        <f>IF(Sep!$C18="SI",Sep!$F18,"")</f>
        <v/>
      </c>
      <c r="E1166" s="48" t="s">
        <v>115</v>
      </c>
    </row>
    <row r="1167" spans="2:5" x14ac:dyDescent="0.2">
      <c r="B1167" s="28" t="str">
        <f>IF(Sep!$C19="SI",Sep!$B$12,"")</f>
        <v/>
      </c>
      <c r="C1167" s="28" t="str">
        <f>IF(Sep!$C19="SI",Sep!$B19,"")</f>
        <v/>
      </c>
      <c r="D1167" s="28" t="str">
        <f>IF(Sep!$C19="SI",Sep!$F19,"")</f>
        <v/>
      </c>
      <c r="E1167" s="48" t="s">
        <v>115</v>
      </c>
    </row>
    <row r="1168" spans="2:5" x14ac:dyDescent="0.2">
      <c r="B1168" s="28" t="str">
        <f>IF(Sep!$C20="SI",Sep!$B$12,"")</f>
        <v/>
      </c>
      <c r="C1168" s="28" t="str">
        <f>IF(Sep!$C20="SI",Sep!$B20,"")</f>
        <v/>
      </c>
      <c r="D1168" s="28" t="str">
        <f>IF(Sep!$C20="SI",Sep!$F20,"")</f>
        <v/>
      </c>
      <c r="E1168" s="48" t="s">
        <v>115</v>
      </c>
    </row>
    <row r="1169" spans="2:5" x14ac:dyDescent="0.2">
      <c r="B1169" s="28" t="str">
        <f>IF(Sep!$C21="SI",Sep!$B$12,"")</f>
        <v/>
      </c>
      <c r="C1169" s="28" t="str">
        <f>IF(Sep!$C21="SI",Sep!$B21,"")</f>
        <v/>
      </c>
      <c r="D1169" s="28" t="str">
        <f>IF(Sep!$C21="SI",Sep!$F21,"")</f>
        <v/>
      </c>
      <c r="E1169" s="48" t="s">
        <v>115</v>
      </c>
    </row>
    <row r="1170" spans="2:5" x14ac:dyDescent="0.2">
      <c r="B1170" s="28" t="str">
        <f>IF(Sep!$C22="SI",Sep!$B$12,"")</f>
        <v/>
      </c>
      <c r="C1170" s="28" t="str">
        <f>IF(Sep!$C22="SI",Sep!$B22,"")</f>
        <v/>
      </c>
      <c r="D1170" s="28" t="str">
        <f>IF(Sep!$C22="SI",Sep!$F22,"")</f>
        <v/>
      </c>
      <c r="E1170" s="48" t="s">
        <v>115</v>
      </c>
    </row>
    <row r="1171" spans="2:5" x14ac:dyDescent="0.2">
      <c r="B1171" s="28" t="str">
        <f>IF(Sep!$C23="SI",Sep!$B$12,"")</f>
        <v/>
      </c>
      <c r="C1171" s="28" t="str">
        <f>IF(Sep!$C23="SI",Sep!$B23,"")</f>
        <v/>
      </c>
      <c r="D1171" s="28" t="str">
        <f>IF(Sep!$C23="SI",Sep!$F23,"")</f>
        <v/>
      </c>
      <c r="E1171" s="48" t="s">
        <v>115</v>
      </c>
    </row>
    <row r="1172" spans="2:5" x14ac:dyDescent="0.2">
      <c r="B1172" s="28" t="str">
        <f>IF(Sep!$C24="SI",Sep!$B$12,"")</f>
        <v/>
      </c>
      <c r="C1172" s="28" t="str">
        <f>IF(Sep!$C24="SI",Sep!$B24,"")</f>
        <v/>
      </c>
      <c r="D1172" s="28" t="str">
        <f>IF(Sep!$C24="SI",Sep!$F24,"")</f>
        <v/>
      </c>
      <c r="E1172" s="48" t="s">
        <v>115</v>
      </c>
    </row>
    <row r="1173" spans="2:5" x14ac:dyDescent="0.2">
      <c r="B1173" s="28" t="str">
        <f>IF(Sep!$C28="SI",Sep!$B$27,"")</f>
        <v/>
      </c>
      <c r="C1173" s="28" t="str">
        <f>IF(Sep!$C28="SI",Sep!$B28,"")</f>
        <v/>
      </c>
      <c r="D1173" s="28" t="str">
        <f>IF(Sep!$C28="SI",Sep!$F28,"")</f>
        <v/>
      </c>
      <c r="E1173" s="48" t="s">
        <v>115</v>
      </c>
    </row>
    <row r="1174" spans="2:5" x14ac:dyDescent="0.2">
      <c r="B1174" s="28" t="str">
        <f>IF(Sep!$C29="SI",Sep!$B$27,"")</f>
        <v/>
      </c>
      <c r="C1174" s="28" t="str">
        <f>IF(Sep!$C29="SI",Sep!$B29,"")</f>
        <v/>
      </c>
      <c r="D1174" s="28" t="str">
        <f>IF(Sep!$C29="SI",Sep!$F29,"")</f>
        <v/>
      </c>
      <c r="E1174" s="48" t="s">
        <v>115</v>
      </c>
    </row>
    <row r="1175" spans="2:5" x14ac:dyDescent="0.2">
      <c r="B1175" s="28" t="str">
        <f>IF(Sep!$C30="SI",Sep!$B$27,"")</f>
        <v/>
      </c>
      <c r="C1175" s="28" t="str">
        <f>IF(Sep!$C30="SI",Sep!$B30,"")</f>
        <v/>
      </c>
      <c r="D1175" s="28" t="str">
        <f>IF(Sep!$C30="SI",Sep!$F30,"")</f>
        <v/>
      </c>
      <c r="E1175" s="48" t="s">
        <v>115</v>
      </c>
    </row>
    <row r="1176" spans="2:5" x14ac:dyDescent="0.2">
      <c r="B1176" s="28" t="str">
        <f>IF(Sep!$C31="SI",Sep!$B$27,"")</f>
        <v/>
      </c>
      <c r="C1176" s="28" t="str">
        <f>IF(Sep!$C31="SI",Sep!$B31,"")</f>
        <v/>
      </c>
      <c r="D1176" s="28" t="str">
        <f>IF(Sep!$C31="SI",Sep!$F31,"")</f>
        <v/>
      </c>
      <c r="E1176" s="48" t="s">
        <v>115</v>
      </c>
    </row>
    <row r="1177" spans="2:5" x14ac:dyDescent="0.2">
      <c r="B1177" s="28" t="str">
        <f>IF(Sep!$C32="SI",Sep!$B$27,"")</f>
        <v/>
      </c>
      <c r="C1177" s="28" t="str">
        <f>IF(Sep!$C32="SI",Sep!$B32,"")</f>
        <v/>
      </c>
      <c r="D1177" s="28" t="str">
        <f>IF(Sep!$C32="SI",Sep!$F32,"")</f>
        <v/>
      </c>
      <c r="E1177" s="48" t="s">
        <v>115</v>
      </c>
    </row>
    <row r="1178" spans="2:5" x14ac:dyDescent="0.2">
      <c r="B1178" s="28" t="str">
        <f>IF(Sep!$C33="SI",Sep!$B$27,"")</f>
        <v/>
      </c>
      <c r="C1178" s="28" t="str">
        <f>IF(Sep!$C33="SI",Sep!$B33,"")</f>
        <v/>
      </c>
      <c r="D1178" s="28" t="str">
        <f>IF(Sep!$C33="SI",Sep!$F33,"")</f>
        <v/>
      </c>
      <c r="E1178" s="48" t="s">
        <v>115</v>
      </c>
    </row>
    <row r="1179" spans="2:5" x14ac:dyDescent="0.2">
      <c r="B1179" s="28" t="str">
        <f>IF(Sep!$C34="SI",Sep!$B$27,"")</f>
        <v/>
      </c>
      <c r="C1179" s="28" t="str">
        <f>IF(Sep!$C34="SI",Sep!$B34,"")</f>
        <v/>
      </c>
      <c r="D1179" s="28" t="str">
        <f>IF(Sep!$C34="SI",Sep!$F34,"")</f>
        <v/>
      </c>
      <c r="E1179" s="48" t="s">
        <v>115</v>
      </c>
    </row>
    <row r="1180" spans="2:5" x14ac:dyDescent="0.2">
      <c r="B1180" s="28" t="str">
        <f>IF(Sep!$C35="SI",Sep!$B$27,"")</f>
        <v/>
      </c>
      <c r="C1180" s="28" t="str">
        <f>IF(Sep!$C35="SI",Sep!$B35,"")</f>
        <v/>
      </c>
      <c r="D1180" s="28" t="str">
        <f>IF(Sep!$C35="SI",Sep!$F35,"")</f>
        <v/>
      </c>
      <c r="E1180" s="48" t="s">
        <v>115</v>
      </c>
    </row>
    <row r="1181" spans="2:5" x14ac:dyDescent="0.2">
      <c r="B1181" s="28" t="str">
        <f>IF(Sep!$C39="SI",Sep!$B$38,"")</f>
        <v/>
      </c>
      <c r="C1181" s="28" t="str">
        <f>IF(Sep!$C39="SI",Sep!$B39,"")</f>
        <v/>
      </c>
      <c r="D1181" s="28" t="str">
        <f>IF(Sep!$C39="SI",Sep!$F39,"")</f>
        <v/>
      </c>
      <c r="E1181" s="48" t="s">
        <v>115</v>
      </c>
    </row>
    <row r="1182" spans="2:5" x14ac:dyDescent="0.2">
      <c r="B1182" s="28" t="str">
        <f>IF(Sep!$C40="SI",Sep!$B$38,"")</f>
        <v/>
      </c>
      <c r="C1182" s="28" t="str">
        <f>IF(Sep!$C40="SI",Sep!$B40,"")</f>
        <v/>
      </c>
      <c r="D1182" s="28" t="str">
        <f>IF(Sep!$C40="SI",Sep!$F40,"")</f>
        <v/>
      </c>
      <c r="E1182" s="48" t="s">
        <v>115</v>
      </c>
    </row>
    <row r="1183" spans="2:5" x14ac:dyDescent="0.2">
      <c r="B1183" s="28" t="str">
        <f>IF(Sep!$C41="SI",Sep!$B$38,"")</f>
        <v/>
      </c>
      <c r="C1183" s="28" t="str">
        <f>IF(Sep!$C41="SI",Sep!$B41,"")</f>
        <v/>
      </c>
      <c r="D1183" s="28" t="str">
        <f>IF(Sep!$C41="SI",Sep!$F41,"")</f>
        <v/>
      </c>
      <c r="E1183" s="48" t="s">
        <v>115</v>
      </c>
    </row>
    <row r="1184" spans="2:5" x14ac:dyDescent="0.2">
      <c r="B1184" s="28" t="str">
        <f>IF(Sep!$C42="SI",Sep!$B$38,"")</f>
        <v/>
      </c>
      <c r="C1184" s="28" t="str">
        <f>IF(Sep!$C42="SI",Sep!$B42,"")</f>
        <v/>
      </c>
      <c r="D1184" s="28" t="str">
        <f>IF(Sep!$C42="SI",Sep!$F42,"")</f>
        <v/>
      </c>
      <c r="E1184" s="48" t="s">
        <v>115</v>
      </c>
    </row>
    <row r="1185" spans="2:5" x14ac:dyDescent="0.2">
      <c r="B1185" s="28" t="str">
        <f>IF(Sep!$C43="SI",Sep!$B$38,"")</f>
        <v/>
      </c>
      <c r="C1185" s="28" t="str">
        <f>IF(Sep!$C43="SI",Sep!$B43,"")</f>
        <v/>
      </c>
      <c r="D1185" s="28" t="str">
        <f>IF(Sep!$C43="SI",Sep!$F43,"")</f>
        <v/>
      </c>
      <c r="E1185" s="48" t="s">
        <v>115</v>
      </c>
    </row>
    <row r="1186" spans="2:5" x14ac:dyDescent="0.2">
      <c r="B1186" s="28" t="str">
        <f>IF(Sep!$C44="SI",Sep!$B$38,"")</f>
        <v/>
      </c>
      <c r="C1186" s="28" t="str">
        <f>IF(Sep!$C44="SI",Sep!$B44,"")</f>
        <v/>
      </c>
      <c r="D1186" s="28" t="str">
        <f>IF(Sep!$C44="SI",Sep!$F44,"")</f>
        <v/>
      </c>
      <c r="E1186" s="48" t="s">
        <v>115</v>
      </c>
    </row>
    <row r="1187" spans="2:5" x14ac:dyDescent="0.2">
      <c r="B1187" s="28" t="str">
        <f>IF(Sep!$C45="SI",Sep!$B$38,"")</f>
        <v/>
      </c>
      <c r="C1187" s="28" t="str">
        <f>IF(Sep!$C45="SI",Sep!$B45,"")</f>
        <v/>
      </c>
      <c r="D1187" s="28" t="str">
        <f>IF(Sep!$C45="SI",Sep!$F45,"")</f>
        <v/>
      </c>
      <c r="E1187" s="48" t="s">
        <v>115</v>
      </c>
    </row>
    <row r="1188" spans="2:5" x14ac:dyDescent="0.2">
      <c r="B1188" s="28" t="str">
        <f>IF(Sep!$C49="SI",Sep!$B$48,"")</f>
        <v/>
      </c>
      <c r="C1188" s="28" t="str">
        <f>IF(Sep!$C49="SI",Sep!$B49,"")</f>
        <v/>
      </c>
      <c r="D1188" s="28" t="str">
        <f>IF(Sep!$C49="SI",Sep!$F49,"")</f>
        <v/>
      </c>
      <c r="E1188" s="48" t="s">
        <v>115</v>
      </c>
    </row>
    <row r="1189" spans="2:5" x14ac:dyDescent="0.2">
      <c r="B1189" s="28" t="str">
        <f>IF(Sep!$C50="SI",Sep!$B$48,"")</f>
        <v/>
      </c>
      <c r="C1189" s="28" t="str">
        <f>IF(Sep!$C50="SI",Sep!$B50,"")</f>
        <v/>
      </c>
      <c r="D1189" s="28" t="str">
        <f>IF(Sep!$C50="SI",Sep!$F50,"")</f>
        <v/>
      </c>
      <c r="E1189" s="48" t="s">
        <v>115</v>
      </c>
    </row>
    <row r="1190" spans="2:5" x14ac:dyDescent="0.2">
      <c r="B1190" s="28" t="str">
        <f>IF(Sep!$C51="SI",Sep!$B$48,"")</f>
        <v/>
      </c>
      <c r="C1190" s="28" t="str">
        <f>IF(Sep!$C51="SI",Sep!$B51,"")</f>
        <v/>
      </c>
      <c r="D1190" s="28" t="str">
        <f>IF(Sep!$C51="SI",Sep!$F51,"")</f>
        <v/>
      </c>
      <c r="E1190" s="48" t="s">
        <v>115</v>
      </c>
    </row>
    <row r="1191" spans="2:5" x14ac:dyDescent="0.2">
      <c r="B1191" s="28" t="str">
        <f>IF(Sep!$C52="SI",Sep!$B$48,"")</f>
        <v/>
      </c>
      <c r="C1191" s="28" t="str">
        <f>IF(Sep!$C52="SI",Sep!$B52,"")</f>
        <v/>
      </c>
      <c r="D1191" s="28" t="str">
        <f>IF(Sep!$C52="SI",Sep!$F52,"")</f>
        <v/>
      </c>
      <c r="E1191" s="48" t="s">
        <v>115</v>
      </c>
    </row>
    <row r="1192" spans="2:5" x14ac:dyDescent="0.2">
      <c r="B1192" s="28" t="str">
        <f>IF(Sep!$C53="SI",Sep!$B$48,"")</f>
        <v/>
      </c>
      <c r="C1192" s="28" t="str">
        <f>IF(Sep!$C53="SI",Sep!$B53,"")</f>
        <v/>
      </c>
      <c r="D1192" s="28" t="str">
        <f>IF(Sep!$C53="SI",Sep!$F53,"")</f>
        <v/>
      </c>
      <c r="E1192" s="48" t="s">
        <v>115</v>
      </c>
    </row>
    <row r="1193" spans="2:5" x14ac:dyDescent="0.2">
      <c r="B1193" s="28" t="str">
        <f>IF(Sep!$C54="SI",Sep!$B$48,"")</f>
        <v/>
      </c>
      <c r="C1193" s="28" t="str">
        <f>IF(Sep!$C54="SI",Sep!$B54,"")</f>
        <v/>
      </c>
      <c r="D1193" s="28" t="str">
        <f>IF(Sep!$C54="SI",Sep!$F54,"")</f>
        <v/>
      </c>
      <c r="E1193" s="48" t="s">
        <v>115</v>
      </c>
    </row>
    <row r="1194" spans="2:5" x14ac:dyDescent="0.2">
      <c r="B1194" s="28" t="str">
        <f>IF(Sep!$C58="SI",Sep!$B$57,"")</f>
        <v/>
      </c>
      <c r="C1194" s="28" t="str">
        <f>IF(Sep!$C58="SI",Sep!$B58,"")</f>
        <v/>
      </c>
      <c r="D1194" s="28" t="str">
        <f>IF(Sep!$C58="SI",Sep!$F58,"")</f>
        <v/>
      </c>
      <c r="E1194" s="48" t="s">
        <v>115</v>
      </c>
    </row>
    <row r="1195" spans="2:5" x14ac:dyDescent="0.2">
      <c r="B1195" s="28" t="str">
        <f>IF(Sep!$C59="SI",Sep!$B$57,"")</f>
        <v/>
      </c>
      <c r="C1195" s="28" t="str">
        <f>IF(Sep!$C59="SI",Sep!$B59,"")</f>
        <v/>
      </c>
      <c r="D1195" s="28" t="str">
        <f>IF(Sep!$C59="SI",Sep!$F59,"")</f>
        <v/>
      </c>
      <c r="E1195" s="48" t="s">
        <v>115</v>
      </c>
    </row>
    <row r="1196" spans="2:5" x14ac:dyDescent="0.2">
      <c r="B1196" s="28" t="str">
        <f>IF(Sep!$C60="SI",Sep!$B$57,"")</f>
        <v/>
      </c>
      <c r="C1196" s="28" t="str">
        <f>IF(Sep!$C60="SI",Sep!$B60,"")</f>
        <v/>
      </c>
      <c r="D1196" s="28" t="str">
        <f>IF(Sep!$C60="SI",Sep!$F60,"")</f>
        <v/>
      </c>
      <c r="E1196" s="48" t="s">
        <v>115</v>
      </c>
    </row>
    <row r="1197" spans="2:5" x14ac:dyDescent="0.2">
      <c r="B1197" s="28" t="str">
        <f>IF(Sep!$C61="SI",Sep!$B$57,"")</f>
        <v/>
      </c>
      <c r="C1197" s="28" t="str">
        <f>IF(Sep!$C61="SI",Sep!$B61,"")</f>
        <v/>
      </c>
      <c r="D1197" s="28" t="str">
        <f>IF(Sep!$C61="SI",Sep!$F61,"")</f>
        <v/>
      </c>
      <c r="E1197" s="48" t="s">
        <v>115</v>
      </c>
    </row>
    <row r="1198" spans="2:5" x14ac:dyDescent="0.2">
      <c r="B1198" s="28" t="str">
        <f>IF(Sep!$C62="SI",Sep!$B$57,"")</f>
        <v/>
      </c>
      <c r="C1198" s="28" t="str">
        <f>IF(Sep!$C62="SI",Sep!$B62,"")</f>
        <v/>
      </c>
      <c r="D1198" s="28" t="str">
        <f>IF(Sep!$C62="SI",Sep!$F62,"")</f>
        <v/>
      </c>
      <c r="E1198" s="48" t="s">
        <v>115</v>
      </c>
    </row>
    <row r="1199" spans="2:5" x14ac:dyDescent="0.2">
      <c r="B1199" s="28" t="str">
        <f>IF(Sep!$C63="SI",Sep!$B$57,"")</f>
        <v/>
      </c>
      <c r="C1199" s="28" t="str">
        <f>IF(Sep!$C63="SI",Sep!$B63,"")</f>
        <v/>
      </c>
      <c r="D1199" s="28" t="str">
        <f>IF(Sep!$C63="SI",Sep!$F63,"")</f>
        <v/>
      </c>
      <c r="E1199" s="48" t="s">
        <v>115</v>
      </c>
    </row>
    <row r="1200" spans="2:5" x14ac:dyDescent="0.2">
      <c r="B1200" s="28" t="str">
        <f>IF(Sep!$C64="SI",Sep!$B$57,"")</f>
        <v/>
      </c>
      <c r="C1200" s="28" t="str">
        <f>IF(Sep!$C64="SI",Sep!$B64,"")</f>
        <v/>
      </c>
      <c r="D1200" s="28" t="str">
        <f>IF(Sep!$C64="SI",Sep!$F64,"")</f>
        <v/>
      </c>
      <c r="E1200" s="48" t="s">
        <v>115</v>
      </c>
    </row>
    <row r="1201" spans="2:5" x14ac:dyDescent="0.2">
      <c r="B1201" s="28" t="str">
        <f>IF(Sep!$C68="SI",Sep!$B$67,"")</f>
        <v/>
      </c>
      <c r="C1201" s="28" t="str">
        <f>IF(Sep!$C68="SI",Sep!$B68,"")</f>
        <v/>
      </c>
      <c r="D1201" s="28" t="str">
        <f>IF(Sep!$C68="SI",Sep!$F68,"")</f>
        <v/>
      </c>
      <c r="E1201" s="48" t="s">
        <v>115</v>
      </c>
    </row>
    <row r="1202" spans="2:5" x14ac:dyDescent="0.2">
      <c r="B1202" s="28" t="str">
        <f>IF(Sep!$C69="SI",Sep!$B$67,"")</f>
        <v/>
      </c>
      <c r="C1202" s="28" t="str">
        <f>IF(Sep!$C69="SI",Sep!$B69,"")</f>
        <v/>
      </c>
      <c r="D1202" s="28" t="str">
        <f>IF(Sep!$C69="SI",Sep!$F69,"")</f>
        <v/>
      </c>
      <c r="E1202" s="48" t="s">
        <v>115</v>
      </c>
    </row>
    <row r="1203" spans="2:5" x14ac:dyDescent="0.2">
      <c r="B1203" s="28" t="str">
        <f>IF(Sep!$C70="SI",Sep!$B$67,"")</f>
        <v/>
      </c>
      <c r="C1203" s="28" t="str">
        <f>IF(Sep!$C70="SI",Sep!$B70,"")</f>
        <v/>
      </c>
      <c r="D1203" s="28" t="str">
        <f>IF(Sep!$C70="SI",Sep!$F70,"")</f>
        <v/>
      </c>
      <c r="E1203" s="48" t="s">
        <v>115</v>
      </c>
    </row>
    <row r="1204" spans="2:5" x14ac:dyDescent="0.2">
      <c r="B1204" s="28" t="str">
        <f>IF(Sep!$C71="SI",Sep!$B$67,"")</f>
        <v/>
      </c>
      <c r="C1204" s="28" t="str">
        <f>IF(Sep!$C71="SI",Sep!$B71,"")</f>
        <v/>
      </c>
      <c r="D1204" s="28" t="str">
        <f>IF(Sep!$C71="SI",Sep!$F71,"")</f>
        <v/>
      </c>
      <c r="E1204" s="48" t="s">
        <v>115</v>
      </c>
    </row>
    <row r="1205" spans="2:5" x14ac:dyDescent="0.2">
      <c r="B1205" s="28" t="str">
        <f>IF(Sep!$C72="SI",Sep!$B$67,"")</f>
        <v/>
      </c>
      <c r="C1205" s="28" t="str">
        <f>IF(Sep!$C72="SI",Sep!$B72,"")</f>
        <v/>
      </c>
      <c r="D1205" s="28" t="str">
        <f>IF(Sep!$C72="SI",Sep!$F72,"")</f>
        <v/>
      </c>
      <c r="E1205" s="48" t="s">
        <v>115</v>
      </c>
    </row>
    <row r="1206" spans="2:5" x14ac:dyDescent="0.2">
      <c r="B1206" s="28" t="str">
        <f>IF(Sep!$C73="SI",Sep!$B$67,"")</f>
        <v/>
      </c>
      <c r="C1206" s="28" t="str">
        <f>IF(Sep!$C73="SI",Sep!$B73,"")</f>
        <v/>
      </c>
      <c r="D1206" s="28" t="str">
        <f>IF(Sep!$C73="SI",Sep!$F73,"")</f>
        <v/>
      </c>
      <c r="E1206" s="48" t="s">
        <v>115</v>
      </c>
    </row>
    <row r="1207" spans="2:5" x14ac:dyDescent="0.2">
      <c r="B1207" s="28" t="str">
        <f>IF(Sep!$C74="SI",Sep!$B$67,"")</f>
        <v/>
      </c>
      <c r="C1207" s="28" t="str">
        <f>IF(Sep!$C74="SI",Sep!$B74,"")</f>
        <v/>
      </c>
      <c r="D1207" s="28" t="str">
        <f>IF(Sep!$C74="SI",Sep!$F74,"")</f>
        <v/>
      </c>
      <c r="E1207" s="48" t="s">
        <v>115</v>
      </c>
    </row>
    <row r="1208" spans="2:5" x14ac:dyDescent="0.2">
      <c r="B1208" s="28" t="str">
        <f>IF(Sep!$C75="SI",Sep!$B$67,"")</f>
        <v/>
      </c>
      <c r="C1208" s="28" t="str">
        <f>IF(Sep!$C75="SI",Sep!$B75,"")</f>
        <v/>
      </c>
      <c r="D1208" s="28" t="str">
        <f>IF(Sep!$C75="SI",Sep!$F75,"")</f>
        <v/>
      </c>
      <c r="E1208" s="48" t="s">
        <v>115</v>
      </c>
    </row>
    <row r="1209" spans="2:5" x14ac:dyDescent="0.2">
      <c r="B1209" s="28" t="str">
        <f>IF(Sep!$C76="SI",Sep!$B$67,"")</f>
        <v/>
      </c>
      <c r="C1209" s="28" t="str">
        <f>IF(Sep!$C76="SI",Sep!$B76,"")</f>
        <v/>
      </c>
      <c r="D1209" s="28" t="str">
        <f>IF(Sep!$C76="SI",Sep!$F76,"")</f>
        <v/>
      </c>
      <c r="E1209" s="48" t="s">
        <v>115</v>
      </c>
    </row>
    <row r="1210" spans="2:5" x14ac:dyDescent="0.2">
      <c r="B1210" s="28" t="str">
        <f>IF(Sep!$C77="SI",Sep!$B$67,"")</f>
        <v/>
      </c>
      <c r="C1210" s="28" t="str">
        <f>IF(Sep!$C77="SI",Sep!$B77,"")</f>
        <v/>
      </c>
      <c r="D1210" s="28" t="str">
        <f>IF(Sep!$C77="SI",Sep!$F77,"")</f>
        <v/>
      </c>
      <c r="E1210" s="48" t="s">
        <v>115</v>
      </c>
    </row>
    <row r="1211" spans="2:5" x14ac:dyDescent="0.2">
      <c r="B1211" s="28" t="str">
        <f>IF(Sep!$C78="SI",Sep!$B$67,"")</f>
        <v/>
      </c>
      <c r="C1211" s="28" t="str">
        <f>IF(Sep!$C78="SI",Sep!$B78,"")</f>
        <v/>
      </c>
      <c r="D1211" s="28" t="str">
        <f>IF(Sep!$C78="SI",Sep!$F78,"")</f>
        <v/>
      </c>
      <c r="E1211" s="48" t="s">
        <v>115</v>
      </c>
    </row>
    <row r="1212" spans="2:5" x14ac:dyDescent="0.2">
      <c r="B1212" s="28" t="str">
        <f>IF(Sep!$C82="SI",Sep!$B$81,"")</f>
        <v/>
      </c>
      <c r="C1212" s="28" t="str">
        <f>IF(Sep!$C82="SI",Sep!$B82,"")</f>
        <v/>
      </c>
      <c r="D1212" s="28" t="str">
        <f>IF(Sep!$C82="SI",Sep!$F82,"")</f>
        <v/>
      </c>
      <c r="E1212" s="48" t="s">
        <v>115</v>
      </c>
    </row>
    <row r="1213" spans="2:5" x14ac:dyDescent="0.2">
      <c r="B1213" s="28" t="str">
        <f>IF(Sep!$C83="SI",Sep!$B$81,"")</f>
        <v/>
      </c>
      <c r="C1213" s="28" t="str">
        <f>IF(Sep!$C83="SI",Sep!$B83,"")</f>
        <v/>
      </c>
      <c r="D1213" s="28" t="str">
        <f>IF(Sep!$C83="SI",Sep!$F83,"")</f>
        <v/>
      </c>
      <c r="E1213" s="48" t="s">
        <v>115</v>
      </c>
    </row>
    <row r="1214" spans="2:5" x14ac:dyDescent="0.2">
      <c r="B1214" s="28" t="str">
        <f>IF(Sep!$C84="SI",Sep!$B$81,"")</f>
        <v/>
      </c>
      <c r="C1214" s="28" t="str">
        <f>IF(Sep!$C84="SI",Sep!$B84,"")</f>
        <v/>
      </c>
      <c r="D1214" s="28" t="str">
        <f>IF(Sep!$C84="SI",Sep!$F84,"")</f>
        <v/>
      </c>
      <c r="E1214" s="48" t="s">
        <v>115</v>
      </c>
    </row>
    <row r="1215" spans="2:5" x14ac:dyDescent="0.2">
      <c r="B1215" s="28" t="str">
        <f>IF(Sep!$C85="SI",Sep!$B$81,"")</f>
        <v/>
      </c>
      <c r="C1215" s="28" t="str">
        <f>IF(Sep!$C85="SI",Sep!$B85,"")</f>
        <v/>
      </c>
      <c r="D1215" s="28" t="str">
        <f>IF(Sep!$C85="SI",Sep!$F85,"")</f>
        <v/>
      </c>
      <c r="E1215" s="48" t="s">
        <v>115</v>
      </c>
    </row>
    <row r="1216" spans="2:5" x14ac:dyDescent="0.2">
      <c r="B1216" s="28" t="str">
        <f>IF(Sep!$C86="SI",Sep!$B$81,"")</f>
        <v/>
      </c>
      <c r="C1216" s="28" t="str">
        <f>IF(Sep!$C86="SI",Sep!$B86,"")</f>
        <v/>
      </c>
      <c r="D1216" s="28" t="str">
        <f>IF(Sep!$C86="SI",Sep!$F86,"")</f>
        <v/>
      </c>
      <c r="E1216" s="48" t="s">
        <v>115</v>
      </c>
    </row>
    <row r="1217" spans="2:5" x14ac:dyDescent="0.2">
      <c r="B1217" s="28" t="str">
        <f>IF(Sep!$C87="SI",Sep!$B$81,"")</f>
        <v/>
      </c>
      <c r="C1217" s="28" t="str">
        <f>IF(Sep!$C87="SI",Sep!$B87,"")</f>
        <v/>
      </c>
      <c r="D1217" s="28" t="str">
        <f>IF(Sep!$C87="SI",Sep!$F87,"")</f>
        <v/>
      </c>
      <c r="E1217" s="48" t="s">
        <v>115</v>
      </c>
    </row>
    <row r="1218" spans="2:5" x14ac:dyDescent="0.2">
      <c r="B1218" s="28" t="str">
        <f>IF(Sep!$C91="SI",Sep!$B$90,"")</f>
        <v/>
      </c>
      <c r="C1218" s="28" t="str">
        <f>IF(Sep!$C91="SI",Sep!$B91,"")</f>
        <v/>
      </c>
      <c r="D1218" s="28" t="str">
        <f>IF(Sep!$C91="SI",Sep!$F91,"")</f>
        <v/>
      </c>
      <c r="E1218" s="48" t="s">
        <v>115</v>
      </c>
    </row>
    <row r="1219" spans="2:5" x14ac:dyDescent="0.2">
      <c r="B1219" s="28" t="str">
        <f>IF(Sep!$C92="SI",Sep!$B$90,"")</f>
        <v/>
      </c>
      <c r="C1219" s="28" t="str">
        <f>IF(Sep!$C92="SI",Sep!$B92,"")</f>
        <v/>
      </c>
      <c r="D1219" s="28" t="str">
        <f>IF(Sep!$C92="SI",Sep!$F92,"")</f>
        <v/>
      </c>
      <c r="E1219" s="48" t="s">
        <v>115</v>
      </c>
    </row>
    <row r="1220" spans="2:5" x14ac:dyDescent="0.2">
      <c r="B1220" s="28" t="str">
        <f>IF(Sep!$C93="SI",Sep!$B$90,"")</f>
        <v/>
      </c>
      <c r="C1220" s="28" t="str">
        <f>IF(Sep!$C93="SI",Sep!$B93,"")</f>
        <v/>
      </c>
      <c r="D1220" s="28" t="str">
        <f>IF(Sep!$C93="SI",Sep!$F93,"")</f>
        <v/>
      </c>
      <c r="E1220" s="48" t="s">
        <v>115</v>
      </c>
    </row>
    <row r="1221" spans="2:5" x14ac:dyDescent="0.2">
      <c r="B1221" s="28" t="str">
        <f>IF(Sep!$C94="SI",Sep!$B$90,"")</f>
        <v/>
      </c>
      <c r="C1221" s="28" t="str">
        <f>IF(Sep!$C94="SI",Sep!$B94,"")</f>
        <v/>
      </c>
      <c r="D1221" s="28" t="str">
        <f>IF(Sep!$C94="SI",Sep!$F94,"")</f>
        <v/>
      </c>
      <c r="E1221" s="48" t="s">
        <v>115</v>
      </c>
    </row>
    <row r="1222" spans="2:5" x14ac:dyDescent="0.2">
      <c r="B1222" s="28" t="str">
        <f>IF(Sep!$C95="SI",Sep!$B$90,"")</f>
        <v/>
      </c>
      <c r="C1222" s="28" t="str">
        <f>IF(Sep!$C95="SI",Sep!$B95,"")</f>
        <v/>
      </c>
      <c r="D1222" s="28" t="str">
        <f>IF(Sep!$C95="SI",Sep!$F95,"")</f>
        <v/>
      </c>
      <c r="E1222" s="48" t="s">
        <v>115</v>
      </c>
    </row>
    <row r="1223" spans="2:5" x14ac:dyDescent="0.2">
      <c r="B1223" s="28" t="str">
        <f>IF(Sep!$C96="SI",Sep!$B$90,"")</f>
        <v/>
      </c>
      <c r="C1223" s="28" t="str">
        <f>IF(Sep!$C96="SI",Sep!$B96,"")</f>
        <v/>
      </c>
      <c r="D1223" s="28" t="str">
        <f>IF(Sep!$C96="SI",Sep!$F96,"")</f>
        <v/>
      </c>
      <c r="E1223" s="48" t="s">
        <v>115</v>
      </c>
    </row>
    <row r="1224" spans="2:5" x14ac:dyDescent="0.2">
      <c r="B1224" s="28" t="str">
        <f>IF(Sep!$C97="SI",Sep!$B$90,"")</f>
        <v/>
      </c>
      <c r="C1224" s="28" t="str">
        <f>IF(Sep!$C97="SI",Sep!$B97,"")</f>
        <v/>
      </c>
      <c r="D1224" s="28" t="str">
        <f>IF(Sep!$C97="SI",Sep!$F97,"")</f>
        <v/>
      </c>
      <c r="E1224" s="48" t="s">
        <v>115</v>
      </c>
    </row>
    <row r="1225" spans="2:5" x14ac:dyDescent="0.2">
      <c r="B1225" s="28" t="str">
        <f>IF(Sep!$C101="SI",Sep!$B$100,"")</f>
        <v/>
      </c>
      <c r="C1225" s="28" t="str">
        <f>IF(Sep!$C101="SI",Sep!$B101,"")</f>
        <v/>
      </c>
      <c r="D1225" s="28" t="str">
        <f>IF(Sep!$C101="SI",Sep!$F101,"")</f>
        <v/>
      </c>
      <c r="E1225" s="48" t="s">
        <v>115</v>
      </c>
    </row>
    <row r="1226" spans="2:5" x14ac:dyDescent="0.2">
      <c r="B1226" s="28" t="str">
        <f>IF(Sep!$C102="SI",Sep!$B$100,"")</f>
        <v/>
      </c>
      <c r="C1226" s="28" t="str">
        <f>IF(Sep!$C102="SI",Sep!$B102,"")</f>
        <v/>
      </c>
      <c r="D1226" s="28" t="str">
        <f>IF(Sep!$C102="SI",Sep!$F102,"")</f>
        <v/>
      </c>
      <c r="E1226" s="48" t="s">
        <v>115</v>
      </c>
    </row>
    <row r="1227" spans="2:5" x14ac:dyDescent="0.2">
      <c r="B1227" s="28" t="str">
        <f>IF(Sep!$C103="SI",Sep!$B$100,"")</f>
        <v/>
      </c>
      <c r="C1227" s="28" t="str">
        <f>IF(Sep!$C103="SI",Sep!$B103,"")</f>
        <v/>
      </c>
      <c r="D1227" s="28" t="str">
        <f>IF(Sep!$C103="SI",Sep!$F103,"")</f>
        <v/>
      </c>
      <c r="E1227" s="48" t="s">
        <v>115</v>
      </c>
    </row>
    <row r="1228" spans="2:5" x14ac:dyDescent="0.2">
      <c r="B1228" s="28" t="str">
        <f>IF(Sep!$C104="SI",Sep!$B$100,"")</f>
        <v/>
      </c>
      <c r="C1228" s="28" t="str">
        <f>IF(Sep!$C104="SI",Sep!$B104,"")</f>
        <v/>
      </c>
      <c r="D1228" s="28" t="str">
        <f>IF(Sep!$C104="SI",Sep!$F104,"")</f>
        <v/>
      </c>
      <c r="E1228" s="48" t="s">
        <v>115</v>
      </c>
    </row>
    <row r="1229" spans="2:5" x14ac:dyDescent="0.2">
      <c r="B1229" s="28" t="str">
        <f>IF(Sep!$C105="SI",Sep!$B$100,"")</f>
        <v/>
      </c>
      <c r="C1229" s="28" t="str">
        <f>IF(Sep!$C105="SI",Sep!$B105,"")</f>
        <v/>
      </c>
      <c r="D1229" s="28" t="str">
        <f>IF(Sep!$C105="SI",Sep!$F105,"")</f>
        <v/>
      </c>
      <c r="E1229" s="48" t="s">
        <v>115</v>
      </c>
    </row>
    <row r="1230" spans="2:5" x14ac:dyDescent="0.2">
      <c r="B1230" s="28" t="str">
        <f>IF(Sep!$C106="SI",Sep!$B$100,"")</f>
        <v/>
      </c>
      <c r="C1230" s="28" t="str">
        <f>IF(Sep!$C106="SI",Sep!$B106,"")</f>
        <v/>
      </c>
      <c r="D1230" s="28" t="str">
        <f>IF(Sep!$C106="SI",Sep!$F106,"")</f>
        <v/>
      </c>
      <c r="E1230" s="48" t="s">
        <v>115</v>
      </c>
    </row>
    <row r="1231" spans="2:5" x14ac:dyDescent="0.2">
      <c r="B1231" s="28" t="str">
        <f>IF(Sep!$C107="SI",Sep!$B$100,"")</f>
        <v/>
      </c>
      <c r="C1231" s="28" t="str">
        <f>IF(Sep!$C107="SI",Sep!$B107,"")</f>
        <v/>
      </c>
      <c r="D1231" s="28" t="str">
        <f>IF(Sep!$C107="SI",Sep!$F107,"")</f>
        <v/>
      </c>
      <c r="E1231" s="48" t="s">
        <v>115</v>
      </c>
    </row>
    <row r="1232" spans="2:5" x14ac:dyDescent="0.2">
      <c r="B1232" s="29"/>
      <c r="C1232" s="29"/>
      <c r="D1232" s="29"/>
      <c r="E1232" s="48" t="s">
        <v>115</v>
      </c>
    </row>
    <row r="1233" spans="2:5" x14ac:dyDescent="0.2">
      <c r="B1233" s="28" t="str">
        <f>IF(Sep!$I13="SI",Sep!$H$12,"")</f>
        <v>AHORROS</v>
      </c>
      <c r="C1233" s="28" t="str">
        <f>IF(Sep!$I13="SI",Sep!$H13,"")</f>
        <v>Fondo de Emergencia</v>
      </c>
      <c r="D1233" s="28">
        <f>IF(Sep!$I13="SI",Sep!$L13,"")</f>
        <v>0</v>
      </c>
      <c r="E1233" s="48" t="s">
        <v>115</v>
      </c>
    </row>
    <row r="1234" spans="2:5" x14ac:dyDescent="0.2">
      <c r="B1234" s="28" t="str">
        <f>IF(Sep!$I14="SI",Sep!$H$12,"")</f>
        <v/>
      </c>
      <c r="C1234" s="28" t="str">
        <f>IF(Sep!$I14="SI",Sep!$H14,"")</f>
        <v/>
      </c>
      <c r="D1234" s="28" t="str">
        <f>IF(Sep!$I14="SI",Sep!$L14,"")</f>
        <v/>
      </c>
      <c r="E1234" s="48" t="s">
        <v>115</v>
      </c>
    </row>
    <row r="1235" spans="2:5" x14ac:dyDescent="0.2">
      <c r="B1235" s="28" t="str">
        <f>IF(Sep!$I15="SI",Sep!$H$12,"")</f>
        <v/>
      </c>
      <c r="C1235" s="28" t="str">
        <f>IF(Sep!$I15="SI",Sep!$H15,"")</f>
        <v/>
      </c>
      <c r="D1235" s="28" t="str">
        <f>IF(Sep!$I15="SI",Sep!$L15,"")</f>
        <v/>
      </c>
      <c r="E1235" s="48" t="s">
        <v>115</v>
      </c>
    </row>
    <row r="1236" spans="2:5" x14ac:dyDescent="0.2">
      <c r="B1236" s="28" t="str">
        <f>IF(Sep!$I16="SI",Sep!$H$12,"")</f>
        <v/>
      </c>
      <c r="C1236" s="28" t="str">
        <f>IF(Sep!$I16="SI",Sep!$H16,"")</f>
        <v/>
      </c>
      <c r="D1236" s="28" t="str">
        <f>IF(Sep!$I16="SI",Sep!$L16,"")</f>
        <v/>
      </c>
      <c r="E1236" s="48" t="s">
        <v>115</v>
      </c>
    </row>
    <row r="1237" spans="2:5" x14ac:dyDescent="0.2">
      <c r="B1237" s="28" t="str">
        <f>IF(Sep!$I17="SI",Sep!$H$12,"")</f>
        <v/>
      </c>
      <c r="C1237" s="28" t="str">
        <f>IF(Sep!$I17="SI",Sep!$H17,"")</f>
        <v/>
      </c>
      <c r="D1237" s="28" t="str">
        <f>IF(Sep!$I17="SI",Sep!$L17,"")</f>
        <v/>
      </c>
      <c r="E1237" s="48" t="s">
        <v>115</v>
      </c>
    </row>
    <row r="1238" spans="2:5" x14ac:dyDescent="0.2">
      <c r="B1238" s="28" t="str">
        <f>IF(Sep!$I18="SI",Sep!$H$12,"")</f>
        <v/>
      </c>
      <c r="C1238" s="28" t="str">
        <f>IF(Sep!$I18="SI",Sep!$H18,"")</f>
        <v/>
      </c>
      <c r="D1238" s="28" t="str">
        <f>IF(Sep!$I18="SI",Sep!$L18,"")</f>
        <v/>
      </c>
      <c r="E1238" s="48" t="s">
        <v>115</v>
      </c>
    </row>
    <row r="1239" spans="2:5" x14ac:dyDescent="0.2">
      <c r="B1239" s="28" t="str">
        <f>IF(Sep!$I19="SI",Sep!$H$12,"")</f>
        <v/>
      </c>
      <c r="C1239" s="28" t="str">
        <f>IF(Sep!$I19="SI",Sep!$H19,"")</f>
        <v/>
      </c>
      <c r="D1239" s="28" t="str">
        <f>IF(Sep!$I19="SI",Sep!$L19,"")</f>
        <v/>
      </c>
      <c r="E1239" s="48" t="s">
        <v>115</v>
      </c>
    </row>
    <row r="1240" spans="2:5" x14ac:dyDescent="0.2">
      <c r="B1240" s="28" t="str">
        <f>IF(Sep!$I20="SI",Sep!$H$12,"")</f>
        <v/>
      </c>
      <c r="C1240" s="28" t="str">
        <f>IF(Sep!$I20="SI",Sep!$H20,"")</f>
        <v/>
      </c>
      <c r="D1240" s="28" t="str">
        <f>IF(Sep!$I20="SI",Sep!$L20,"")</f>
        <v/>
      </c>
      <c r="E1240" s="48" t="s">
        <v>115</v>
      </c>
    </row>
    <row r="1241" spans="2:5" x14ac:dyDescent="0.2">
      <c r="B1241" s="28" t="str">
        <f>IF(Sep!$I21="SI",Sep!$H$12,"")</f>
        <v/>
      </c>
      <c r="C1241" s="28" t="str">
        <f>IF(Sep!$I21="SI",Sep!$H21,"")</f>
        <v/>
      </c>
      <c r="D1241" s="28" t="str">
        <f>IF(Sep!$I21="SI",Sep!$L21,"")</f>
        <v/>
      </c>
      <c r="E1241" s="48" t="s">
        <v>115</v>
      </c>
    </row>
    <row r="1242" spans="2:5" x14ac:dyDescent="0.2">
      <c r="B1242" s="28" t="str">
        <f>IF(Sep!$I22="SI",Sep!$H$12,"")</f>
        <v/>
      </c>
      <c r="C1242" s="28" t="str">
        <f>IF(Sep!$I22="SI",Sep!$H22,"")</f>
        <v/>
      </c>
      <c r="D1242" s="28" t="str">
        <f>IF(Sep!$I22="SI",Sep!$L22,"")</f>
        <v/>
      </c>
      <c r="E1242" s="48" t="s">
        <v>115</v>
      </c>
    </row>
    <row r="1243" spans="2:5" x14ac:dyDescent="0.2">
      <c r="B1243" s="28" t="str">
        <f>IF(Sep!$I23="SI",Sep!$H$12,"")</f>
        <v/>
      </c>
      <c r="C1243" s="28" t="str">
        <f>IF(Sep!$I23="SI",Sep!$H23,"")</f>
        <v/>
      </c>
      <c r="D1243" s="28" t="str">
        <f>IF(Sep!$I23="SI",Sep!$L23,"")</f>
        <v/>
      </c>
      <c r="E1243" s="48" t="s">
        <v>115</v>
      </c>
    </row>
    <row r="1244" spans="2:5" x14ac:dyDescent="0.2">
      <c r="B1244" s="28" t="str">
        <f>IF(Sep!$I24="SI",Sep!$H$12,"")</f>
        <v/>
      </c>
      <c r="C1244" s="28" t="str">
        <f>IF(Sep!$I24="SI",Sep!$H24,"")</f>
        <v/>
      </c>
      <c r="D1244" s="28" t="str">
        <f>IF(Sep!$I24="SI",Sep!$L24,"")</f>
        <v/>
      </c>
      <c r="E1244" s="48" t="s">
        <v>115</v>
      </c>
    </row>
    <row r="1245" spans="2:5" x14ac:dyDescent="0.2">
      <c r="B1245" s="28" t="str">
        <f>IF(Sep!$I28="SI",Sep!$H$27,"")</f>
        <v/>
      </c>
      <c r="C1245" s="28" t="str">
        <f>IF(Sep!$I28="SI",Sep!$H28,"")</f>
        <v/>
      </c>
      <c r="D1245" s="28" t="str">
        <f>IF(Sep!$I28="SI",Sep!$L28,"")</f>
        <v/>
      </c>
      <c r="E1245" s="48" t="s">
        <v>115</v>
      </c>
    </row>
    <row r="1246" spans="2:5" x14ac:dyDescent="0.2">
      <c r="B1246" s="28" t="str">
        <f>IF(Sep!$I29="SI",Sep!$H$27,"")</f>
        <v/>
      </c>
      <c r="C1246" s="28" t="str">
        <f>IF(Sep!$I29="SI",Sep!$H29,"")</f>
        <v/>
      </c>
      <c r="D1246" s="28" t="str">
        <f>IF(Sep!$I29="SI",Sep!$L29,"")</f>
        <v/>
      </c>
      <c r="E1246" s="48" t="s">
        <v>115</v>
      </c>
    </row>
    <row r="1247" spans="2:5" x14ac:dyDescent="0.2">
      <c r="B1247" s="28" t="str">
        <f>IF(Sep!$I30="SI",Sep!$H$27,"")</f>
        <v/>
      </c>
      <c r="C1247" s="28" t="str">
        <f>IF(Sep!$I30="SI",Sep!$H30,"")</f>
        <v/>
      </c>
      <c r="D1247" s="28" t="str">
        <f>IF(Sep!$I30="SI",Sep!$L30,"")</f>
        <v/>
      </c>
      <c r="E1247" s="48" t="s">
        <v>115</v>
      </c>
    </row>
    <row r="1248" spans="2:5" x14ac:dyDescent="0.2">
      <c r="B1248" s="28" t="str">
        <f>IF(Sep!$I31="SI",Sep!$H$27,"")</f>
        <v/>
      </c>
      <c r="C1248" s="28" t="str">
        <f>IF(Sep!$I31="SI",Sep!$H31,"")</f>
        <v/>
      </c>
      <c r="D1248" s="28" t="str">
        <f>IF(Sep!$I31="SI",Sep!$L31,"")</f>
        <v/>
      </c>
      <c r="E1248" s="48" t="s">
        <v>115</v>
      </c>
    </row>
    <row r="1249" spans="2:5" x14ac:dyDescent="0.2">
      <c r="B1249" s="28" t="str">
        <f>IF(Sep!$I32="SI",Sep!$H$27,"")</f>
        <v/>
      </c>
      <c r="C1249" s="28" t="str">
        <f>IF(Sep!$I32="SI",Sep!$H32,"")</f>
        <v/>
      </c>
      <c r="D1249" s="28" t="str">
        <f>IF(Sep!$I32="SI",Sep!$L32,"")</f>
        <v/>
      </c>
      <c r="E1249" s="48" t="s">
        <v>115</v>
      </c>
    </row>
    <row r="1250" spans="2:5" x14ac:dyDescent="0.2">
      <c r="B1250" s="28" t="str">
        <f>IF(Sep!$I33="SI",Sep!$H$27,"")</f>
        <v/>
      </c>
      <c r="C1250" s="28" t="str">
        <f>IF(Sep!$I33="SI",Sep!$H33,"")</f>
        <v/>
      </c>
      <c r="D1250" s="28" t="str">
        <f>IF(Sep!$I33="SI",Sep!$L33,"")</f>
        <v/>
      </c>
      <c r="E1250" s="48" t="s">
        <v>115</v>
      </c>
    </row>
    <row r="1251" spans="2:5" x14ac:dyDescent="0.2">
      <c r="B1251" s="28" t="str">
        <f>IF(Sep!$I34="SI",Sep!$H$27,"")</f>
        <v/>
      </c>
      <c r="C1251" s="28" t="str">
        <f>IF(Sep!$I34="SI",Sep!$H34,"")</f>
        <v/>
      </c>
      <c r="D1251" s="28" t="str">
        <f>IF(Sep!$I34="SI",Sep!$L34,"")</f>
        <v/>
      </c>
      <c r="E1251" s="48" t="s">
        <v>115</v>
      </c>
    </row>
    <row r="1252" spans="2:5" x14ac:dyDescent="0.2">
      <c r="B1252" s="28" t="str">
        <f>IF(Sep!$I35="SI",Sep!$H$27,"")</f>
        <v/>
      </c>
      <c r="C1252" s="28" t="str">
        <f>IF(Sep!$I35="SI",Sep!$H35,"")</f>
        <v/>
      </c>
      <c r="D1252" s="28" t="str">
        <f>IF(Sep!$I35="SI",Sep!$L35,"")</f>
        <v/>
      </c>
      <c r="E1252" s="48" t="s">
        <v>115</v>
      </c>
    </row>
    <row r="1253" spans="2:5" x14ac:dyDescent="0.2">
      <c r="B1253" s="28" t="str">
        <f>IF(Sep!$I39="SI",Sep!$H$38,"")</f>
        <v/>
      </c>
      <c r="C1253" s="28" t="str">
        <f>IF(Sep!$I39="SI",Sep!$H39,"")</f>
        <v/>
      </c>
      <c r="D1253" s="28" t="str">
        <f>IF(Sep!$I39="SI",Sep!$L39,"")</f>
        <v/>
      </c>
      <c r="E1253" s="48" t="s">
        <v>115</v>
      </c>
    </row>
    <row r="1254" spans="2:5" x14ac:dyDescent="0.2">
      <c r="B1254" s="28" t="str">
        <f>IF(Sep!$I40="SI",Sep!$H$38,"")</f>
        <v/>
      </c>
      <c r="C1254" s="28" t="str">
        <f>IF(Sep!$I40="SI",Sep!$H40,"")</f>
        <v/>
      </c>
      <c r="D1254" s="28" t="str">
        <f>IF(Sep!$I40="SI",Sep!$L40,"")</f>
        <v/>
      </c>
      <c r="E1254" s="48" t="s">
        <v>115</v>
      </c>
    </row>
    <row r="1255" spans="2:5" x14ac:dyDescent="0.2">
      <c r="B1255" s="28" t="str">
        <f>IF(Sep!$I41="SI",Sep!$H$38,"")</f>
        <v/>
      </c>
      <c r="C1255" s="28" t="str">
        <f>IF(Sep!$I41="SI",Sep!$H41,"")</f>
        <v/>
      </c>
      <c r="D1255" s="28" t="str">
        <f>IF(Sep!$I41="SI",Sep!$L41,"")</f>
        <v/>
      </c>
      <c r="E1255" s="48" t="s">
        <v>115</v>
      </c>
    </row>
    <row r="1256" spans="2:5" x14ac:dyDescent="0.2">
      <c r="B1256" s="28" t="str">
        <f>IF(Sep!$I42="SI",Sep!$H$38,"")</f>
        <v/>
      </c>
      <c r="C1256" s="28" t="str">
        <f>IF(Sep!$I42="SI",Sep!$H42,"")</f>
        <v/>
      </c>
      <c r="D1256" s="28" t="str">
        <f>IF(Sep!$I42="SI",Sep!$L42,"")</f>
        <v/>
      </c>
      <c r="E1256" s="48" t="s">
        <v>115</v>
      </c>
    </row>
    <row r="1257" spans="2:5" x14ac:dyDescent="0.2">
      <c r="B1257" s="28" t="str">
        <f>IF(Sep!$I43="SI",Sep!$H$38,"")</f>
        <v/>
      </c>
      <c r="C1257" s="28" t="str">
        <f>IF(Sep!$I43="SI",Sep!$H43,"")</f>
        <v/>
      </c>
      <c r="D1257" s="28" t="str">
        <f>IF(Sep!$I43="SI",Sep!$L43,"")</f>
        <v/>
      </c>
      <c r="E1257" s="48" t="s">
        <v>115</v>
      </c>
    </row>
    <row r="1258" spans="2:5" x14ac:dyDescent="0.2">
      <c r="B1258" s="28" t="str">
        <f>IF(Sep!$I44="SI",Sep!$H$38,"")</f>
        <v/>
      </c>
      <c r="C1258" s="28" t="str">
        <f>IF(Sep!$I44="SI",Sep!$H44,"")</f>
        <v/>
      </c>
      <c r="D1258" s="28" t="str">
        <f>IF(Sep!$I44="SI",Sep!$L44,"")</f>
        <v/>
      </c>
      <c r="E1258" s="48" t="s">
        <v>115</v>
      </c>
    </row>
    <row r="1259" spans="2:5" x14ac:dyDescent="0.2">
      <c r="B1259" s="28" t="str">
        <f>IF(Sep!$I45="SI",Sep!$H$38,"")</f>
        <v/>
      </c>
      <c r="C1259" s="28" t="str">
        <f>IF(Sep!$I45="SI",Sep!$H45,"")</f>
        <v/>
      </c>
      <c r="D1259" s="28" t="str">
        <f>IF(Sep!$I45="SI",Sep!$L45,"")</f>
        <v/>
      </c>
      <c r="E1259" s="48" t="s">
        <v>115</v>
      </c>
    </row>
    <row r="1260" spans="2:5" x14ac:dyDescent="0.2">
      <c r="B1260" s="28" t="str">
        <f>IF(Sep!$I49="SI",Sep!$H$48,"")</f>
        <v/>
      </c>
      <c r="C1260" s="28" t="str">
        <f>IF(Sep!$I49="SI",Sep!$H49,"")</f>
        <v/>
      </c>
      <c r="D1260" s="28" t="str">
        <f>IF(Sep!$I49="SI",Sep!$L49,"")</f>
        <v/>
      </c>
      <c r="E1260" s="48" t="s">
        <v>115</v>
      </c>
    </row>
    <row r="1261" spans="2:5" x14ac:dyDescent="0.2">
      <c r="B1261" s="28" t="str">
        <f>IF(Sep!$I50="SI",Sep!$H$48,"")</f>
        <v/>
      </c>
      <c r="C1261" s="28" t="str">
        <f>IF(Sep!$I50="SI",Sep!$H50,"")</f>
        <v/>
      </c>
      <c r="D1261" s="28" t="str">
        <f>IF(Sep!$I50="SI",Sep!$L50,"")</f>
        <v/>
      </c>
      <c r="E1261" s="48" t="s">
        <v>115</v>
      </c>
    </row>
    <row r="1262" spans="2:5" x14ac:dyDescent="0.2">
      <c r="B1262" s="28" t="str">
        <f>IF(Sep!$I51="SI",Sep!$H$48,"")</f>
        <v/>
      </c>
      <c r="C1262" s="28" t="str">
        <f>IF(Sep!$I51="SI",Sep!$H51,"")</f>
        <v/>
      </c>
      <c r="D1262" s="28" t="str">
        <f>IF(Sep!$I51="SI",Sep!$L51,"")</f>
        <v/>
      </c>
      <c r="E1262" s="48" t="s">
        <v>115</v>
      </c>
    </row>
    <row r="1263" spans="2:5" x14ac:dyDescent="0.2">
      <c r="B1263" s="28" t="str">
        <f>IF(Sep!$I52="SI",Sep!$H$48,"")</f>
        <v/>
      </c>
      <c r="C1263" s="28" t="str">
        <f>IF(Sep!$I52="SI",Sep!$H52,"")</f>
        <v/>
      </c>
      <c r="D1263" s="28" t="str">
        <f>IF(Sep!$I52="SI",Sep!$L52,"")</f>
        <v/>
      </c>
      <c r="E1263" s="48" t="s">
        <v>115</v>
      </c>
    </row>
    <row r="1264" spans="2:5" x14ac:dyDescent="0.2">
      <c r="B1264" s="28" t="str">
        <f>IF(Sep!$I53="SI",Sep!$H$48,"")</f>
        <v/>
      </c>
      <c r="C1264" s="28" t="str">
        <f>IF(Sep!$I53="SI",Sep!$H53,"")</f>
        <v/>
      </c>
      <c r="D1264" s="28" t="str">
        <f>IF(Sep!$I53="SI",Sep!$L53,"")</f>
        <v/>
      </c>
      <c r="E1264" s="48" t="s">
        <v>115</v>
      </c>
    </row>
    <row r="1265" spans="2:5" x14ac:dyDescent="0.2">
      <c r="B1265" s="28" t="str">
        <f>IF(Sep!$I54="SI",Sep!$H$48,"")</f>
        <v/>
      </c>
      <c r="C1265" s="28" t="str">
        <f>IF(Sep!$I54="SI",Sep!$H54,"")</f>
        <v/>
      </c>
      <c r="D1265" s="28" t="str">
        <f>IF(Sep!$I54="SI",Sep!$L54,"")</f>
        <v/>
      </c>
      <c r="E1265" s="48" t="s">
        <v>115</v>
      </c>
    </row>
    <row r="1266" spans="2:5" x14ac:dyDescent="0.2">
      <c r="B1266" s="28" t="str">
        <f>IF(Sep!$I58="SI",Sep!$H$57,"")</f>
        <v/>
      </c>
      <c r="C1266" s="28" t="str">
        <f>IF(Sep!$I58="SI",Sep!$H58,"")</f>
        <v/>
      </c>
      <c r="D1266" s="28" t="str">
        <f>IF(Sep!$I58="SI",Sep!$L58,"")</f>
        <v/>
      </c>
      <c r="E1266" s="48" t="s">
        <v>115</v>
      </c>
    </row>
    <row r="1267" spans="2:5" x14ac:dyDescent="0.2">
      <c r="B1267" s="28" t="str">
        <f>IF(Sep!$I59="SI",Sep!$H$57,"")</f>
        <v/>
      </c>
      <c r="C1267" s="28" t="str">
        <f>IF(Sep!$I59="SI",Sep!$H59,"")</f>
        <v/>
      </c>
      <c r="D1267" s="28" t="str">
        <f>IF(Sep!$I59="SI",Sep!$L59,"")</f>
        <v/>
      </c>
      <c r="E1267" s="48" t="s">
        <v>115</v>
      </c>
    </row>
    <row r="1268" spans="2:5" x14ac:dyDescent="0.2">
      <c r="B1268" s="28" t="str">
        <f>IF(Sep!$I60="SI",Sep!$H$57,"")</f>
        <v/>
      </c>
      <c r="C1268" s="28" t="str">
        <f>IF(Sep!$I60="SI",Sep!$H60,"")</f>
        <v/>
      </c>
      <c r="D1268" s="28" t="str">
        <f>IF(Sep!$I60="SI",Sep!$L60,"")</f>
        <v/>
      </c>
      <c r="E1268" s="48" t="s">
        <v>115</v>
      </c>
    </row>
    <row r="1269" spans="2:5" x14ac:dyDescent="0.2">
      <c r="B1269" s="28" t="str">
        <f>IF(Sep!$I61="SI",Sep!$H$57,"")</f>
        <v/>
      </c>
      <c r="C1269" s="28" t="str">
        <f>IF(Sep!$I61="SI",Sep!$H61,"")</f>
        <v/>
      </c>
      <c r="D1269" s="28" t="str">
        <f>IF(Sep!$I61="SI",Sep!$L61,"")</f>
        <v/>
      </c>
      <c r="E1269" s="48" t="s">
        <v>115</v>
      </c>
    </row>
    <row r="1270" spans="2:5" x14ac:dyDescent="0.2">
      <c r="B1270" s="28" t="str">
        <f>IF(Sep!$I62="SI",Sep!$H$57,"")</f>
        <v/>
      </c>
      <c r="C1270" s="28" t="str">
        <f>IF(Sep!$I62="SI",Sep!$H62,"")</f>
        <v/>
      </c>
      <c r="D1270" s="28" t="str">
        <f>IF(Sep!$I62="SI",Sep!$L62,"")</f>
        <v/>
      </c>
      <c r="E1270" s="48" t="s">
        <v>115</v>
      </c>
    </row>
    <row r="1271" spans="2:5" x14ac:dyDescent="0.2">
      <c r="B1271" s="28" t="str">
        <f>IF(Sep!$I63="SI",Sep!$H$57,"")</f>
        <v/>
      </c>
      <c r="C1271" s="28" t="str">
        <f>IF(Sep!$I63="SI",Sep!$H63,"")</f>
        <v/>
      </c>
      <c r="D1271" s="28" t="str">
        <f>IF(Sep!$I63="SI",Sep!$L63,"")</f>
        <v/>
      </c>
      <c r="E1271" s="48" t="s">
        <v>115</v>
      </c>
    </row>
    <row r="1272" spans="2:5" x14ac:dyDescent="0.2">
      <c r="B1272" s="28" t="str">
        <f>IF(Sep!$I64="SI",Sep!$H$57,"")</f>
        <v/>
      </c>
      <c r="C1272" s="28" t="str">
        <f>IF(Sep!$I64="SI",Sep!$H64,"")</f>
        <v/>
      </c>
      <c r="D1272" s="28" t="str">
        <f>IF(Sep!$I64="SI",Sep!$L64,"")</f>
        <v/>
      </c>
      <c r="E1272" s="48" t="s">
        <v>115</v>
      </c>
    </row>
    <row r="1273" spans="2:5" x14ac:dyDescent="0.2">
      <c r="B1273" s="28" t="str">
        <f>IF(Sep!$I68="SI",Sep!$H$67,"")</f>
        <v/>
      </c>
      <c r="C1273" s="28" t="str">
        <f>IF(Sep!$I68="SI",Sep!$H68,"")</f>
        <v/>
      </c>
      <c r="D1273" s="28" t="str">
        <f>IF(Sep!$I68="SI",Sep!$L68,"")</f>
        <v/>
      </c>
      <c r="E1273" s="48" t="s">
        <v>115</v>
      </c>
    </row>
    <row r="1274" spans="2:5" x14ac:dyDescent="0.2">
      <c r="B1274" s="28" t="str">
        <f>IF(Sep!$I69="SI",Sep!$H$67,"")</f>
        <v/>
      </c>
      <c r="C1274" s="28" t="str">
        <f>IF(Sep!$I69="SI",Sep!$H69,"")</f>
        <v/>
      </c>
      <c r="D1274" s="28" t="str">
        <f>IF(Sep!$I69="SI",Sep!$L69,"")</f>
        <v/>
      </c>
      <c r="E1274" s="48" t="s">
        <v>115</v>
      </c>
    </row>
    <row r="1275" spans="2:5" x14ac:dyDescent="0.2">
      <c r="B1275" s="28" t="str">
        <f>IF(Sep!$I70="SI",Sep!$H$67,"")</f>
        <v/>
      </c>
      <c r="C1275" s="28" t="str">
        <f>IF(Sep!$I70="SI",Sep!$H70,"")</f>
        <v/>
      </c>
      <c r="D1275" s="28" t="str">
        <f>IF(Sep!$I70="SI",Sep!$L70,"")</f>
        <v/>
      </c>
      <c r="E1275" s="48" t="s">
        <v>115</v>
      </c>
    </row>
    <row r="1276" spans="2:5" x14ac:dyDescent="0.2">
      <c r="B1276" s="28" t="str">
        <f>IF(Sep!$I71="SI",Sep!$H$67,"")</f>
        <v/>
      </c>
      <c r="C1276" s="28" t="str">
        <f>IF(Sep!$I71="SI",Sep!$H71,"")</f>
        <v/>
      </c>
      <c r="D1276" s="28" t="str">
        <f>IF(Sep!$I71="SI",Sep!$L71,"")</f>
        <v/>
      </c>
      <c r="E1276" s="48" t="s">
        <v>115</v>
      </c>
    </row>
    <row r="1277" spans="2:5" x14ac:dyDescent="0.2">
      <c r="B1277" s="28" t="str">
        <f>IF(Sep!$I72="SI",Sep!$H$67,"")</f>
        <v/>
      </c>
      <c r="C1277" s="28" t="str">
        <f>IF(Sep!$I72="SI",Sep!$H72,"")</f>
        <v/>
      </c>
      <c r="D1277" s="28" t="str">
        <f>IF(Sep!$I72="SI",Sep!$L72,"")</f>
        <v/>
      </c>
      <c r="E1277" s="48" t="s">
        <v>115</v>
      </c>
    </row>
    <row r="1278" spans="2:5" x14ac:dyDescent="0.2">
      <c r="B1278" s="28" t="str">
        <f>IF(Sep!$I73="SI",Sep!$H$67,"")</f>
        <v/>
      </c>
      <c r="C1278" s="28" t="str">
        <f>IF(Sep!$I73="SI",Sep!$H73,"")</f>
        <v/>
      </c>
      <c r="D1278" s="28" t="str">
        <f>IF(Sep!$I73="SI",Sep!$L73,"")</f>
        <v/>
      </c>
      <c r="E1278" s="48" t="s">
        <v>115</v>
      </c>
    </row>
    <row r="1279" spans="2:5" x14ac:dyDescent="0.2">
      <c r="B1279" s="28" t="str">
        <f>IF(Sep!$I74="SI",Sep!$H$67,"")</f>
        <v/>
      </c>
      <c r="C1279" s="28" t="str">
        <f>IF(Sep!$I74="SI",Sep!$H74,"")</f>
        <v/>
      </c>
      <c r="D1279" s="28" t="str">
        <f>IF(Sep!$I74="SI",Sep!$L74,"")</f>
        <v/>
      </c>
      <c r="E1279" s="48" t="s">
        <v>115</v>
      </c>
    </row>
    <row r="1280" spans="2:5" x14ac:dyDescent="0.2">
      <c r="B1280" s="28" t="str">
        <f>IF(Sep!$I75="SI",Sep!$H$67,"")</f>
        <v/>
      </c>
      <c r="C1280" s="28" t="str">
        <f>IF(Sep!$I75="SI",Sep!$H75,"")</f>
        <v/>
      </c>
      <c r="D1280" s="28" t="str">
        <f>IF(Sep!$I75="SI",Sep!$L75,"")</f>
        <v/>
      </c>
      <c r="E1280" s="48" t="s">
        <v>115</v>
      </c>
    </row>
    <row r="1281" spans="2:5" x14ac:dyDescent="0.2">
      <c r="B1281" s="28" t="str">
        <f>IF(Sep!$I76="SI",Sep!$H$67,"")</f>
        <v/>
      </c>
      <c r="C1281" s="28" t="str">
        <f>IF(Sep!$I76="SI",Sep!$H76,"")</f>
        <v/>
      </c>
      <c r="D1281" s="28" t="str">
        <f>IF(Sep!$I76="SI",Sep!$L76,"")</f>
        <v/>
      </c>
      <c r="E1281" s="48" t="s">
        <v>115</v>
      </c>
    </row>
    <row r="1282" spans="2:5" x14ac:dyDescent="0.2">
      <c r="B1282" s="28" t="str">
        <f>IF(Sep!$I77="SI",Sep!$H$67,"")</f>
        <v/>
      </c>
      <c r="C1282" s="28" t="str">
        <f>IF(Sep!$I77="SI",Sep!$H77,"")</f>
        <v/>
      </c>
      <c r="D1282" s="28" t="str">
        <f>IF(Sep!$I77="SI",Sep!$L77,"")</f>
        <v/>
      </c>
      <c r="E1282" s="48" t="s">
        <v>115</v>
      </c>
    </row>
    <row r="1283" spans="2:5" x14ac:dyDescent="0.2">
      <c r="B1283" s="28" t="str">
        <f>IF(Sep!$I78="SI",Sep!$H$67,"")</f>
        <v/>
      </c>
      <c r="C1283" s="28" t="str">
        <f>IF(Sep!$I78="SI",Sep!$H78,"")</f>
        <v/>
      </c>
      <c r="D1283" s="28" t="str">
        <f>IF(Sep!$I78="SI",Sep!$L78,"")</f>
        <v/>
      </c>
      <c r="E1283" s="48" t="s">
        <v>115</v>
      </c>
    </row>
    <row r="1284" spans="2:5" x14ac:dyDescent="0.2">
      <c r="B1284" s="28" t="str">
        <f>IF(Sep!$I82="SI",Sep!$H$81,"")</f>
        <v/>
      </c>
      <c r="C1284" s="28" t="str">
        <f>IF(Sep!$I82="SI",Sep!$H82,"")</f>
        <v/>
      </c>
      <c r="D1284" s="28" t="str">
        <f>IF(Sep!$I82="SI",Sep!$L82,"")</f>
        <v/>
      </c>
      <c r="E1284" s="48" t="s">
        <v>115</v>
      </c>
    </row>
    <row r="1285" spans="2:5" x14ac:dyDescent="0.2">
      <c r="B1285" s="28" t="str">
        <f>IF(Sep!$I83="SI",Sep!$H$81,"")</f>
        <v/>
      </c>
      <c r="C1285" s="28" t="str">
        <f>IF(Sep!$I83="SI",Sep!$H83,"")</f>
        <v/>
      </c>
      <c r="D1285" s="28" t="str">
        <f>IF(Sep!$I83="SI",Sep!$L83,"")</f>
        <v/>
      </c>
      <c r="E1285" s="48" t="s">
        <v>115</v>
      </c>
    </row>
    <row r="1286" spans="2:5" x14ac:dyDescent="0.2">
      <c r="B1286" s="28" t="str">
        <f>IF(Sep!$I84="SI",Sep!$H$81,"")</f>
        <v/>
      </c>
      <c r="C1286" s="28" t="str">
        <f>IF(Sep!$I84="SI",Sep!$H84,"")</f>
        <v/>
      </c>
      <c r="D1286" s="28" t="str">
        <f>IF(Sep!$I84="SI",Sep!$L84,"")</f>
        <v/>
      </c>
      <c r="E1286" s="48" t="s">
        <v>115</v>
      </c>
    </row>
    <row r="1287" spans="2:5" x14ac:dyDescent="0.2">
      <c r="B1287" s="28" t="str">
        <f>IF(Sep!$I85="SI",Sep!$H$81,"")</f>
        <v/>
      </c>
      <c r="C1287" s="28" t="str">
        <f>IF(Sep!$I85="SI",Sep!$H85,"")</f>
        <v/>
      </c>
      <c r="D1287" s="28" t="str">
        <f>IF(Sep!$I85="SI",Sep!$L85,"")</f>
        <v/>
      </c>
      <c r="E1287" s="48" t="s">
        <v>115</v>
      </c>
    </row>
    <row r="1288" spans="2:5" x14ac:dyDescent="0.2">
      <c r="B1288" s="28" t="str">
        <f>IF(Sep!$I86="SI",Sep!$H$81,"")</f>
        <v/>
      </c>
      <c r="C1288" s="28" t="str">
        <f>IF(Sep!$I86="SI",Sep!$H86,"")</f>
        <v/>
      </c>
      <c r="D1288" s="28" t="str">
        <f>IF(Sep!$I86="SI",Sep!$L86,"")</f>
        <v/>
      </c>
      <c r="E1288" s="48" t="s">
        <v>115</v>
      </c>
    </row>
    <row r="1289" spans="2:5" x14ac:dyDescent="0.2">
      <c r="B1289" s="28" t="str">
        <f>IF(Sep!$I87="SI",Sep!$H$81,"")</f>
        <v/>
      </c>
      <c r="C1289" s="28" t="str">
        <f>IF(Sep!$I87="SI",Sep!$H87,"")</f>
        <v/>
      </c>
      <c r="D1289" s="28" t="str">
        <f>IF(Sep!$I87="SI",Sep!$L87,"")</f>
        <v/>
      </c>
      <c r="E1289" s="48" t="s">
        <v>115</v>
      </c>
    </row>
    <row r="1290" spans="2:5" x14ac:dyDescent="0.2">
      <c r="B1290" s="28" t="str">
        <f>IF(Sep!$I91="SI",Sep!$H$90,"")</f>
        <v/>
      </c>
      <c r="C1290" s="28" t="str">
        <f>IF(Sep!$I91="SI",Sep!$H91,"")</f>
        <v/>
      </c>
      <c r="D1290" s="28" t="str">
        <f>IF(Sep!$I91="SI",Sep!$L91,"")</f>
        <v/>
      </c>
      <c r="E1290" s="48" t="s">
        <v>115</v>
      </c>
    </row>
    <row r="1291" spans="2:5" x14ac:dyDescent="0.2">
      <c r="B1291" s="28" t="str">
        <f>IF(Sep!$I92="SI",Sep!$H$90,"")</f>
        <v/>
      </c>
      <c r="C1291" s="28" t="str">
        <f>IF(Sep!$I92="SI",Sep!$H92,"")</f>
        <v/>
      </c>
      <c r="D1291" s="28" t="str">
        <f>IF(Sep!$I92="SI",Sep!$L92,"")</f>
        <v/>
      </c>
      <c r="E1291" s="48" t="s">
        <v>115</v>
      </c>
    </row>
    <row r="1292" spans="2:5" x14ac:dyDescent="0.2">
      <c r="B1292" s="28" t="str">
        <f>IF(Sep!$I93="SI",Sep!$H$90,"")</f>
        <v/>
      </c>
      <c r="C1292" s="28" t="str">
        <f>IF(Sep!$I93="SI",Sep!$H93,"")</f>
        <v/>
      </c>
      <c r="D1292" s="28" t="str">
        <f>IF(Sep!$I93="SI",Sep!$L93,"")</f>
        <v/>
      </c>
      <c r="E1292" s="48" t="s">
        <v>115</v>
      </c>
    </row>
    <row r="1293" spans="2:5" x14ac:dyDescent="0.2">
      <c r="B1293" s="28" t="str">
        <f>IF(Sep!$I94="SI",Sep!$H$90,"")</f>
        <v/>
      </c>
      <c r="C1293" s="28" t="str">
        <f>IF(Sep!$I94="SI",Sep!$H94,"")</f>
        <v/>
      </c>
      <c r="D1293" s="28" t="str">
        <f>IF(Sep!$I94="SI",Sep!$L94,"")</f>
        <v/>
      </c>
      <c r="E1293" s="48" t="s">
        <v>115</v>
      </c>
    </row>
    <row r="1294" spans="2:5" x14ac:dyDescent="0.2">
      <c r="B1294" s="28" t="str">
        <f>IF(Sep!$I95="SI",Sep!$H$90,"")</f>
        <v/>
      </c>
      <c r="C1294" s="28" t="str">
        <f>IF(Sep!$I95="SI",Sep!$H95,"")</f>
        <v/>
      </c>
      <c r="D1294" s="28" t="str">
        <f>IF(Sep!$I95="SI",Sep!$L95,"")</f>
        <v/>
      </c>
      <c r="E1294" s="48" t="s">
        <v>115</v>
      </c>
    </row>
    <row r="1295" spans="2:5" x14ac:dyDescent="0.2">
      <c r="B1295" s="28" t="str">
        <f>IF(Sep!$I96="SI",Sep!$H$90,"")</f>
        <v/>
      </c>
      <c r="C1295" s="28" t="str">
        <f>IF(Sep!$I96="SI",Sep!$H96,"")</f>
        <v/>
      </c>
      <c r="D1295" s="28" t="str">
        <f>IF(Sep!$I96="SI",Sep!$L96,"")</f>
        <v/>
      </c>
      <c r="E1295" s="48" t="s">
        <v>115</v>
      </c>
    </row>
    <row r="1296" spans="2:5" x14ac:dyDescent="0.2">
      <c r="B1296" s="28" t="str">
        <f>IF(Sep!$I97="SI",Sep!$H$90,"")</f>
        <v/>
      </c>
      <c r="C1296" s="28" t="str">
        <f>IF(Sep!$I97="SI",Sep!$H97,"")</f>
        <v/>
      </c>
      <c r="D1296" s="28" t="str">
        <f>IF(Sep!$I97="SI",Sep!$L97,"")</f>
        <v/>
      </c>
      <c r="E1296" s="48" t="s">
        <v>115</v>
      </c>
    </row>
    <row r="1297" spans="2:5" x14ac:dyDescent="0.2">
      <c r="B1297" s="28" t="str">
        <f>IF(Sep!$I101="SI",Sep!$H$100,"")</f>
        <v/>
      </c>
      <c r="C1297" s="28" t="str">
        <f>IF(Sep!$I101="SI",Sep!$H101,"")</f>
        <v/>
      </c>
      <c r="D1297" s="28" t="str">
        <f>IF(Sep!$I101="SI",Sep!$L101,"")</f>
        <v/>
      </c>
      <c r="E1297" s="48" t="s">
        <v>115</v>
      </c>
    </row>
    <row r="1298" spans="2:5" x14ac:dyDescent="0.2">
      <c r="B1298" s="28" t="str">
        <f>IF(Sep!$I102="SI",Sep!$H$100,"")</f>
        <v/>
      </c>
      <c r="C1298" s="28" t="str">
        <f>IF(Sep!$I102="SI",Sep!$H102,"")</f>
        <v/>
      </c>
      <c r="D1298" s="28" t="str">
        <f>IF(Sep!$I102="SI",Sep!$L102,"")</f>
        <v/>
      </c>
      <c r="E1298" s="48" t="s">
        <v>115</v>
      </c>
    </row>
    <row r="1299" spans="2:5" x14ac:dyDescent="0.2">
      <c r="B1299" s="28" t="str">
        <f>IF(Sep!$I103="SI",Sep!$H$100,"")</f>
        <v/>
      </c>
      <c r="C1299" s="28" t="str">
        <f>IF(Sep!$I103="SI",Sep!$H103,"")</f>
        <v/>
      </c>
      <c r="D1299" s="28" t="str">
        <f>IF(Sep!$I103="SI",Sep!$L103,"")</f>
        <v/>
      </c>
      <c r="E1299" s="48" t="s">
        <v>115</v>
      </c>
    </row>
    <row r="1300" spans="2:5" x14ac:dyDescent="0.2">
      <c r="B1300" s="28" t="str">
        <f>IF(Sep!$I104="SI",Sep!$H$100,"")</f>
        <v/>
      </c>
      <c r="C1300" s="28" t="str">
        <f>IF(Sep!$I104="SI",Sep!$H104,"")</f>
        <v/>
      </c>
      <c r="D1300" s="28" t="str">
        <f>IF(Sep!$I104="SI",Sep!$L104,"")</f>
        <v/>
      </c>
      <c r="E1300" s="48" t="s">
        <v>115</v>
      </c>
    </row>
    <row r="1301" spans="2:5" x14ac:dyDescent="0.2">
      <c r="B1301" s="28" t="str">
        <f>IF(Sep!$I105="SI",Sep!$H$100,"")</f>
        <v/>
      </c>
      <c r="C1301" s="28" t="str">
        <f>IF(Sep!$I105="SI",Sep!$H105,"")</f>
        <v/>
      </c>
      <c r="D1301" s="28" t="str">
        <f>IF(Sep!$I105="SI",Sep!$L105,"")</f>
        <v/>
      </c>
      <c r="E1301" s="48" t="s">
        <v>115</v>
      </c>
    </row>
    <row r="1302" spans="2:5" x14ac:dyDescent="0.2">
      <c r="B1302" s="28" t="str">
        <f>IF(Sep!$I106="SI",Sep!$H$100,"")</f>
        <v/>
      </c>
      <c r="C1302" s="28" t="str">
        <f>IF(Sep!$I106="SI",Sep!$H106,"")</f>
        <v/>
      </c>
      <c r="D1302" s="28" t="str">
        <f>IF(Sep!$I106="SI",Sep!$L106,"")</f>
        <v/>
      </c>
      <c r="E1302" s="48" t="s">
        <v>115</v>
      </c>
    </row>
    <row r="1303" spans="2:5" x14ac:dyDescent="0.2">
      <c r="B1303" s="28" t="str">
        <f>IF(Sep!$I107="SI",Sep!$H$100,"")</f>
        <v/>
      </c>
      <c r="C1303" s="28" t="str">
        <f>IF(Sep!$I107="SI",Sep!$H107,"")</f>
        <v/>
      </c>
      <c r="D1303" s="28" t="str">
        <f>IF(Sep!$I107="SI",Sep!$L107,"")</f>
        <v/>
      </c>
      <c r="E1303" s="48" t="s">
        <v>115</v>
      </c>
    </row>
    <row r="1304" spans="2:5" x14ac:dyDescent="0.2">
      <c r="B1304" s="29"/>
      <c r="C1304" s="29"/>
      <c r="D1304" s="29"/>
      <c r="E1304" s="48" t="s">
        <v>115</v>
      </c>
    </row>
    <row r="1305" spans="2:5" x14ac:dyDescent="0.2">
      <c r="B1305" s="28" t="str">
        <f>IF(Oct!$C13="SI",Oct!$B$12,"")</f>
        <v/>
      </c>
      <c r="C1305" s="28" t="str">
        <f>IF(Oct!$C13="SI",Oct!$B13,"")</f>
        <v/>
      </c>
      <c r="D1305" s="28" t="str">
        <f>IF(Oct!$C13="SI",Oct!$F13,"")</f>
        <v/>
      </c>
      <c r="E1305" s="48" t="s">
        <v>116</v>
      </c>
    </row>
    <row r="1306" spans="2:5" x14ac:dyDescent="0.2">
      <c r="B1306" s="28" t="str">
        <f>IF(Oct!$C14="SI",Oct!$B$12,"")</f>
        <v/>
      </c>
      <c r="C1306" s="28" t="str">
        <f>IF(Oct!$C14="SI",Oct!$B14,"")</f>
        <v/>
      </c>
      <c r="D1306" s="28" t="str">
        <f>IF(Oct!$C14="SI",Oct!$F14,"")</f>
        <v/>
      </c>
      <c r="E1306" s="48" t="s">
        <v>116</v>
      </c>
    </row>
    <row r="1307" spans="2:5" x14ac:dyDescent="0.2">
      <c r="B1307" s="28" t="str">
        <f>IF(Oct!$C15="SI",Oct!$B$12,"")</f>
        <v/>
      </c>
      <c r="C1307" s="28" t="str">
        <f>IF(Oct!$C15="SI",Oct!$B15,"")</f>
        <v/>
      </c>
      <c r="D1307" s="28" t="str">
        <f>IF(Oct!$C15="SI",Oct!$F15,"")</f>
        <v/>
      </c>
      <c r="E1307" s="48" t="s">
        <v>116</v>
      </c>
    </row>
    <row r="1308" spans="2:5" x14ac:dyDescent="0.2">
      <c r="B1308" s="28" t="str">
        <f>IF(Oct!$C16="SI",Oct!$B$12,"")</f>
        <v/>
      </c>
      <c r="C1308" s="28" t="str">
        <f>IF(Oct!$C16="SI",Oct!$B16,"")</f>
        <v/>
      </c>
      <c r="D1308" s="28" t="str">
        <f>IF(Oct!$C16="SI",Oct!$F16,"")</f>
        <v/>
      </c>
      <c r="E1308" s="48" t="s">
        <v>116</v>
      </c>
    </row>
    <row r="1309" spans="2:5" x14ac:dyDescent="0.2">
      <c r="B1309" s="28" t="str">
        <f>IF(Oct!$C17="SI",Oct!$B$12,"")</f>
        <v/>
      </c>
      <c r="C1309" s="28" t="str">
        <f>IF(Oct!$C17="SI",Oct!$B17,"")</f>
        <v/>
      </c>
      <c r="D1309" s="28" t="str">
        <f>IF(Oct!$C17="SI",Oct!$F17,"")</f>
        <v/>
      </c>
      <c r="E1309" s="48" t="s">
        <v>116</v>
      </c>
    </row>
    <row r="1310" spans="2:5" x14ac:dyDescent="0.2">
      <c r="B1310" s="28" t="str">
        <f>IF(Oct!$C18="SI",Oct!$B$12,"")</f>
        <v/>
      </c>
      <c r="C1310" s="28" t="str">
        <f>IF(Oct!$C18="SI",Oct!$B18,"")</f>
        <v/>
      </c>
      <c r="D1310" s="28" t="str">
        <f>IF(Oct!$C18="SI",Oct!$F18,"")</f>
        <v/>
      </c>
      <c r="E1310" s="48" t="s">
        <v>116</v>
      </c>
    </row>
    <row r="1311" spans="2:5" x14ac:dyDescent="0.2">
      <c r="B1311" s="28" t="str">
        <f>IF(Oct!$C19="SI",Oct!$B$12,"")</f>
        <v/>
      </c>
      <c r="C1311" s="28" t="str">
        <f>IF(Oct!$C19="SI",Oct!$B19,"")</f>
        <v/>
      </c>
      <c r="D1311" s="28" t="str">
        <f>IF(Oct!$C19="SI",Oct!$F19,"")</f>
        <v/>
      </c>
      <c r="E1311" s="48" t="s">
        <v>116</v>
      </c>
    </row>
    <row r="1312" spans="2:5" x14ac:dyDescent="0.2">
      <c r="B1312" s="28" t="str">
        <f>IF(Oct!$C20="SI",Oct!$B$12,"")</f>
        <v/>
      </c>
      <c r="C1312" s="28" t="str">
        <f>IF(Oct!$C20="SI",Oct!$B20,"")</f>
        <v/>
      </c>
      <c r="D1312" s="28" t="str">
        <f>IF(Oct!$C20="SI",Oct!$F20,"")</f>
        <v/>
      </c>
      <c r="E1312" s="48" t="s">
        <v>116</v>
      </c>
    </row>
    <row r="1313" spans="2:5" x14ac:dyDescent="0.2">
      <c r="B1313" s="28" t="str">
        <f>IF(Oct!$C21="SI",Oct!$B$12,"")</f>
        <v/>
      </c>
      <c r="C1313" s="28" t="str">
        <f>IF(Oct!$C21="SI",Oct!$B21,"")</f>
        <v/>
      </c>
      <c r="D1313" s="28" t="str">
        <f>IF(Oct!$C21="SI",Oct!$F21,"")</f>
        <v/>
      </c>
      <c r="E1313" s="48" t="s">
        <v>116</v>
      </c>
    </row>
    <row r="1314" spans="2:5" x14ac:dyDescent="0.2">
      <c r="B1314" s="28" t="str">
        <f>IF(Oct!$C22="SI",Oct!$B$12,"")</f>
        <v/>
      </c>
      <c r="C1314" s="28" t="str">
        <f>IF(Oct!$C22="SI",Oct!$B22,"")</f>
        <v/>
      </c>
      <c r="D1314" s="28" t="str">
        <f>IF(Oct!$C22="SI",Oct!$F22,"")</f>
        <v/>
      </c>
      <c r="E1314" s="48" t="s">
        <v>116</v>
      </c>
    </row>
    <row r="1315" spans="2:5" x14ac:dyDescent="0.2">
      <c r="B1315" s="28" t="str">
        <f>IF(Oct!$C23="SI",Oct!$B$12,"")</f>
        <v/>
      </c>
      <c r="C1315" s="28" t="str">
        <f>IF(Oct!$C23="SI",Oct!$B23,"")</f>
        <v/>
      </c>
      <c r="D1315" s="28" t="str">
        <f>IF(Oct!$C23="SI",Oct!$F23,"")</f>
        <v/>
      </c>
      <c r="E1315" s="48" t="s">
        <v>116</v>
      </c>
    </row>
    <row r="1316" spans="2:5" x14ac:dyDescent="0.2">
      <c r="B1316" s="28" t="str">
        <f>IF(Oct!$C24="SI",Oct!$B$12,"")</f>
        <v/>
      </c>
      <c r="C1316" s="28" t="str">
        <f>IF(Oct!$C24="SI",Oct!$B24,"")</f>
        <v/>
      </c>
      <c r="D1316" s="28" t="str">
        <f>IF(Oct!$C24="SI",Oct!$F24,"")</f>
        <v/>
      </c>
      <c r="E1316" s="48" t="s">
        <v>116</v>
      </c>
    </row>
    <row r="1317" spans="2:5" x14ac:dyDescent="0.2">
      <c r="B1317" s="28" t="str">
        <f>IF(Oct!$C28="SI",Oct!$B$27,"")</f>
        <v/>
      </c>
      <c r="C1317" s="28" t="str">
        <f>IF(Oct!$C28="SI",Oct!$B28,"")</f>
        <v/>
      </c>
      <c r="D1317" s="28" t="str">
        <f>IF(Oct!$C28="SI",Oct!$F28,"")</f>
        <v/>
      </c>
      <c r="E1317" s="48" t="s">
        <v>116</v>
      </c>
    </row>
    <row r="1318" spans="2:5" x14ac:dyDescent="0.2">
      <c r="B1318" s="28" t="str">
        <f>IF(Oct!$C29="SI",Oct!$B$27,"")</f>
        <v/>
      </c>
      <c r="C1318" s="28" t="str">
        <f>IF(Oct!$C29="SI",Oct!$B29,"")</f>
        <v/>
      </c>
      <c r="D1318" s="28" t="str">
        <f>IF(Oct!$C29="SI",Oct!$F29,"")</f>
        <v/>
      </c>
      <c r="E1318" s="48" t="s">
        <v>116</v>
      </c>
    </row>
    <row r="1319" spans="2:5" x14ac:dyDescent="0.2">
      <c r="B1319" s="28" t="str">
        <f>IF(Oct!$C30="SI",Oct!$B$27,"")</f>
        <v/>
      </c>
      <c r="C1319" s="28" t="str">
        <f>IF(Oct!$C30="SI",Oct!$B30,"")</f>
        <v/>
      </c>
      <c r="D1319" s="28" t="str">
        <f>IF(Oct!$C30="SI",Oct!$F30,"")</f>
        <v/>
      </c>
      <c r="E1319" s="48" t="s">
        <v>116</v>
      </c>
    </row>
    <row r="1320" spans="2:5" x14ac:dyDescent="0.2">
      <c r="B1320" s="28" t="str">
        <f>IF(Oct!$C31="SI",Oct!$B$27,"")</f>
        <v/>
      </c>
      <c r="C1320" s="28" t="str">
        <f>IF(Oct!$C31="SI",Oct!$B31,"")</f>
        <v/>
      </c>
      <c r="D1320" s="28" t="str">
        <f>IF(Oct!$C31="SI",Oct!$F31,"")</f>
        <v/>
      </c>
      <c r="E1320" s="48" t="s">
        <v>116</v>
      </c>
    </row>
    <row r="1321" spans="2:5" x14ac:dyDescent="0.2">
      <c r="B1321" s="28" t="str">
        <f>IF(Oct!$C32="SI",Oct!$B$27,"")</f>
        <v/>
      </c>
      <c r="C1321" s="28" t="str">
        <f>IF(Oct!$C32="SI",Oct!$B32,"")</f>
        <v/>
      </c>
      <c r="D1321" s="28" t="str">
        <f>IF(Oct!$C32="SI",Oct!$F32,"")</f>
        <v/>
      </c>
      <c r="E1321" s="48" t="s">
        <v>116</v>
      </c>
    </row>
    <row r="1322" spans="2:5" x14ac:dyDescent="0.2">
      <c r="B1322" s="28" t="str">
        <f>IF(Oct!$C33="SI",Oct!$B$27,"")</f>
        <v/>
      </c>
      <c r="C1322" s="28" t="str">
        <f>IF(Oct!$C33="SI",Oct!$B33,"")</f>
        <v/>
      </c>
      <c r="D1322" s="28" t="str">
        <f>IF(Oct!$C33="SI",Oct!$F33,"")</f>
        <v/>
      </c>
      <c r="E1322" s="48" t="s">
        <v>116</v>
      </c>
    </row>
    <row r="1323" spans="2:5" x14ac:dyDescent="0.2">
      <c r="B1323" s="28" t="str">
        <f>IF(Oct!$C34="SI",Oct!$B$27,"")</f>
        <v/>
      </c>
      <c r="C1323" s="28" t="str">
        <f>IF(Oct!$C34="SI",Oct!$B34,"")</f>
        <v/>
      </c>
      <c r="D1323" s="28" t="str">
        <f>IF(Oct!$C34="SI",Oct!$F34,"")</f>
        <v/>
      </c>
      <c r="E1323" s="48" t="s">
        <v>116</v>
      </c>
    </row>
    <row r="1324" spans="2:5" x14ac:dyDescent="0.2">
      <c r="B1324" s="28" t="str">
        <f>IF(Oct!$C35="SI",Oct!$B$27,"")</f>
        <v/>
      </c>
      <c r="C1324" s="28" t="str">
        <f>IF(Oct!$C35="SI",Oct!$B35,"")</f>
        <v/>
      </c>
      <c r="D1324" s="28" t="str">
        <f>IF(Oct!$C35="SI",Oct!$F35,"")</f>
        <v/>
      </c>
      <c r="E1324" s="48" t="s">
        <v>116</v>
      </c>
    </row>
    <row r="1325" spans="2:5" x14ac:dyDescent="0.2">
      <c r="B1325" s="28" t="str">
        <f>IF(Oct!$C39="SI",Oct!$B$38,"")</f>
        <v/>
      </c>
      <c r="C1325" s="28" t="str">
        <f>IF(Oct!$C39="SI",Oct!$B39,"")</f>
        <v/>
      </c>
      <c r="D1325" s="28" t="str">
        <f>IF(Oct!$C39="SI",Oct!$F39,"")</f>
        <v/>
      </c>
      <c r="E1325" s="48" t="s">
        <v>116</v>
      </c>
    </row>
    <row r="1326" spans="2:5" x14ac:dyDescent="0.2">
      <c r="B1326" s="28" t="str">
        <f>IF(Oct!$C40="SI",Oct!$B$38,"")</f>
        <v/>
      </c>
      <c r="C1326" s="28" t="str">
        <f>IF(Oct!$C40="SI",Oct!$B40,"")</f>
        <v/>
      </c>
      <c r="D1326" s="28" t="str">
        <f>IF(Oct!$C40="SI",Oct!$F40,"")</f>
        <v/>
      </c>
      <c r="E1326" s="48" t="s">
        <v>116</v>
      </c>
    </row>
    <row r="1327" spans="2:5" x14ac:dyDescent="0.2">
      <c r="B1327" s="28" t="str">
        <f>IF(Oct!$C41="SI",Oct!$B$38,"")</f>
        <v/>
      </c>
      <c r="C1327" s="28" t="str">
        <f>IF(Oct!$C41="SI",Oct!$B41,"")</f>
        <v/>
      </c>
      <c r="D1327" s="28" t="str">
        <f>IF(Oct!$C41="SI",Oct!$F41,"")</f>
        <v/>
      </c>
      <c r="E1327" s="48" t="s">
        <v>116</v>
      </c>
    </row>
    <row r="1328" spans="2:5" x14ac:dyDescent="0.2">
      <c r="B1328" s="28" t="str">
        <f>IF(Oct!$C42="SI",Oct!$B$38,"")</f>
        <v/>
      </c>
      <c r="C1328" s="28" t="str">
        <f>IF(Oct!$C42="SI",Oct!$B42,"")</f>
        <v/>
      </c>
      <c r="D1328" s="28" t="str">
        <f>IF(Oct!$C42="SI",Oct!$F42,"")</f>
        <v/>
      </c>
      <c r="E1328" s="48" t="s">
        <v>116</v>
      </c>
    </row>
    <row r="1329" spans="2:5" x14ac:dyDescent="0.2">
      <c r="B1329" s="28" t="str">
        <f>IF(Oct!$C43="SI",Oct!$B$38,"")</f>
        <v/>
      </c>
      <c r="C1329" s="28" t="str">
        <f>IF(Oct!$C43="SI",Oct!$B43,"")</f>
        <v/>
      </c>
      <c r="D1329" s="28" t="str">
        <f>IF(Oct!$C43="SI",Oct!$F43,"")</f>
        <v/>
      </c>
      <c r="E1329" s="48" t="s">
        <v>116</v>
      </c>
    </row>
    <row r="1330" spans="2:5" x14ac:dyDescent="0.2">
      <c r="B1330" s="28" t="str">
        <f>IF(Oct!$C44="SI",Oct!$B$38,"")</f>
        <v/>
      </c>
      <c r="C1330" s="28" t="str">
        <f>IF(Oct!$C44="SI",Oct!$B44,"")</f>
        <v/>
      </c>
      <c r="D1330" s="28" t="str">
        <f>IF(Oct!$C44="SI",Oct!$F44,"")</f>
        <v/>
      </c>
      <c r="E1330" s="48" t="s">
        <v>116</v>
      </c>
    </row>
    <row r="1331" spans="2:5" x14ac:dyDescent="0.2">
      <c r="B1331" s="28" t="str">
        <f>IF(Oct!$C45="SI",Oct!$B$38,"")</f>
        <v/>
      </c>
      <c r="C1331" s="28" t="str">
        <f>IF(Oct!$C45="SI",Oct!$B45,"")</f>
        <v/>
      </c>
      <c r="D1331" s="28" t="str">
        <f>IF(Oct!$C45="SI",Oct!$F45,"")</f>
        <v/>
      </c>
      <c r="E1331" s="48" t="s">
        <v>116</v>
      </c>
    </row>
    <row r="1332" spans="2:5" x14ac:dyDescent="0.2">
      <c r="B1332" s="28" t="str">
        <f>IF(Oct!$C49="SI",Oct!$B$48,"")</f>
        <v/>
      </c>
      <c r="C1332" s="28" t="str">
        <f>IF(Oct!$C49="SI",Oct!$B49,"")</f>
        <v/>
      </c>
      <c r="D1332" s="28" t="str">
        <f>IF(Oct!$C49="SI",Oct!$F49,"")</f>
        <v/>
      </c>
      <c r="E1332" s="48" t="s">
        <v>116</v>
      </c>
    </row>
    <row r="1333" spans="2:5" x14ac:dyDescent="0.2">
      <c r="B1333" s="28" t="str">
        <f>IF(Oct!$C50="SI",Oct!$B$48,"")</f>
        <v/>
      </c>
      <c r="C1333" s="28" t="str">
        <f>IF(Oct!$C50="SI",Oct!$B50,"")</f>
        <v/>
      </c>
      <c r="D1333" s="28" t="str">
        <f>IF(Oct!$C50="SI",Oct!$F50,"")</f>
        <v/>
      </c>
      <c r="E1333" s="48" t="s">
        <v>116</v>
      </c>
    </row>
    <row r="1334" spans="2:5" x14ac:dyDescent="0.2">
      <c r="B1334" s="28" t="str">
        <f>IF(Oct!$C51="SI",Oct!$B$48,"")</f>
        <v/>
      </c>
      <c r="C1334" s="28" t="str">
        <f>IF(Oct!$C51="SI",Oct!$B51,"")</f>
        <v/>
      </c>
      <c r="D1334" s="28" t="str">
        <f>IF(Oct!$C51="SI",Oct!$F51,"")</f>
        <v/>
      </c>
      <c r="E1334" s="48" t="s">
        <v>116</v>
      </c>
    </row>
    <row r="1335" spans="2:5" x14ac:dyDescent="0.2">
      <c r="B1335" s="28" t="str">
        <f>IF(Oct!$C52="SI",Oct!$B$48,"")</f>
        <v/>
      </c>
      <c r="C1335" s="28" t="str">
        <f>IF(Oct!$C52="SI",Oct!$B52,"")</f>
        <v/>
      </c>
      <c r="D1335" s="28" t="str">
        <f>IF(Oct!$C52="SI",Oct!$F52,"")</f>
        <v/>
      </c>
      <c r="E1335" s="48" t="s">
        <v>116</v>
      </c>
    </row>
    <row r="1336" spans="2:5" x14ac:dyDescent="0.2">
      <c r="B1336" s="28" t="str">
        <f>IF(Oct!$C53="SI",Oct!$B$48,"")</f>
        <v/>
      </c>
      <c r="C1336" s="28" t="str">
        <f>IF(Oct!$C53="SI",Oct!$B53,"")</f>
        <v/>
      </c>
      <c r="D1336" s="28" t="str">
        <f>IF(Oct!$C53="SI",Oct!$F53,"")</f>
        <v/>
      </c>
      <c r="E1336" s="48" t="s">
        <v>116</v>
      </c>
    </row>
    <row r="1337" spans="2:5" x14ac:dyDescent="0.2">
      <c r="B1337" s="28" t="str">
        <f>IF(Oct!$C54="SI",Oct!$B$48,"")</f>
        <v/>
      </c>
      <c r="C1337" s="28" t="str">
        <f>IF(Oct!$C54="SI",Oct!$B54,"")</f>
        <v/>
      </c>
      <c r="D1337" s="28" t="str">
        <f>IF(Oct!$C54="SI",Oct!$F54,"")</f>
        <v/>
      </c>
      <c r="E1337" s="48" t="s">
        <v>116</v>
      </c>
    </row>
    <row r="1338" spans="2:5" x14ac:dyDescent="0.2">
      <c r="B1338" s="28" t="str">
        <f>IF(Oct!$C58="SI",Oct!$B$57,"")</f>
        <v/>
      </c>
      <c r="C1338" s="28" t="str">
        <f>IF(Oct!$C58="SI",Oct!$B58,"")</f>
        <v/>
      </c>
      <c r="D1338" s="28" t="str">
        <f>IF(Oct!$C58="SI",Oct!$F58,"")</f>
        <v/>
      </c>
      <c r="E1338" s="48" t="s">
        <v>116</v>
      </c>
    </row>
    <row r="1339" spans="2:5" x14ac:dyDescent="0.2">
      <c r="B1339" s="28" t="str">
        <f>IF(Oct!$C59="SI",Oct!$B$57,"")</f>
        <v/>
      </c>
      <c r="C1339" s="28" t="str">
        <f>IF(Oct!$C59="SI",Oct!$B59,"")</f>
        <v/>
      </c>
      <c r="D1339" s="28" t="str">
        <f>IF(Oct!$C59="SI",Oct!$F59,"")</f>
        <v/>
      </c>
      <c r="E1339" s="48" t="s">
        <v>116</v>
      </c>
    </row>
    <row r="1340" spans="2:5" x14ac:dyDescent="0.2">
      <c r="B1340" s="28" t="str">
        <f>IF(Oct!$C60="SI",Oct!$B$57,"")</f>
        <v/>
      </c>
      <c r="C1340" s="28" t="str">
        <f>IF(Oct!$C60="SI",Oct!$B60,"")</f>
        <v/>
      </c>
      <c r="D1340" s="28" t="str">
        <f>IF(Oct!$C60="SI",Oct!$F60,"")</f>
        <v/>
      </c>
      <c r="E1340" s="48" t="s">
        <v>116</v>
      </c>
    </row>
    <row r="1341" spans="2:5" x14ac:dyDescent="0.2">
      <c r="B1341" s="28" t="str">
        <f>IF(Oct!$C61="SI",Oct!$B$57,"")</f>
        <v/>
      </c>
      <c r="C1341" s="28" t="str">
        <f>IF(Oct!$C61="SI",Oct!$B61,"")</f>
        <v/>
      </c>
      <c r="D1341" s="28" t="str">
        <f>IF(Oct!$C61="SI",Oct!$F61,"")</f>
        <v/>
      </c>
      <c r="E1341" s="48" t="s">
        <v>116</v>
      </c>
    </row>
    <row r="1342" spans="2:5" x14ac:dyDescent="0.2">
      <c r="B1342" s="28" t="str">
        <f>IF(Oct!$C62="SI",Oct!$B$57,"")</f>
        <v/>
      </c>
      <c r="C1342" s="28" t="str">
        <f>IF(Oct!$C62="SI",Oct!$B62,"")</f>
        <v/>
      </c>
      <c r="D1342" s="28" t="str">
        <f>IF(Oct!$C62="SI",Oct!$F62,"")</f>
        <v/>
      </c>
      <c r="E1342" s="48" t="s">
        <v>116</v>
      </c>
    </row>
    <row r="1343" spans="2:5" x14ac:dyDescent="0.2">
      <c r="B1343" s="28" t="str">
        <f>IF(Oct!$C63="SI",Oct!$B$57,"")</f>
        <v/>
      </c>
      <c r="C1343" s="28" t="str">
        <f>IF(Oct!$C63="SI",Oct!$B63,"")</f>
        <v/>
      </c>
      <c r="D1343" s="28" t="str">
        <f>IF(Oct!$C63="SI",Oct!$F63,"")</f>
        <v/>
      </c>
      <c r="E1343" s="48" t="s">
        <v>116</v>
      </c>
    </row>
    <row r="1344" spans="2:5" x14ac:dyDescent="0.2">
      <c r="B1344" s="28" t="str">
        <f>IF(Oct!$C64="SI",Oct!$B$57,"")</f>
        <v/>
      </c>
      <c r="C1344" s="28" t="str">
        <f>IF(Oct!$C64="SI",Oct!$B64,"")</f>
        <v/>
      </c>
      <c r="D1344" s="28" t="str">
        <f>IF(Oct!$C64="SI",Oct!$F64,"")</f>
        <v/>
      </c>
      <c r="E1344" s="48" t="s">
        <v>116</v>
      </c>
    </row>
    <row r="1345" spans="2:5" x14ac:dyDescent="0.2">
      <c r="B1345" s="28" t="str">
        <f>IF(Oct!$C68="SI",Oct!$B$67,"")</f>
        <v/>
      </c>
      <c r="C1345" s="28" t="str">
        <f>IF(Oct!$C68="SI",Oct!$B68,"")</f>
        <v/>
      </c>
      <c r="D1345" s="28" t="str">
        <f>IF(Oct!$C68="SI",Oct!$F68,"")</f>
        <v/>
      </c>
      <c r="E1345" s="48" t="s">
        <v>116</v>
      </c>
    </row>
    <row r="1346" spans="2:5" x14ac:dyDescent="0.2">
      <c r="B1346" s="28" t="str">
        <f>IF(Oct!$C69="SI",Oct!$B$67,"")</f>
        <v/>
      </c>
      <c r="C1346" s="28" t="str">
        <f>IF(Oct!$C69="SI",Oct!$B69,"")</f>
        <v/>
      </c>
      <c r="D1346" s="28" t="str">
        <f>IF(Oct!$C69="SI",Oct!$F69,"")</f>
        <v/>
      </c>
      <c r="E1346" s="48" t="s">
        <v>116</v>
      </c>
    </row>
    <row r="1347" spans="2:5" x14ac:dyDescent="0.2">
      <c r="B1347" s="28" t="str">
        <f>IF(Oct!$C70="SI",Oct!$B$67,"")</f>
        <v/>
      </c>
      <c r="C1347" s="28" t="str">
        <f>IF(Oct!$C70="SI",Oct!$B70,"")</f>
        <v/>
      </c>
      <c r="D1347" s="28" t="str">
        <f>IF(Oct!$C70="SI",Oct!$F70,"")</f>
        <v/>
      </c>
      <c r="E1347" s="48" t="s">
        <v>116</v>
      </c>
    </row>
    <row r="1348" spans="2:5" x14ac:dyDescent="0.2">
      <c r="B1348" s="28" t="str">
        <f>IF(Oct!$C71="SI",Oct!$B$67,"")</f>
        <v/>
      </c>
      <c r="C1348" s="28" t="str">
        <f>IF(Oct!$C71="SI",Oct!$B71,"")</f>
        <v/>
      </c>
      <c r="D1348" s="28" t="str">
        <f>IF(Oct!$C71="SI",Oct!$F71,"")</f>
        <v/>
      </c>
      <c r="E1348" s="48" t="s">
        <v>116</v>
      </c>
    </row>
    <row r="1349" spans="2:5" x14ac:dyDescent="0.2">
      <c r="B1349" s="28" t="str">
        <f>IF(Oct!$C72="SI",Oct!$B$67,"")</f>
        <v/>
      </c>
      <c r="C1349" s="28" t="str">
        <f>IF(Oct!$C72="SI",Oct!$B72,"")</f>
        <v/>
      </c>
      <c r="D1349" s="28" t="str">
        <f>IF(Oct!$C72="SI",Oct!$F72,"")</f>
        <v/>
      </c>
      <c r="E1349" s="48" t="s">
        <v>116</v>
      </c>
    </row>
    <row r="1350" spans="2:5" x14ac:dyDescent="0.2">
      <c r="B1350" s="28" t="str">
        <f>IF(Oct!$C73="SI",Oct!$B$67,"")</f>
        <v/>
      </c>
      <c r="C1350" s="28" t="str">
        <f>IF(Oct!$C73="SI",Oct!$B73,"")</f>
        <v/>
      </c>
      <c r="D1350" s="28" t="str">
        <f>IF(Oct!$C73="SI",Oct!$F73,"")</f>
        <v/>
      </c>
      <c r="E1350" s="48" t="s">
        <v>116</v>
      </c>
    </row>
    <row r="1351" spans="2:5" x14ac:dyDescent="0.2">
      <c r="B1351" s="28" t="str">
        <f>IF(Oct!$C74="SI",Oct!$B$67,"")</f>
        <v/>
      </c>
      <c r="C1351" s="28" t="str">
        <f>IF(Oct!$C74="SI",Oct!$B74,"")</f>
        <v/>
      </c>
      <c r="D1351" s="28" t="str">
        <f>IF(Oct!$C74="SI",Oct!$F74,"")</f>
        <v/>
      </c>
      <c r="E1351" s="48" t="s">
        <v>116</v>
      </c>
    </row>
    <row r="1352" spans="2:5" x14ac:dyDescent="0.2">
      <c r="B1352" s="28" t="str">
        <f>IF(Oct!$C75="SI",Oct!$B$67,"")</f>
        <v/>
      </c>
      <c r="C1352" s="28" t="str">
        <f>IF(Oct!$C75="SI",Oct!$B75,"")</f>
        <v/>
      </c>
      <c r="D1352" s="28" t="str">
        <f>IF(Oct!$C75="SI",Oct!$F75,"")</f>
        <v/>
      </c>
      <c r="E1352" s="48" t="s">
        <v>116</v>
      </c>
    </row>
    <row r="1353" spans="2:5" x14ac:dyDescent="0.2">
      <c r="B1353" s="28" t="str">
        <f>IF(Oct!$C76="SI",Oct!$B$67,"")</f>
        <v/>
      </c>
      <c r="C1353" s="28" t="str">
        <f>IF(Oct!$C76="SI",Oct!$B76,"")</f>
        <v/>
      </c>
      <c r="D1353" s="28" t="str">
        <f>IF(Oct!$C76="SI",Oct!$F76,"")</f>
        <v/>
      </c>
      <c r="E1353" s="48" t="s">
        <v>116</v>
      </c>
    </row>
    <row r="1354" spans="2:5" x14ac:dyDescent="0.2">
      <c r="B1354" s="28" t="str">
        <f>IF(Oct!$C77="SI",Oct!$B$67,"")</f>
        <v/>
      </c>
      <c r="C1354" s="28" t="str">
        <f>IF(Oct!$C77="SI",Oct!$B77,"")</f>
        <v/>
      </c>
      <c r="D1354" s="28" t="str">
        <f>IF(Oct!$C77="SI",Oct!$F77,"")</f>
        <v/>
      </c>
      <c r="E1354" s="48" t="s">
        <v>116</v>
      </c>
    </row>
    <row r="1355" spans="2:5" x14ac:dyDescent="0.2">
      <c r="B1355" s="28" t="str">
        <f>IF(Oct!$C78="SI",Oct!$B$67,"")</f>
        <v/>
      </c>
      <c r="C1355" s="28" t="str">
        <f>IF(Oct!$C78="SI",Oct!$B78,"")</f>
        <v/>
      </c>
      <c r="D1355" s="28" t="str">
        <f>IF(Oct!$C78="SI",Oct!$F78,"")</f>
        <v/>
      </c>
      <c r="E1355" s="48" t="s">
        <v>116</v>
      </c>
    </row>
    <row r="1356" spans="2:5" x14ac:dyDescent="0.2">
      <c r="B1356" s="28" t="str">
        <f>IF(Oct!$C82="SI",Oct!$B$81,"")</f>
        <v/>
      </c>
      <c r="C1356" s="28" t="str">
        <f>IF(Oct!$C82="SI",Oct!$B82,"")</f>
        <v/>
      </c>
      <c r="D1356" s="28" t="str">
        <f>IF(Oct!$C82="SI",Oct!$F82,"")</f>
        <v/>
      </c>
      <c r="E1356" s="48" t="s">
        <v>116</v>
      </c>
    </row>
    <row r="1357" spans="2:5" x14ac:dyDescent="0.2">
      <c r="B1357" s="28" t="str">
        <f>IF(Oct!$C83="SI",Oct!$B$81,"")</f>
        <v/>
      </c>
      <c r="C1357" s="28" t="str">
        <f>IF(Oct!$C83="SI",Oct!$B83,"")</f>
        <v/>
      </c>
      <c r="D1357" s="28" t="str">
        <f>IF(Oct!$C83="SI",Oct!$F83,"")</f>
        <v/>
      </c>
      <c r="E1357" s="48" t="s">
        <v>116</v>
      </c>
    </row>
    <row r="1358" spans="2:5" x14ac:dyDescent="0.2">
      <c r="B1358" s="28" t="str">
        <f>IF(Oct!$C84="SI",Oct!$B$81,"")</f>
        <v/>
      </c>
      <c r="C1358" s="28" t="str">
        <f>IF(Oct!$C84="SI",Oct!$B84,"")</f>
        <v/>
      </c>
      <c r="D1358" s="28" t="str">
        <f>IF(Oct!$C84="SI",Oct!$F84,"")</f>
        <v/>
      </c>
      <c r="E1358" s="48" t="s">
        <v>116</v>
      </c>
    </row>
    <row r="1359" spans="2:5" x14ac:dyDescent="0.2">
      <c r="B1359" s="28" t="str">
        <f>IF(Oct!$C85="SI",Oct!$B$81,"")</f>
        <v/>
      </c>
      <c r="C1359" s="28" t="str">
        <f>IF(Oct!$C85="SI",Oct!$B85,"")</f>
        <v/>
      </c>
      <c r="D1359" s="28" t="str">
        <f>IF(Oct!$C85="SI",Oct!$F85,"")</f>
        <v/>
      </c>
      <c r="E1359" s="48" t="s">
        <v>116</v>
      </c>
    </row>
    <row r="1360" spans="2:5" x14ac:dyDescent="0.2">
      <c r="B1360" s="28" t="str">
        <f>IF(Oct!$C86="SI",Oct!$B$81,"")</f>
        <v/>
      </c>
      <c r="C1360" s="28" t="str">
        <f>IF(Oct!$C86="SI",Oct!$B86,"")</f>
        <v/>
      </c>
      <c r="D1360" s="28" t="str">
        <f>IF(Oct!$C86="SI",Oct!$F86,"")</f>
        <v/>
      </c>
      <c r="E1360" s="48" t="s">
        <v>116</v>
      </c>
    </row>
    <row r="1361" spans="2:5" x14ac:dyDescent="0.2">
      <c r="B1361" s="28" t="str">
        <f>IF(Oct!$C87="SI",Oct!$B$81,"")</f>
        <v/>
      </c>
      <c r="C1361" s="28" t="str">
        <f>IF(Oct!$C87="SI",Oct!$B87,"")</f>
        <v/>
      </c>
      <c r="D1361" s="28" t="str">
        <f>IF(Oct!$C87="SI",Oct!$F87,"")</f>
        <v/>
      </c>
      <c r="E1361" s="48" t="s">
        <v>116</v>
      </c>
    </row>
    <row r="1362" spans="2:5" x14ac:dyDescent="0.2">
      <c r="B1362" s="28" t="str">
        <f>IF(Oct!$C91="SI",Oct!$B$90,"")</f>
        <v/>
      </c>
      <c r="C1362" s="28" t="str">
        <f>IF(Oct!$C91="SI",Oct!$B91,"")</f>
        <v/>
      </c>
      <c r="D1362" s="28" t="str">
        <f>IF(Oct!$C91="SI",Oct!$F91,"")</f>
        <v/>
      </c>
      <c r="E1362" s="48" t="s">
        <v>116</v>
      </c>
    </row>
    <row r="1363" spans="2:5" x14ac:dyDescent="0.2">
      <c r="B1363" s="28" t="str">
        <f>IF(Oct!$C92="SI",Oct!$B$90,"")</f>
        <v/>
      </c>
      <c r="C1363" s="28" t="str">
        <f>IF(Oct!$C92="SI",Oct!$B92,"")</f>
        <v/>
      </c>
      <c r="D1363" s="28" t="str">
        <f>IF(Oct!$C92="SI",Oct!$F92,"")</f>
        <v/>
      </c>
      <c r="E1363" s="48" t="s">
        <v>116</v>
      </c>
    </row>
    <row r="1364" spans="2:5" x14ac:dyDescent="0.2">
      <c r="B1364" s="28" t="str">
        <f>IF(Oct!$C93="SI",Oct!$B$90,"")</f>
        <v/>
      </c>
      <c r="C1364" s="28" t="str">
        <f>IF(Oct!$C93="SI",Oct!$B93,"")</f>
        <v/>
      </c>
      <c r="D1364" s="28" t="str">
        <f>IF(Oct!$C93="SI",Oct!$F93,"")</f>
        <v/>
      </c>
      <c r="E1364" s="48" t="s">
        <v>116</v>
      </c>
    </row>
    <row r="1365" spans="2:5" x14ac:dyDescent="0.2">
      <c r="B1365" s="28" t="str">
        <f>IF(Oct!$C94="SI",Oct!$B$90,"")</f>
        <v/>
      </c>
      <c r="C1365" s="28" t="str">
        <f>IF(Oct!$C94="SI",Oct!$B94,"")</f>
        <v/>
      </c>
      <c r="D1365" s="28" t="str">
        <f>IF(Oct!$C94="SI",Oct!$F94,"")</f>
        <v/>
      </c>
      <c r="E1365" s="48" t="s">
        <v>116</v>
      </c>
    </row>
    <row r="1366" spans="2:5" x14ac:dyDescent="0.2">
      <c r="B1366" s="28" t="str">
        <f>IF(Oct!$C95="SI",Oct!$B$90,"")</f>
        <v/>
      </c>
      <c r="C1366" s="28" t="str">
        <f>IF(Oct!$C95="SI",Oct!$B95,"")</f>
        <v/>
      </c>
      <c r="D1366" s="28" t="str">
        <f>IF(Oct!$C95="SI",Oct!$F95,"")</f>
        <v/>
      </c>
      <c r="E1366" s="48" t="s">
        <v>116</v>
      </c>
    </row>
    <row r="1367" spans="2:5" x14ac:dyDescent="0.2">
      <c r="B1367" s="28" t="str">
        <f>IF(Oct!$C96="SI",Oct!$B$90,"")</f>
        <v/>
      </c>
      <c r="C1367" s="28" t="str">
        <f>IF(Oct!$C96="SI",Oct!$B96,"")</f>
        <v/>
      </c>
      <c r="D1367" s="28" t="str">
        <f>IF(Oct!$C96="SI",Oct!$F96,"")</f>
        <v/>
      </c>
      <c r="E1367" s="48" t="s">
        <v>116</v>
      </c>
    </row>
    <row r="1368" spans="2:5" x14ac:dyDescent="0.2">
      <c r="B1368" s="28" t="str">
        <f>IF(Oct!$C97="SI",Oct!$B$90,"")</f>
        <v/>
      </c>
      <c r="C1368" s="28" t="str">
        <f>IF(Oct!$C97="SI",Oct!$B97,"")</f>
        <v/>
      </c>
      <c r="D1368" s="28" t="str">
        <f>IF(Oct!$C97="SI",Oct!$F97,"")</f>
        <v/>
      </c>
      <c r="E1368" s="48" t="s">
        <v>116</v>
      </c>
    </row>
    <row r="1369" spans="2:5" x14ac:dyDescent="0.2">
      <c r="B1369" s="28" t="str">
        <f>IF(Oct!$C101="SI",Oct!$B$100,"")</f>
        <v/>
      </c>
      <c r="C1369" s="28" t="str">
        <f>IF(Oct!$C101="SI",Oct!$B101,"")</f>
        <v/>
      </c>
      <c r="D1369" s="28" t="str">
        <f>IF(Oct!$C101="SI",Oct!$F101,"")</f>
        <v/>
      </c>
      <c r="E1369" s="48" t="s">
        <v>116</v>
      </c>
    </row>
    <row r="1370" spans="2:5" x14ac:dyDescent="0.2">
      <c r="B1370" s="28" t="str">
        <f>IF(Oct!$C102="SI",Oct!$B$100,"")</f>
        <v/>
      </c>
      <c r="C1370" s="28" t="str">
        <f>IF(Oct!$C102="SI",Oct!$B102,"")</f>
        <v/>
      </c>
      <c r="D1370" s="28" t="str">
        <f>IF(Oct!$C102="SI",Oct!$F102,"")</f>
        <v/>
      </c>
      <c r="E1370" s="48" t="s">
        <v>116</v>
      </c>
    </row>
    <row r="1371" spans="2:5" x14ac:dyDescent="0.2">
      <c r="B1371" s="28" t="str">
        <f>IF(Oct!$C103="SI",Oct!$B$100,"")</f>
        <v/>
      </c>
      <c r="C1371" s="28" t="str">
        <f>IF(Oct!$C103="SI",Oct!$B103,"")</f>
        <v/>
      </c>
      <c r="D1371" s="28" t="str">
        <f>IF(Oct!$C103="SI",Oct!$F103,"")</f>
        <v/>
      </c>
      <c r="E1371" s="48" t="s">
        <v>116</v>
      </c>
    </row>
    <row r="1372" spans="2:5" x14ac:dyDescent="0.2">
      <c r="B1372" s="28" t="str">
        <f>IF(Oct!$C104="SI",Oct!$B$100,"")</f>
        <v/>
      </c>
      <c r="C1372" s="28" t="str">
        <f>IF(Oct!$C104="SI",Oct!$B104,"")</f>
        <v/>
      </c>
      <c r="D1372" s="28" t="str">
        <f>IF(Oct!$C104="SI",Oct!$F104,"")</f>
        <v/>
      </c>
      <c r="E1372" s="48" t="s">
        <v>116</v>
      </c>
    </row>
    <row r="1373" spans="2:5" x14ac:dyDescent="0.2">
      <c r="B1373" s="28" t="str">
        <f>IF(Oct!$C105="SI",Oct!$B$100,"")</f>
        <v/>
      </c>
      <c r="C1373" s="28" t="str">
        <f>IF(Oct!$C105="SI",Oct!$B105,"")</f>
        <v/>
      </c>
      <c r="D1373" s="28" t="str">
        <f>IF(Oct!$C105="SI",Oct!$F105,"")</f>
        <v/>
      </c>
      <c r="E1373" s="48" t="s">
        <v>116</v>
      </c>
    </row>
    <row r="1374" spans="2:5" x14ac:dyDescent="0.2">
      <c r="B1374" s="28" t="str">
        <f>IF(Oct!$C106="SI",Oct!$B$100,"")</f>
        <v/>
      </c>
      <c r="C1374" s="28" t="str">
        <f>IF(Oct!$C106="SI",Oct!$B106,"")</f>
        <v/>
      </c>
      <c r="D1374" s="28" t="str">
        <f>IF(Oct!$C106="SI",Oct!$F106,"")</f>
        <v/>
      </c>
      <c r="E1374" s="48" t="s">
        <v>116</v>
      </c>
    </row>
    <row r="1375" spans="2:5" x14ac:dyDescent="0.2">
      <c r="B1375" s="28" t="str">
        <f>IF(Oct!$C107="SI",Oct!$B$100,"")</f>
        <v/>
      </c>
      <c r="C1375" s="28" t="str">
        <f>IF(Oct!$C107="SI",Oct!$B107,"")</f>
        <v/>
      </c>
      <c r="D1375" s="28" t="str">
        <f>IF(Oct!$C107="SI",Oct!$F107,"")</f>
        <v/>
      </c>
      <c r="E1375" s="48" t="s">
        <v>116</v>
      </c>
    </row>
    <row r="1376" spans="2:5" x14ac:dyDescent="0.2">
      <c r="B1376" s="29"/>
      <c r="C1376" s="29"/>
      <c r="D1376" s="29"/>
      <c r="E1376" s="48" t="s">
        <v>116</v>
      </c>
    </row>
    <row r="1377" spans="2:5" x14ac:dyDescent="0.2">
      <c r="B1377" s="28" t="str">
        <f>IF(Oct!$I13="SI",Oct!$H$12,"")</f>
        <v>AHORROS</v>
      </c>
      <c r="C1377" s="28" t="str">
        <f>IF(Oct!$I13="SI",Oct!$H13,"")</f>
        <v>Fondo de Emergencia</v>
      </c>
      <c r="D1377" s="28">
        <f>IF(Oct!$I13="SI",Oct!$L13,"")</f>
        <v>0</v>
      </c>
      <c r="E1377" s="48" t="s">
        <v>116</v>
      </c>
    </row>
    <row r="1378" spans="2:5" x14ac:dyDescent="0.2">
      <c r="B1378" s="28" t="str">
        <f>IF(Oct!$I14="SI",Oct!$H$12,"")</f>
        <v/>
      </c>
      <c r="C1378" s="28" t="str">
        <f>IF(Oct!$I14="SI",Oct!$H14,"")</f>
        <v/>
      </c>
      <c r="D1378" s="28" t="str">
        <f>IF(Oct!$I14="SI",Oct!$L14,"")</f>
        <v/>
      </c>
      <c r="E1378" s="48" t="s">
        <v>116</v>
      </c>
    </row>
    <row r="1379" spans="2:5" x14ac:dyDescent="0.2">
      <c r="B1379" s="28" t="str">
        <f>IF(Oct!$I15="SI",Oct!$H$12,"")</f>
        <v/>
      </c>
      <c r="C1379" s="28" t="str">
        <f>IF(Oct!$I15="SI",Oct!$H15,"")</f>
        <v/>
      </c>
      <c r="D1379" s="28" t="str">
        <f>IF(Oct!$I15="SI",Oct!$L15,"")</f>
        <v/>
      </c>
      <c r="E1379" s="48" t="s">
        <v>116</v>
      </c>
    </row>
    <row r="1380" spans="2:5" x14ac:dyDescent="0.2">
      <c r="B1380" s="28" t="str">
        <f>IF(Oct!$I16="SI",Oct!$H$12,"")</f>
        <v/>
      </c>
      <c r="C1380" s="28" t="str">
        <f>IF(Oct!$I16="SI",Oct!$H16,"")</f>
        <v/>
      </c>
      <c r="D1380" s="28" t="str">
        <f>IF(Oct!$I16="SI",Oct!$L16,"")</f>
        <v/>
      </c>
      <c r="E1380" s="48" t="s">
        <v>116</v>
      </c>
    </row>
    <row r="1381" spans="2:5" x14ac:dyDescent="0.2">
      <c r="B1381" s="28" t="str">
        <f>IF(Oct!$I17="SI",Oct!$H$12,"")</f>
        <v/>
      </c>
      <c r="C1381" s="28" t="str">
        <f>IF(Oct!$I17="SI",Oct!$H17,"")</f>
        <v/>
      </c>
      <c r="D1381" s="28" t="str">
        <f>IF(Oct!$I17="SI",Oct!$L17,"")</f>
        <v/>
      </c>
      <c r="E1381" s="48" t="s">
        <v>116</v>
      </c>
    </row>
    <row r="1382" spans="2:5" x14ac:dyDescent="0.2">
      <c r="B1382" s="28" t="str">
        <f>IF(Oct!$I18="SI",Oct!$H$12,"")</f>
        <v/>
      </c>
      <c r="C1382" s="28" t="str">
        <f>IF(Oct!$I18="SI",Oct!$H18,"")</f>
        <v/>
      </c>
      <c r="D1382" s="28" t="str">
        <f>IF(Oct!$I18="SI",Oct!$L18,"")</f>
        <v/>
      </c>
      <c r="E1382" s="48" t="s">
        <v>116</v>
      </c>
    </row>
    <row r="1383" spans="2:5" x14ac:dyDescent="0.2">
      <c r="B1383" s="28" t="str">
        <f>IF(Oct!$I19="SI",Oct!$H$12,"")</f>
        <v/>
      </c>
      <c r="C1383" s="28" t="str">
        <f>IF(Oct!$I19="SI",Oct!$H19,"")</f>
        <v/>
      </c>
      <c r="D1383" s="28" t="str">
        <f>IF(Oct!$I19="SI",Oct!$L19,"")</f>
        <v/>
      </c>
      <c r="E1383" s="48" t="s">
        <v>116</v>
      </c>
    </row>
    <row r="1384" spans="2:5" x14ac:dyDescent="0.2">
      <c r="B1384" s="28" t="str">
        <f>IF(Oct!$I20="SI",Oct!$H$12,"")</f>
        <v/>
      </c>
      <c r="C1384" s="28" t="str">
        <f>IF(Oct!$I20="SI",Oct!$H20,"")</f>
        <v/>
      </c>
      <c r="D1384" s="28" t="str">
        <f>IF(Oct!$I20="SI",Oct!$L20,"")</f>
        <v/>
      </c>
      <c r="E1384" s="48" t="s">
        <v>116</v>
      </c>
    </row>
    <row r="1385" spans="2:5" x14ac:dyDescent="0.2">
      <c r="B1385" s="28" t="str">
        <f>IF(Oct!$I21="SI",Oct!$H$12,"")</f>
        <v/>
      </c>
      <c r="C1385" s="28" t="str">
        <f>IF(Oct!$I21="SI",Oct!$H21,"")</f>
        <v/>
      </c>
      <c r="D1385" s="28" t="str">
        <f>IF(Oct!$I21="SI",Oct!$L21,"")</f>
        <v/>
      </c>
      <c r="E1385" s="48" t="s">
        <v>116</v>
      </c>
    </row>
    <row r="1386" spans="2:5" x14ac:dyDescent="0.2">
      <c r="B1386" s="28" t="str">
        <f>IF(Oct!$I22="SI",Oct!$H$12,"")</f>
        <v/>
      </c>
      <c r="C1386" s="28" t="str">
        <f>IF(Oct!$I22="SI",Oct!$H22,"")</f>
        <v/>
      </c>
      <c r="D1386" s="28" t="str">
        <f>IF(Oct!$I22="SI",Oct!$L22,"")</f>
        <v/>
      </c>
      <c r="E1386" s="48" t="s">
        <v>116</v>
      </c>
    </row>
    <row r="1387" spans="2:5" x14ac:dyDescent="0.2">
      <c r="B1387" s="28" t="str">
        <f>IF(Oct!$I23="SI",Oct!$H$12,"")</f>
        <v/>
      </c>
      <c r="C1387" s="28" t="str">
        <f>IF(Oct!$I23="SI",Oct!$H23,"")</f>
        <v/>
      </c>
      <c r="D1387" s="28" t="str">
        <f>IF(Oct!$I23="SI",Oct!$L23,"")</f>
        <v/>
      </c>
      <c r="E1387" s="48" t="s">
        <v>116</v>
      </c>
    </row>
    <row r="1388" spans="2:5" x14ac:dyDescent="0.2">
      <c r="B1388" s="28" t="str">
        <f>IF(Oct!$I24="SI",Oct!$H$12,"")</f>
        <v/>
      </c>
      <c r="C1388" s="28" t="str">
        <f>IF(Oct!$I24="SI",Oct!$H24,"")</f>
        <v/>
      </c>
      <c r="D1388" s="28" t="str">
        <f>IF(Oct!$I24="SI",Oct!$L24,"")</f>
        <v/>
      </c>
      <c r="E1388" s="48" t="s">
        <v>116</v>
      </c>
    </row>
    <row r="1389" spans="2:5" x14ac:dyDescent="0.2">
      <c r="B1389" s="28" t="str">
        <f>IF(Oct!$I28="SI",Oct!$H$27,"")</f>
        <v/>
      </c>
      <c r="C1389" s="28" t="str">
        <f>IF(Oct!$I28="SI",Oct!$H28,"")</f>
        <v/>
      </c>
      <c r="D1389" s="28" t="str">
        <f>IF(Oct!$I28="SI",Oct!$L28,"")</f>
        <v/>
      </c>
      <c r="E1389" s="48" t="s">
        <v>116</v>
      </c>
    </row>
    <row r="1390" spans="2:5" x14ac:dyDescent="0.2">
      <c r="B1390" s="28" t="str">
        <f>IF(Oct!$I29="SI",Oct!$H$27,"")</f>
        <v/>
      </c>
      <c r="C1390" s="28" t="str">
        <f>IF(Oct!$I29="SI",Oct!$H29,"")</f>
        <v/>
      </c>
      <c r="D1390" s="28" t="str">
        <f>IF(Oct!$I29="SI",Oct!$L29,"")</f>
        <v/>
      </c>
      <c r="E1390" s="48" t="s">
        <v>116</v>
      </c>
    </row>
    <row r="1391" spans="2:5" x14ac:dyDescent="0.2">
      <c r="B1391" s="28" t="str">
        <f>IF(Oct!$I30="SI",Oct!$H$27,"")</f>
        <v/>
      </c>
      <c r="C1391" s="28" t="str">
        <f>IF(Oct!$I30="SI",Oct!$H30,"")</f>
        <v/>
      </c>
      <c r="D1391" s="28" t="str">
        <f>IF(Oct!$I30="SI",Oct!$L30,"")</f>
        <v/>
      </c>
      <c r="E1391" s="48" t="s">
        <v>116</v>
      </c>
    </row>
    <row r="1392" spans="2:5" x14ac:dyDescent="0.2">
      <c r="B1392" s="28" t="str">
        <f>IF(Oct!$I31="SI",Oct!$H$27,"")</f>
        <v/>
      </c>
      <c r="C1392" s="28" t="str">
        <f>IF(Oct!$I31="SI",Oct!$H31,"")</f>
        <v/>
      </c>
      <c r="D1392" s="28" t="str">
        <f>IF(Oct!$I31="SI",Oct!$L31,"")</f>
        <v/>
      </c>
      <c r="E1392" s="48" t="s">
        <v>116</v>
      </c>
    </row>
    <row r="1393" spans="2:5" x14ac:dyDescent="0.2">
      <c r="B1393" s="28" t="str">
        <f>IF(Oct!$I32="SI",Oct!$H$27,"")</f>
        <v/>
      </c>
      <c r="C1393" s="28" t="str">
        <f>IF(Oct!$I32="SI",Oct!$H32,"")</f>
        <v/>
      </c>
      <c r="D1393" s="28" t="str">
        <f>IF(Oct!$I32="SI",Oct!$L32,"")</f>
        <v/>
      </c>
      <c r="E1393" s="48" t="s">
        <v>116</v>
      </c>
    </row>
    <row r="1394" spans="2:5" x14ac:dyDescent="0.2">
      <c r="B1394" s="28" t="str">
        <f>IF(Oct!$I33="SI",Oct!$H$27,"")</f>
        <v/>
      </c>
      <c r="C1394" s="28" t="str">
        <f>IF(Oct!$I33="SI",Oct!$H33,"")</f>
        <v/>
      </c>
      <c r="D1394" s="28" t="str">
        <f>IF(Oct!$I33="SI",Oct!$L33,"")</f>
        <v/>
      </c>
      <c r="E1394" s="48" t="s">
        <v>116</v>
      </c>
    </row>
    <row r="1395" spans="2:5" x14ac:dyDescent="0.2">
      <c r="B1395" s="28" t="str">
        <f>IF(Oct!$I34="SI",Oct!$H$27,"")</f>
        <v/>
      </c>
      <c r="C1395" s="28" t="str">
        <f>IF(Oct!$I34="SI",Oct!$H34,"")</f>
        <v/>
      </c>
      <c r="D1395" s="28" t="str">
        <f>IF(Oct!$I34="SI",Oct!$L34,"")</f>
        <v/>
      </c>
      <c r="E1395" s="48" t="s">
        <v>116</v>
      </c>
    </row>
    <row r="1396" spans="2:5" x14ac:dyDescent="0.2">
      <c r="B1396" s="28" t="str">
        <f>IF(Oct!$I35="SI",Oct!$H$27,"")</f>
        <v/>
      </c>
      <c r="C1396" s="28" t="str">
        <f>IF(Oct!$I35="SI",Oct!$H35,"")</f>
        <v/>
      </c>
      <c r="D1396" s="28" t="str">
        <f>IF(Oct!$I35="SI",Oct!$L35,"")</f>
        <v/>
      </c>
      <c r="E1396" s="48" t="s">
        <v>116</v>
      </c>
    </row>
    <row r="1397" spans="2:5" x14ac:dyDescent="0.2">
      <c r="B1397" s="28" t="str">
        <f>IF(Oct!$I39="SI",Oct!$H$38,"")</f>
        <v/>
      </c>
      <c r="C1397" s="28" t="str">
        <f>IF(Oct!$I39="SI",Oct!$H39,"")</f>
        <v/>
      </c>
      <c r="D1397" s="28" t="str">
        <f>IF(Oct!$I39="SI",Oct!$L39,"")</f>
        <v/>
      </c>
      <c r="E1397" s="48" t="s">
        <v>116</v>
      </c>
    </row>
    <row r="1398" spans="2:5" x14ac:dyDescent="0.2">
      <c r="B1398" s="28" t="str">
        <f>IF(Oct!$I40="SI",Oct!$H$38,"")</f>
        <v/>
      </c>
      <c r="C1398" s="28" t="str">
        <f>IF(Oct!$I40="SI",Oct!$H40,"")</f>
        <v/>
      </c>
      <c r="D1398" s="28" t="str">
        <f>IF(Oct!$I40="SI",Oct!$L40,"")</f>
        <v/>
      </c>
      <c r="E1398" s="48" t="s">
        <v>116</v>
      </c>
    </row>
    <row r="1399" spans="2:5" x14ac:dyDescent="0.2">
      <c r="B1399" s="28" t="str">
        <f>IF(Oct!$I41="SI",Oct!$H$38,"")</f>
        <v/>
      </c>
      <c r="C1399" s="28" t="str">
        <f>IF(Oct!$I41="SI",Oct!$H41,"")</f>
        <v/>
      </c>
      <c r="D1399" s="28" t="str">
        <f>IF(Oct!$I41="SI",Oct!$L41,"")</f>
        <v/>
      </c>
      <c r="E1399" s="48" t="s">
        <v>116</v>
      </c>
    </row>
    <row r="1400" spans="2:5" x14ac:dyDescent="0.2">
      <c r="B1400" s="28" t="str">
        <f>IF(Oct!$I42="SI",Oct!$H$38,"")</f>
        <v/>
      </c>
      <c r="C1400" s="28" t="str">
        <f>IF(Oct!$I42="SI",Oct!$H42,"")</f>
        <v/>
      </c>
      <c r="D1400" s="28" t="str">
        <f>IF(Oct!$I42="SI",Oct!$L42,"")</f>
        <v/>
      </c>
      <c r="E1400" s="48" t="s">
        <v>116</v>
      </c>
    </row>
    <row r="1401" spans="2:5" x14ac:dyDescent="0.2">
      <c r="B1401" s="28" t="str">
        <f>IF(Oct!$I43="SI",Oct!$H$38,"")</f>
        <v/>
      </c>
      <c r="C1401" s="28" t="str">
        <f>IF(Oct!$I43="SI",Oct!$H43,"")</f>
        <v/>
      </c>
      <c r="D1401" s="28" t="str">
        <f>IF(Oct!$I43="SI",Oct!$L43,"")</f>
        <v/>
      </c>
      <c r="E1401" s="48" t="s">
        <v>116</v>
      </c>
    </row>
    <row r="1402" spans="2:5" x14ac:dyDescent="0.2">
      <c r="B1402" s="28" t="str">
        <f>IF(Oct!$I44="SI",Oct!$H$38,"")</f>
        <v/>
      </c>
      <c r="C1402" s="28" t="str">
        <f>IF(Oct!$I44="SI",Oct!$H44,"")</f>
        <v/>
      </c>
      <c r="D1402" s="28" t="str">
        <f>IF(Oct!$I44="SI",Oct!$L44,"")</f>
        <v/>
      </c>
      <c r="E1402" s="48" t="s">
        <v>116</v>
      </c>
    </row>
    <row r="1403" spans="2:5" x14ac:dyDescent="0.2">
      <c r="B1403" s="28" t="str">
        <f>IF(Oct!$I45="SI",Oct!$H$38,"")</f>
        <v/>
      </c>
      <c r="C1403" s="28" t="str">
        <f>IF(Oct!$I45="SI",Oct!$H45,"")</f>
        <v/>
      </c>
      <c r="D1403" s="28" t="str">
        <f>IF(Oct!$I45="SI",Oct!$L45,"")</f>
        <v/>
      </c>
      <c r="E1403" s="48" t="s">
        <v>116</v>
      </c>
    </row>
    <row r="1404" spans="2:5" x14ac:dyDescent="0.2">
      <c r="B1404" s="28" t="str">
        <f>IF(Oct!$I49="SI",Oct!$H$48,"")</f>
        <v/>
      </c>
      <c r="C1404" s="28" t="str">
        <f>IF(Oct!$I49="SI",Oct!$H49,"")</f>
        <v/>
      </c>
      <c r="D1404" s="28" t="str">
        <f>IF(Oct!$I49="SI",Oct!$L49,"")</f>
        <v/>
      </c>
      <c r="E1404" s="48" t="s">
        <v>116</v>
      </c>
    </row>
    <row r="1405" spans="2:5" x14ac:dyDescent="0.2">
      <c r="B1405" s="28" t="str">
        <f>IF(Oct!$I50="SI",Oct!$H$48,"")</f>
        <v/>
      </c>
      <c r="C1405" s="28" t="str">
        <f>IF(Oct!$I50="SI",Oct!$H50,"")</f>
        <v/>
      </c>
      <c r="D1405" s="28" t="str">
        <f>IF(Oct!$I50="SI",Oct!$L50,"")</f>
        <v/>
      </c>
      <c r="E1405" s="48" t="s">
        <v>116</v>
      </c>
    </row>
    <row r="1406" spans="2:5" x14ac:dyDescent="0.2">
      <c r="B1406" s="28" t="str">
        <f>IF(Oct!$I51="SI",Oct!$H$48,"")</f>
        <v/>
      </c>
      <c r="C1406" s="28" t="str">
        <f>IF(Oct!$I51="SI",Oct!$H51,"")</f>
        <v/>
      </c>
      <c r="D1406" s="28" t="str">
        <f>IF(Oct!$I51="SI",Oct!$L51,"")</f>
        <v/>
      </c>
      <c r="E1406" s="48" t="s">
        <v>116</v>
      </c>
    </row>
    <row r="1407" spans="2:5" x14ac:dyDescent="0.2">
      <c r="B1407" s="28" t="str">
        <f>IF(Oct!$I52="SI",Oct!$H$48,"")</f>
        <v/>
      </c>
      <c r="C1407" s="28" t="str">
        <f>IF(Oct!$I52="SI",Oct!$H52,"")</f>
        <v/>
      </c>
      <c r="D1407" s="28" t="str">
        <f>IF(Oct!$I52="SI",Oct!$L52,"")</f>
        <v/>
      </c>
      <c r="E1407" s="48" t="s">
        <v>116</v>
      </c>
    </row>
    <row r="1408" spans="2:5" x14ac:dyDescent="0.2">
      <c r="B1408" s="28" t="str">
        <f>IF(Oct!$I53="SI",Oct!$H$48,"")</f>
        <v/>
      </c>
      <c r="C1408" s="28" t="str">
        <f>IF(Oct!$I53="SI",Oct!$H53,"")</f>
        <v/>
      </c>
      <c r="D1408" s="28" t="str">
        <f>IF(Oct!$I53="SI",Oct!$L53,"")</f>
        <v/>
      </c>
      <c r="E1408" s="48" t="s">
        <v>116</v>
      </c>
    </row>
    <row r="1409" spans="2:5" x14ac:dyDescent="0.2">
      <c r="B1409" s="28" t="str">
        <f>IF(Oct!$I54="SI",Oct!$H$48,"")</f>
        <v/>
      </c>
      <c r="C1409" s="28" t="str">
        <f>IF(Oct!$I54="SI",Oct!$H54,"")</f>
        <v/>
      </c>
      <c r="D1409" s="28" t="str">
        <f>IF(Oct!$I54="SI",Oct!$L54,"")</f>
        <v/>
      </c>
      <c r="E1409" s="48" t="s">
        <v>116</v>
      </c>
    </row>
    <row r="1410" spans="2:5" x14ac:dyDescent="0.2">
      <c r="B1410" s="28" t="str">
        <f>IF(Oct!$I58="SI",Oct!$H$57,"")</f>
        <v/>
      </c>
      <c r="C1410" s="28" t="str">
        <f>IF(Oct!$I58="SI",Oct!$H58,"")</f>
        <v/>
      </c>
      <c r="D1410" s="28" t="str">
        <f>IF(Oct!$I58="SI",Oct!$L58,"")</f>
        <v/>
      </c>
      <c r="E1410" s="48" t="s">
        <v>116</v>
      </c>
    </row>
    <row r="1411" spans="2:5" x14ac:dyDescent="0.2">
      <c r="B1411" s="28" t="str">
        <f>IF(Oct!$I59="SI",Oct!$H$57,"")</f>
        <v/>
      </c>
      <c r="C1411" s="28" t="str">
        <f>IF(Oct!$I59="SI",Oct!$H59,"")</f>
        <v/>
      </c>
      <c r="D1411" s="28" t="str">
        <f>IF(Oct!$I59="SI",Oct!$L59,"")</f>
        <v/>
      </c>
      <c r="E1411" s="48" t="s">
        <v>116</v>
      </c>
    </row>
    <row r="1412" spans="2:5" x14ac:dyDescent="0.2">
      <c r="B1412" s="28" t="str">
        <f>IF(Oct!$I60="SI",Oct!$H$57,"")</f>
        <v/>
      </c>
      <c r="C1412" s="28" t="str">
        <f>IF(Oct!$I60="SI",Oct!$H60,"")</f>
        <v/>
      </c>
      <c r="D1412" s="28" t="str">
        <f>IF(Oct!$I60="SI",Oct!$L60,"")</f>
        <v/>
      </c>
      <c r="E1412" s="48" t="s">
        <v>116</v>
      </c>
    </row>
    <row r="1413" spans="2:5" x14ac:dyDescent="0.2">
      <c r="B1413" s="28" t="str">
        <f>IF(Oct!$I61="SI",Oct!$H$57,"")</f>
        <v/>
      </c>
      <c r="C1413" s="28" t="str">
        <f>IF(Oct!$I61="SI",Oct!$H61,"")</f>
        <v/>
      </c>
      <c r="D1413" s="28" t="str">
        <f>IF(Oct!$I61="SI",Oct!$L61,"")</f>
        <v/>
      </c>
      <c r="E1413" s="48" t="s">
        <v>116</v>
      </c>
    </row>
    <row r="1414" spans="2:5" x14ac:dyDescent="0.2">
      <c r="B1414" s="28" t="str">
        <f>IF(Oct!$I62="SI",Oct!$H$57,"")</f>
        <v/>
      </c>
      <c r="C1414" s="28" t="str">
        <f>IF(Oct!$I62="SI",Oct!$H62,"")</f>
        <v/>
      </c>
      <c r="D1414" s="28" t="str">
        <f>IF(Oct!$I62="SI",Oct!$L62,"")</f>
        <v/>
      </c>
      <c r="E1414" s="48" t="s">
        <v>116</v>
      </c>
    </row>
    <row r="1415" spans="2:5" x14ac:dyDescent="0.2">
      <c r="B1415" s="28" t="str">
        <f>IF(Oct!$I63="SI",Oct!$H$57,"")</f>
        <v/>
      </c>
      <c r="C1415" s="28" t="str">
        <f>IF(Oct!$I63="SI",Oct!$H63,"")</f>
        <v/>
      </c>
      <c r="D1415" s="28" t="str">
        <f>IF(Oct!$I63="SI",Oct!$L63,"")</f>
        <v/>
      </c>
      <c r="E1415" s="48" t="s">
        <v>116</v>
      </c>
    </row>
    <row r="1416" spans="2:5" x14ac:dyDescent="0.2">
      <c r="B1416" s="28" t="str">
        <f>IF(Oct!$I64="SI",Oct!$H$57,"")</f>
        <v/>
      </c>
      <c r="C1416" s="28" t="str">
        <f>IF(Oct!$I64="SI",Oct!$H64,"")</f>
        <v/>
      </c>
      <c r="D1416" s="28" t="str">
        <f>IF(Oct!$I64="SI",Oct!$L64,"")</f>
        <v/>
      </c>
      <c r="E1416" s="48" t="s">
        <v>116</v>
      </c>
    </row>
    <row r="1417" spans="2:5" x14ac:dyDescent="0.2">
      <c r="B1417" s="28" t="str">
        <f>IF(Oct!$I68="SI",Oct!$H$67,"")</f>
        <v/>
      </c>
      <c r="C1417" s="28" t="str">
        <f>IF(Oct!$I68="SI",Oct!$H68,"")</f>
        <v/>
      </c>
      <c r="D1417" s="28" t="str">
        <f>IF(Oct!$I68="SI",Oct!$L68,"")</f>
        <v/>
      </c>
      <c r="E1417" s="48" t="s">
        <v>116</v>
      </c>
    </row>
    <row r="1418" spans="2:5" x14ac:dyDescent="0.2">
      <c r="B1418" s="28" t="str">
        <f>IF(Oct!$I69="SI",Oct!$H$67,"")</f>
        <v/>
      </c>
      <c r="C1418" s="28" t="str">
        <f>IF(Oct!$I69="SI",Oct!$H69,"")</f>
        <v/>
      </c>
      <c r="D1418" s="28" t="str">
        <f>IF(Oct!$I69="SI",Oct!$L69,"")</f>
        <v/>
      </c>
      <c r="E1418" s="48" t="s">
        <v>116</v>
      </c>
    </row>
    <row r="1419" spans="2:5" x14ac:dyDescent="0.2">
      <c r="B1419" s="28" t="str">
        <f>IF(Oct!$I70="SI",Oct!$H$67,"")</f>
        <v/>
      </c>
      <c r="C1419" s="28" t="str">
        <f>IF(Oct!$I70="SI",Oct!$H70,"")</f>
        <v/>
      </c>
      <c r="D1419" s="28" t="str">
        <f>IF(Oct!$I70="SI",Oct!$L70,"")</f>
        <v/>
      </c>
      <c r="E1419" s="48" t="s">
        <v>116</v>
      </c>
    </row>
    <row r="1420" spans="2:5" x14ac:dyDescent="0.2">
      <c r="B1420" s="28" t="str">
        <f>IF(Oct!$I71="SI",Oct!$H$67,"")</f>
        <v/>
      </c>
      <c r="C1420" s="28" t="str">
        <f>IF(Oct!$I71="SI",Oct!$H71,"")</f>
        <v/>
      </c>
      <c r="D1420" s="28" t="str">
        <f>IF(Oct!$I71="SI",Oct!$L71,"")</f>
        <v/>
      </c>
      <c r="E1420" s="48" t="s">
        <v>116</v>
      </c>
    </row>
    <row r="1421" spans="2:5" x14ac:dyDescent="0.2">
      <c r="B1421" s="28" t="str">
        <f>IF(Oct!$I72="SI",Oct!$H$67,"")</f>
        <v/>
      </c>
      <c r="C1421" s="28" t="str">
        <f>IF(Oct!$I72="SI",Oct!$H72,"")</f>
        <v/>
      </c>
      <c r="D1421" s="28" t="str">
        <f>IF(Oct!$I72="SI",Oct!$L72,"")</f>
        <v/>
      </c>
      <c r="E1421" s="48" t="s">
        <v>116</v>
      </c>
    </row>
    <row r="1422" spans="2:5" x14ac:dyDescent="0.2">
      <c r="B1422" s="28" t="str">
        <f>IF(Oct!$I73="SI",Oct!$H$67,"")</f>
        <v/>
      </c>
      <c r="C1422" s="28" t="str">
        <f>IF(Oct!$I73="SI",Oct!$H73,"")</f>
        <v/>
      </c>
      <c r="D1422" s="28" t="str">
        <f>IF(Oct!$I73="SI",Oct!$L73,"")</f>
        <v/>
      </c>
      <c r="E1422" s="48" t="s">
        <v>116</v>
      </c>
    </row>
    <row r="1423" spans="2:5" x14ac:dyDescent="0.2">
      <c r="B1423" s="28" t="str">
        <f>IF(Oct!$I74="SI",Oct!$H$67,"")</f>
        <v/>
      </c>
      <c r="C1423" s="28" t="str">
        <f>IF(Oct!$I74="SI",Oct!$H74,"")</f>
        <v/>
      </c>
      <c r="D1423" s="28" t="str">
        <f>IF(Oct!$I74="SI",Oct!$L74,"")</f>
        <v/>
      </c>
      <c r="E1423" s="48" t="s">
        <v>116</v>
      </c>
    </row>
    <row r="1424" spans="2:5" x14ac:dyDescent="0.2">
      <c r="B1424" s="28" t="str">
        <f>IF(Oct!$I75="SI",Oct!$H$67,"")</f>
        <v/>
      </c>
      <c r="C1424" s="28" t="str">
        <f>IF(Oct!$I75="SI",Oct!$H75,"")</f>
        <v/>
      </c>
      <c r="D1424" s="28" t="str">
        <f>IF(Oct!$I75="SI",Oct!$L75,"")</f>
        <v/>
      </c>
      <c r="E1424" s="48" t="s">
        <v>116</v>
      </c>
    </row>
    <row r="1425" spans="2:5" x14ac:dyDescent="0.2">
      <c r="B1425" s="28" t="str">
        <f>IF(Oct!$I76="SI",Oct!$H$67,"")</f>
        <v/>
      </c>
      <c r="C1425" s="28" t="str">
        <f>IF(Oct!$I76="SI",Oct!$H76,"")</f>
        <v/>
      </c>
      <c r="D1425" s="28" t="str">
        <f>IF(Oct!$I76="SI",Oct!$L76,"")</f>
        <v/>
      </c>
      <c r="E1425" s="48" t="s">
        <v>116</v>
      </c>
    </row>
    <row r="1426" spans="2:5" x14ac:dyDescent="0.2">
      <c r="B1426" s="28" t="str">
        <f>IF(Oct!$I77="SI",Oct!$H$67,"")</f>
        <v/>
      </c>
      <c r="C1426" s="28" t="str">
        <f>IF(Oct!$I77="SI",Oct!$H77,"")</f>
        <v/>
      </c>
      <c r="D1426" s="28" t="str">
        <f>IF(Oct!$I77="SI",Oct!$L77,"")</f>
        <v/>
      </c>
      <c r="E1426" s="48" t="s">
        <v>116</v>
      </c>
    </row>
    <row r="1427" spans="2:5" x14ac:dyDescent="0.2">
      <c r="B1427" s="28" t="str">
        <f>IF(Oct!$I78="SI",Oct!$H$67,"")</f>
        <v/>
      </c>
      <c r="C1427" s="28" t="str">
        <f>IF(Oct!$I78="SI",Oct!$H78,"")</f>
        <v/>
      </c>
      <c r="D1427" s="28" t="str">
        <f>IF(Oct!$I78="SI",Oct!$L78,"")</f>
        <v/>
      </c>
      <c r="E1427" s="48" t="s">
        <v>116</v>
      </c>
    </row>
    <row r="1428" spans="2:5" x14ac:dyDescent="0.2">
      <c r="B1428" s="28" t="str">
        <f>IF(Oct!$I82="SI",Oct!$H$81,"")</f>
        <v/>
      </c>
      <c r="C1428" s="28" t="str">
        <f>IF(Oct!$I82="SI",Oct!$H82,"")</f>
        <v/>
      </c>
      <c r="D1428" s="28" t="str">
        <f>IF(Oct!$I82="SI",Oct!$L82,"")</f>
        <v/>
      </c>
      <c r="E1428" s="48" t="s">
        <v>116</v>
      </c>
    </row>
    <row r="1429" spans="2:5" x14ac:dyDescent="0.2">
      <c r="B1429" s="28" t="str">
        <f>IF(Oct!$I83="SI",Oct!$H$81,"")</f>
        <v/>
      </c>
      <c r="C1429" s="28" t="str">
        <f>IF(Oct!$I83="SI",Oct!$H83,"")</f>
        <v/>
      </c>
      <c r="D1429" s="28" t="str">
        <f>IF(Oct!$I83="SI",Oct!$L83,"")</f>
        <v/>
      </c>
      <c r="E1429" s="48" t="s">
        <v>116</v>
      </c>
    </row>
    <row r="1430" spans="2:5" x14ac:dyDescent="0.2">
      <c r="B1430" s="28" t="str">
        <f>IF(Oct!$I84="SI",Oct!$H$81,"")</f>
        <v/>
      </c>
      <c r="C1430" s="28" t="str">
        <f>IF(Oct!$I84="SI",Oct!$H84,"")</f>
        <v/>
      </c>
      <c r="D1430" s="28" t="str">
        <f>IF(Oct!$I84="SI",Oct!$L84,"")</f>
        <v/>
      </c>
      <c r="E1430" s="48" t="s">
        <v>116</v>
      </c>
    </row>
    <row r="1431" spans="2:5" x14ac:dyDescent="0.2">
      <c r="B1431" s="28" t="str">
        <f>IF(Oct!$I85="SI",Oct!$H$81,"")</f>
        <v/>
      </c>
      <c r="C1431" s="28" t="str">
        <f>IF(Oct!$I85="SI",Oct!$H85,"")</f>
        <v/>
      </c>
      <c r="D1431" s="28" t="str">
        <f>IF(Oct!$I85="SI",Oct!$L85,"")</f>
        <v/>
      </c>
      <c r="E1431" s="48" t="s">
        <v>116</v>
      </c>
    </row>
    <row r="1432" spans="2:5" x14ac:dyDescent="0.2">
      <c r="B1432" s="28" t="str">
        <f>IF(Oct!$I86="SI",Oct!$H$81,"")</f>
        <v/>
      </c>
      <c r="C1432" s="28" t="str">
        <f>IF(Oct!$I86="SI",Oct!$H86,"")</f>
        <v/>
      </c>
      <c r="D1432" s="28" t="str">
        <f>IF(Oct!$I86="SI",Oct!$L86,"")</f>
        <v/>
      </c>
      <c r="E1432" s="48" t="s">
        <v>116</v>
      </c>
    </row>
    <row r="1433" spans="2:5" x14ac:dyDescent="0.2">
      <c r="B1433" s="28" t="str">
        <f>IF(Oct!$I87="SI",Oct!$H$81,"")</f>
        <v/>
      </c>
      <c r="C1433" s="28" t="str">
        <f>IF(Oct!$I87="SI",Oct!$H87,"")</f>
        <v/>
      </c>
      <c r="D1433" s="28" t="str">
        <f>IF(Oct!$I87="SI",Oct!$L87,"")</f>
        <v/>
      </c>
      <c r="E1433" s="48" t="s">
        <v>116</v>
      </c>
    </row>
    <row r="1434" spans="2:5" x14ac:dyDescent="0.2">
      <c r="B1434" s="28" t="str">
        <f>IF(Oct!$I91="SI",Oct!$H$90,"")</f>
        <v/>
      </c>
      <c r="C1434" s="28" t="str">
        <f>IF(Oct!$I91="SI",Oct!$H91,"")</f>
        <v/>
      </c>
      <c r="D1434" s="28" t="str">
        <f>IF(Oct!$I91="SI",Oct!$L91,"")</f>
        <v/>
      </c>
      <c r="E1434" s="48" t="s">
        <v>116</v>
      </c>
    </row>
    <row r="1435" spans="2:5" x14ac:dyDescent="0.2">
      <c r="B1435" s="28" t="str">
        <f>IF(Oct!$I92="SI",Oct!$H$90,"")</f>
        <v/>
      </c>
      <c r="C1435" s="28" t="str">
        <f>IF(Oct!$I92="SI",Oct!$H92,"")</f>
        <v/>
      </c>
      <c r="D1435" s="28" t="str">
        <f>IF(Oct!$I92="SI",Oct!$L92,"")</f>
        <v/>
      </c>
      <c r="E1435" s="48" t="s">
        <v>116</v>
      </c>
    </row>
    <row r="1436" spans="2:5" x14ac:dyDescent="0.2">
      <c r="B1436" s="28" t="str">
        <f>IF(Oct!$I93="SI",Oct!$H$90,"")</f>
        <v/>
      </c>
      <c r="C1436" s="28" t="str">
        <f>IF(Oct!$I93="SI",Oct!$H93,"")</f>
        <v/>
      </c>
      <c r="D1436" s="28" t="str">
        <f>IF(Oct!$I93="SI",Oct!$L93,"")</f>
        <v/>
      </c>
      <c r="E1436" s="48" t="s">
        <v>116</v>
      </c>
    </row>
    <row r="1437" spans="2:5" x14ac:dyDescent="0.2">
      <c r="B1437" s="28" t="str">
        <f>IF(Oct!$I94="SI",Oct!$H$90,"")</f>
        <v/>
      </c>
      <c r="C1437" s="28" t="str">
        <f>IF(Oct!$I94="SI",Oct!$H94,"")</f>
        <v/>
      </c>
      <c r="D1437" s="28" t="str">
        <f>IF(Oct!$I94="SI",Oct!$L94,"")</f>
        <v/>
      </c>
      <c r="E1437" s="48" t="s">
        <v>116</v>
      </c>
    </row>
    <row r="1438" spans="2:5" x14ac:dyDescent="0.2">
      <c r="B1438" s="28" t="str">
        <f>IF(Oct!$I95="SI",Oct!$H$90,"")</f>
        <v/>
      </c>
      <c r="C1438" s="28" t="str">
        <f>IF(Oct!$I95="SI",Oct!$H95,"")</f>
        <v/>
      </c>
      <c r="D1438" s="28" t="str">
        <f>IF(Oct!$I95="SI",Oct!$L95,"")</f>
        <v/>
      </c>
      <c r="E1438" s="48" t="s">
        <v>116</v>
      </c>
    </row>
    <row r="1439" spans="2:5" x14ac:dyDescent="0.2">
      <c r="B1439" s="28" t="str">
        <f>IF(Oct!$I96="SI",Oct!$H$90,"")</f>
        <v/>
      </c>
      <c r="C1439" s="28" t="str">
        <f>IF(Oct!$I96="SI",Oct!$H96,"")</f>
        <v/>
      </c>
      <c r="D1439" s="28" t="str">
        <f>IF(Oct!$I96="SI",Oct!$L96,"")</f>
        <v/>
      </c>
      <c r="E1439" s="48" t="s">
        <v>116</v>
      </c>
    </row>
    <row r="1440" spans="2:5" x14ac:dyDescent="0.2">
      <c r="B1440" s="28" t="str">
        <f>IF(Oct!$I97="SI",Oct!$H$90,"")</f>
        <v/>
      </c>
      <c r="C1440" s="28" t="str">
        <f>IF(Oct!$I97="SI",Oct!$H97,"")</f>
        <v/>
      </c>
      <c r="D1440" s="28" t="str">
        <f>IF(Oct!$I97="SI",Oct!$L97,"")</f>
        <v/>
      </c>
      <c r="E1440" s="48" t="s">
        <v>116</v>
      </c>
    </row>
    <row r="1441" spans="2:5" x14ac:dyDescent="0.2">
      <c r="B1441" s="28" t="str">
        <f>IF(Oct!$I101="SI",Oct!$H$100,"")</f>
        <v/>
      </c>
      <c r="C1441" s="28" t="str">
        <f>IF(Oct!$I101="SI",Oct!$H101,"")</f>
        <v/>
      </c>
      <c r="D1441" s="28" t="str">
        <f>IF(Oct!$I101="SI",Oct!$L101,"")</f>
        <v/>
      </c>
      <c r="E1441" s="48" t="s">
        <v>116</v>
      </c>
    </row>
    <row r="1442" spans="2:5" x14ac:dyDescent="0.2">
      <c r="B1442" s="28" t="str">
        <f>IF(Oct!$I102="SI",Oct!$H$100,"")</f>
        <v/>
      </c>
      <c r="C1442" s="28" t="str">
        <f>IF(Oct!$I102="SI",Oct!$H102,"")</f>
        <v/>
      </c>
      <c r="D1442" s="28" t="str">
        <f>IF(Oct!$I102="SI",Oct!$L102,"")</f>
        <v/>
      </c>
      <c r="E1442" s="48" t="s">
        <v>116</v>
      </c>
    </row>
    <row r="1443" spans="2:5" x14ac:dyDescent="0.2">
      <c r="B1443" s="28" t="str">
        <f>IF(Oct!$I103="SI",Oct!$H$100,"")</f>
        <v/>
      </c>
      <c r="C1443" s="28" t="str">
        <f>IF(Oct!$I103="SI",Oct!$H103,"")</f>
        <v/>
      </c>
      <c r="D1443" s="28" t="str">
        <f>IF(Oct!$I103="SI",Oct!$L103,"")</f>
        <v/>
      </c>
      <c r="E1443" s="48" t="s">
        <v>116</v>
      </c>
    </row>
    <row r="1444" spans="2:5" x14ac:dyDescent="0.2">
      <c r="B1444" s="28" t="str">
        <f>IF(Oct!$I104="SI",Oct!$H$100,"")</f>
        <v/>
      </c>
      <c r="C1444" s="28" t="str">
        <f>IF(Oct!$I104="SI",Oct!$H104,"")</f>
        <v/>
      </c>
      <c r="D1444" s="28" t="str">
        <f>IF(Oct!$I104="SI",Oct!$L104,"")</f>
        <v/>
      </c>
      <c r="E1444" s="48" t="s">
        <v>116</v>
      </c>
    </row>
    <row r="1445" spans="2:5" x14ac:dyDescent="0.2">
      <c r="B1445" s="28" t="str">
        <f>IF(Oct!$I105="SI",Oct!$H$100,"")</f>
        <v/>
      </c>
      <c r="C1445" s="28" t="str">
        <f>IF(Oct!$I105="SI",Oct!$H105,"")</f>
        <v/>
      </c>
      <c r="D1445" s="28" t="str">
        <f>IF(Oct!$I105="SI",Oct!$L105,"")</f>
        <v/>
      </c>
      <c r="E1445" s="48" t="s">
        <v>116</v>
      </c>
    </row>
    <row r="1446" spans="2:5" x14ac:dyDescent="0.2">
      <c r="B1446" s="28" t="str">
        <f>IF(Oct!$I106="SI",Oct!$H$100,"")</f>
        <v/>
      </c>
      <c r="C1446" s="28" t="str">
        <f>IF(Oct!$I106="SI",Oct!$H106,"")</f>
        <v/>
      </c>
      <c r="D1446" s="28" t="str">
        <f>IF(Oct!$I106="SI",Oct!$L106,"")</f>
        <v/>
      </c>
      <c r="E1446" s="48" t="s">
        <v>116</v>
      </c>
    </row>
    <row r="1447" spans="2:5" x14ac:dyDescent="0.2">
      <c r="B1447" s="28" t="str">
        <f>IF(Oct!$I107="SI",Oct!$H$100,"")</f>
        <v/>
      </c>
      <c r="C1447" s="28" t="str">
        <f>IF(Oct!$I107="SI",Oct!$H107,"")</f>
        <v/>
      </c>
      <c r="D1447" s="28" t="str">
        <f>IF(Oct!$I107="SI",Oct!$L107,"")</f>
        <v/>
      </c>
      <c r="E1447" s="48" t="s">
        <v>116</v>
      </c>
    </row>
    <row r="1448" spans="2:5" x14ac:dyDescent="0.2">
      <c r="B1448" s="29"/>
      <c r="C1448" s="29"/>
      <c r="D1448" s="29"/>
      <c r="E1448" s="48" t="s">
        <v>116</v>
      </c>
    </row>
    <row r="1449" spans="2:5" x14ac:dyDescent="0.2">
      <c r="B1449" s="28" t="str">
        <f>IF(Nov!$C13="SI",Nov!$B$12,"")</f>
        <v/>
      </c>
      <c r="C1449" s="28" t="str">
        <f>IF(Nov!$C13="SI",Nov!$B13,"")</f>
        <v/>
      </c>
      <c r="D1449" s="28" t="str">
        <f>IF(Nov!$C13="SI",Nov!$F13,"")</f>
        <v/>
      </c>
      <c r="E1449" s="48" t="s">
        <v>117</v>
      </c>
    </row>
    <row r="1450" spans="2:5" x14ac:dyDescent="0.2">
      <c r="B1450" s="28" t="str">
        <f>IF(Nov!$C14="SI",Nov!$B$12,"")</f>
        <v/>
      </c>
      <c r="C1450" s="28" t="str">
        <f>IF(Nov!$C14="SI",Nov!$B14,"")</f>
        <v/>
      </c>
      <c r="D1450" s="28" t="str">
        <f>IF(Nov!$C14="SI",Nov!$F14,"")</f>
        <v/>
      </c>
      <c r="E1450" s="48" t="s">
        <v>117</v>
      </c>
    </row>
    <row r="1451" spans="2:5" x14ac:dyDescent="0.2">
      <c r="B1451" s="28" t="str">
        <f>IF(Nov!$C15="SI",Nov!$B$12,"")</f>
        <v/>
      </c>
      <c r="C1451" s="28" t="str">
        <f>IF(Nov!$C15="SI",Nov!$B15,"")</f>
        <v/>
      </c>
      <c r="D1451" s="28" t="str">
        <f>IF(Nov!$C15="SI",Nov!$F15,"")</f>
        <v/>
      </c>
      <c r="E1451" s="48" t="s">
        <v>117</v>
      </c>
    </row>
    <row r="1452" spans="2:5" x14ac:dyDescent="0.2">
      <c r="B1452" s="28" t="str">
        <f>IF(Nov!$C16="SI",Nov!$B$12,"")</f>
        <v/>
      </c>
      <c r="C1452" s="28" t="str">
        <f>IF(Nov!$C16="SI",Nov!$B16,"")</f>
        <v/>
      </c>
      <c r="D1452" s="28" t="str">
        <f>IF(Nov!$C16="SI",Nov!$F16,"")</f>
        <v/>
      </c>
      <c r="E1452" s="48" t="s">
        <v>117</v>
      </c>
    </row>
    <row r="1453" spans="2:5" x14ac:dyDescent="0.2">
      <c r="B1453" s="28" t="str">
        <f>IF(Nov!$C17="SI",Nov!$B$12,"")</f>
        <v/>
      </c>
      <c r="C1453" s="28" t="str">
        <f>IF(Nov!$C17="SI",Nov!$B17,"")</f>
        <v/>
      </c>
      <c r="D1453" s="28" t="str">
        <f>IF(Nov!$C17="SI",Nov!$F17,"")</f>
        <v/>
      </c>
      <c r="E1453" s="48" t="s">
        <v>117</v>
      </c>
    </row>
    <row r="1454" spans="2:5" x14ac:dyDescent="0.2">
      <c r="B1454" s="28" t="str">
        <f>IF(Nov!$C18="SI",Nov!$B$12,"")</f>
        <v/>
      </c>
      <c r="C1454" s="28" t="str">
        <f>IF(Nov!$C18="SI",Nov!$B18,"")</f>
        <v/>
      </c>
      <c r="D1454" s="28" t="str">
        <f>IF(Nov!$C18="SI",Nov!$F18,"")</f>
        <v/>
      </c>
      <c r="E1454" s="48" t="s">
        <v>117</v>
      </c>
    </row>
    <row r="1455" spans="2:5" x14ac:dyDescent="0.2">
      <c r="B1455" s="28" t="str">
        <f>IF(Nov!$C19="SI",Nov!$B$12,"")</f>
        <v/>
      </c>
      <c r="C1455" s="28" t="str">
        <f>IF(Nov!$C19="SI",Nov!$B19,"")</f>
        <v/>
      </c>
      <c r="D1455" s="28" t="str">
        <f>IF(Nov!$C19="SI",Nov!$F19,"")</f>
        <v/>
      </c>
      <c r="E1455" s="48" t="s">
        <v>117</v>
      </c>
    </row>
    <row r="1456" spans="2:5" x14ac:dyDescent="0.2">
      <c r="B1456" s="28" t="str">
        <f>IF(Nov!$C20="SI",Nov!$B$12,"")</f>
        <v/>
      </c>
      <c r="C1456" s="28" t="str">
        <f>IF(Nov!$C20="SI",Nov!$B20,"")</f>
        <v/>
      </c>
      <c r="D1456" s="28" t="str">
        <f>IF(Nov!$C20="SI",Nov!$F20,"")</f>
        <v/>
      </c>
      <c r="E1456" s="48" t="s">
        <v>117</v>
      </c>
    </row>
    <row r="1457" spans="2:5" x14ac:dyDescent="0.2">
      <c r="B1457" s="28" t="str">
        <f>IF(Nov!$C21="SI",Nov!$B$12,"")</f>
        <v/>
      </c>
      <c r="C1457" s="28" t="str">
        <f>IF(Nov!$C21="SI",Nov!$B21,"")</f>
        <v/>
      </c>
      <c r="D1457" s="28" t="str">
        <f>IF(Nov!$C21="SI",Nov!$F21,"")</f>
        <v/>
      </c>
      <c r="E1457" s="48" t="s">
        <v>117</v>
      </c>
    </row>
    <row r="1458" spans="2:5" x14ac:dyDescent="0.2">
      <c r="B1458" s="28" t="str">
        <f>IF(Nov!$C22="SI",Nov!$B$12,"")</f>
        <v/>
      </c>
      <c r="C1458" s="28" t="str">
        <f>IF(Nov!$C22="SI",Nov!$B22,"")</f>
        <v/>
      </c>
      <c r="D1458" s="28" t="str">
        <f>IF(Nov!$C22="SI",Nov!$F22,"")</f>
        <v/>
      </c>
      <c r="E1458" s="48" t="s">
        <v>117</v>
      </c>
    </row>
    <row r="1459" spans="2:5" x14ac:dyDescent="0.2">
      <c r="B1459" s="28" t="str">
        <f>IF(Nov!$C23="SI",Nov!$B$12,"")</f>
        <v/>
      </c>
      <c r="C1459" s="28" t="str">
        <f>IF(Nov!$C23="SI",Nov!$B23,"")</f>
        <v/>
      </c>
      <c r="D1459" s="28" t="str">
        <f>IF(Nov!$C23="SI",Nov!$F23,"")</f>
        <v/>
      </c>
      <c r="E1459" s="48" t="s">
        <v>117</v>
      </c>
    </row>
    <row r="1460" spans="2:5" x14ac:dyDescent="0.2">
      <c r="B1460" s="28" t="str">
        <f>IF(Nov!$C24="SI",Nov!$B$12,"")</f>
        <v/>
      </c>
      <c r="C1460" s="28" t="str">
        <f>IF(Nov!$C24="SI",Nov!$B24,"")</f>
        <v/>
      </c>
      <c r="D1460" s="28" t="str">
        <f>IF(Nov!$C24="SI",Nov!$F24,"")</f>
        <v/>
      </c>
      <c r="E1460" s="48" t="s">
        <v>117</v>
      </c>
    </row>
    <row r="1461" spans="2:5" x14ac:dyDescent="0.2">
      <c r="B1461" s="28" t="str">
        <f>IF(Nov!$C28="SI",Nov!$B$27,"")</f>
        <v/>
      </c>
      <c r="C1461" s="28" t="str">
        <f>IF(Nov!$C28="SI",Nov!$B28,"")</f>
        <v/>
      </c>
      <c r="D1461" s="28" t="str">
        <f>IF(Nov!$C28="SI",Nov!$F28,"")</f>
        <v/>
      </c>
      <c r="E1461" s="48" t="s">
        <v>117</v>
      </c>
    </row>
    <row r="1462" spans="2:5" x14ac:dyDescent="0.2">
      <c r="B1462" s="28" t="str">
        <f>IF(Nov!$C29="SI",Nov!$B$27,"")</f>
        <v/>
      </c>
      <c r="C1462" s="28" t="str">
        <f>IF(Nov!$C29="SI",Nov!$B29,"")</f>
        <v/>
      </c>
      <c r="D1462" s="28" t="str">
        <f>IF(Nov!$C29="SI",Nov!$F29,"")</f>
        <v/>
      </c>
      <c r="E1462" s="48" t="s">
        <v>117</v>
      </c>
    </row>
    <row r="1463" spans="2:5" x14ac:dyDescent="0.2">
      <c r="B1463" s="28" t="str">
        <f>IF(Nov!$C30="SI",Nov!$B$27,"")</f>
        <v/>
      </c>
      <c r="C1463" s="28" t="str">
        <f>IF(Nov!$C30="SI",Nov!$B30,"")</f>
        <v/>
      </c>
      <c r="D1463" s="28" t="str">
        <f>IF(Nov!$C30="SI",Nov!$F30,"")</f>
        <v/>
      </c>
      <c r="E1463" s="48" t="s">
        <v>117</v>
      </c>
    </row>
    <row r="1464" spans="2:5" x14ac:dyDescent="0.2">
      <c r="B1464" s="28" t="str">
        <f>IF(Nov!$C31="SI",Nov!$B$27,"")</f>
        <v/>
      </c>
      <c r="C1464" s="28" t="str">
        <f>IF(Nov!$C31="SI",Nov!$B31,"")</f>
        <v/>
      </c>
      <c r="D1464" s="28" t="str">
        <f>IF(Nov!$C31="SI",Nov!$F31,"")</f>
        <v/>
      </c>
      <c r="E1464" s="48" t="s">
        <v>117</v>
      </c>
    </row>
    <row r="1465" spans="2:5" x14ac:dyDescent="0.2">
      <c r="B1465" s="28" t="str">
        <f>IF(Nov!$C32="SI",Nov!$B$27,"")</f>
        <v/>
      </c>
      <c r="C1465" s="28" t="str">
        <f>IF(Nov!$C32="SI",Nov!$B32,"")</f>
        <v/>
      </c>
      <c r="D1465" s="28" t="str">
        <f>IF(Nov!$C32="SI",Nov!$F32,"")</f>
        <v/>
      </c>
      <c r="E1465" s="48" t="s">
        <v>117</v>
      </c>
    </row>
    <row r="1466" spans="2:5" x14ac:dyDescent="0.2">
      <c r="B1466" s="28" t="str">
        <f>IF(Nov!$C33="SI",Nov!$B$27,"")</f>
        <v/>
      </c>
      <c r="C1466" s="28" t="str">
        <f>IF(Nov!$C33="SI",Nov!$B33,"")</f>
        <v/>
      </c>
      <c r="D1466" s="28" t="str">
        <f>IF(Nov!$C33="SI",Nov!$F33,"")</f>
        <v/>
      </c>
      <c r="E1466" s="48" t="s">
        <v>117</v>
      </c>
    </row>
    <row r="1467" spans="2:5" x14ac:dyDescent="0.2">
      <c r="B1467" s="28" t="str">
        <f>IF(Nov!$C34="SI",Nov!$B$27,"")</f>
        <v/>
      </c>
      <c r="C1467" s="28" t="str">
        <f>IF(Nov!$C34="SI",Nov!$B34,"")</f>
        <v/>
      </c>
      <c r="D1467" s="28" t="str">
        <f>IF(Nov!$C34="SI",Nov!$F34,"")</f>
        <v/>
      </c>
      <c r="E1467" s="48" t="s">
        <v>117</v>
      </c>
    </row>
    <row r="1468" spans="2:5" x14ac:dyDescent="0.2">
      <c r="B1468" s="28" t="str">
        <f>IF(Nov!$C35="SI",Nov!$B$27,"")</f>
        <v/>
      </c>
      <c r="C1468" s="28" t="str">
        <f>IF(Nov!$C35="SI",Nov!$B35,"")</f>
        <v/>
      </c>
      <c r="D1468" s="28" t="str">
        <f>IF(Nov!$C35="SI",Nov!$F35,"")</f>
        <v/>
      </c>
      <c r="E1468" s="48" t="s">
        <v>117</v>
      </c>
    </row>
    <row r="1469" spans="2:5" x14ac:dyDescent="0.2">
      <c r="B1469" s="28" t="str">
        <f>IF(Nov!$C39="SI",Nov!$B$38,"")</f>
        <v/>
      </c>
      <c r="C1469" s="28" t="str">
        <f>IF(Nov!$C39="SI",Nov!$B39,"")</f>
        <v/>
      </c>
      <c r="D1469" s="28" t="str">
        <f>IF(Nov!$C39="SI",Nov!$F39,"")</f>
        <v/>
      </c>
      <c r="E1469" s="48" t="s">
        <v>117</v>
      </c>
    </row>
    <row r="1470" spans="2:5" x14ac:dyDescent="0.2">
      <c r="B1470" s="28" t="str">
        <f>IF(Nov!$C40="SI",Nov!$B$38,"")</f>
        <v/>
      </c>
      <c r="C1470" s="28" t="str">
        <f>IF(Nov!$C40="SI",Nov!$B40,"")</f>
        <v/>
      </c>
      <c r="D1470" s="28" t="str">
        <f>IF(Nov!$C40="SI",Nov!$F40,"")</f>
        <v/>
      </c>
      <c r="E1470" s="48" t="s">
        <v>117</v>
      </c>
    </row>
    <row r="1471" spans="2:5" x14ac:dyDescent="0.2">
      <c r="B1471" s="28" t="str">
        <f>IF(Nov!$C41="SI",Nov!$B$38,"")</f>
        <v/>
      </c>
      <c r="C1471" s="28" t="str">
        <f>IF(Nov!$C41="SI",Nov!$B41,"")</f>
        <v/>
      </c>
      <c r="D1471" s="28" t="str">
        <f>IF(Nov!$C41="SI",Nov!$F41,"")</f>
        <v/>
      </c>
      <c r="E1471" s="48" t="s">
        <v>117</v>
      </c>
    </row>
    <row r="1472" spans="2:5" x14ac:dyDescent="0.2">
      <c r="B1472" s="28" t="str">
        <f>IF(Nov!$C42="SI",Nov!$B$38,"")</f>
        <v/>
      </c>
      <c r="C1472" s="28" t="str">
        <f>IF(Nov!$C42="SI",Nov!$B42,"")</f>
        <v/>
      </c>
      <c r="D1472" s="28" t="str">
        <f>IF(Nov!$C42="SI",Nov!$F42,"")</f>
        <v/>
      </c>
      <c r="E1472" s="48" t="s">
        <v>117</v>
      </c>
    </row>
    <row r="1473" spans="2:5" x14ac:dyDescent="0.2">
      <c r="B1473" s="28" t="str">
        <f>IF(Nov!$C43="SI",Nov!$B$38,"")</f>
        <v/>
      </c>
      <c r="C1473" s="28" t="str">
        <f>IF(Nov!$C43="SI",Nov!$B43,"")</f>
        <v/>
      </c>
      <c r="D1473" s="28" t="str">
        <f>IF(Nov!$C43="SI",Nov!$F43,"")</f>
        <v/>
      </c>
      <c r="E1473" s="48" t="s">
        <v>117</v>
      </c>
    </row>
    <row r="1474" spans="2:5" x14ac:dyDescent="0.2">
      <c r="B1474" s="28" t="str">
        <f>IF(Nov!$C44="SI",Nov!$B$38,"")</f>
        <v/>
      </c>
      <c r="C1474" s="28" t="str">
        <f>IF(Nov!$C44="SI",Nov!$B44,"")</f>
        <v/>
      </c>
      <c r="D1474" s="28" t="str">
        <f>IF(Nov!$C44="SI",Nov!$F44,"")</f>
        <v/>
      </c>
      <c r="E1474" s="48" t="s">
        <v>117</v>
      </c>
    </row>
    <row r="1475" spans="2:5" x14ac:dyDescent="0.2">
      <c r="B1475" s="28" t="str">
        <f>IF(Nov!$C45="SI",Nov!$B$38,"")</f>
        <v/>
      </c>
      <c r="C1475" s="28" t="str">
        <f>IF(Nov!$C45="SI",Nov!$B45,"")</f>
        <v/>
      </c>
      <c r="D1475" s="28" t="str">
        <f>IF(Nov!$C45="SI",Nov!$F45,"")</f>
        <v/>
      </c>
      <c r="E1475" s="48" t="s">
        <v>117</v>
      </c>
    </row>
    <row r="1476" spans="2:5" x14ac:dyDescent="0.2">
      <c r="B1476" s="28" t="str">
        <f>IF(Nov!$C49="SI",Nov!$B$48,"")</f>
        <v/>
      </c>
      <c r="C1476" s="28" t="str">
        <f>IF(Nov!$C49="SI",Nov!$B49,"")</f>
        <v/>
      </c>
      <c r="D1476" s="28" t="str">
        <f>IF(Nov!$C49="SI",Nov!$F49,"")</f>
        <v/>
      </c>
      <c r="E1476" s="48" t="s">
        <v>117</v>
      </c>
    </row>
    <row r="1477" spans="2:5" x14ac:dyDescent="0.2">
      <c r="B1477" s="28" t="str">
        <f>IF(Nov!$C50="SI",Nov!$B$48,"")</f>
        <v/>
      </c>
      <c r="C1477" s="28" t="str">
        <f>IF(Nov!$C50="SI",Nov!$B50,"")</f>
        <v/>
      </c>
      <c r="D1477" s="28" t="str">
        <f>IF(Nov!$C50="SI",Nov!$F50,"")</f>
        <v/>
      </c>
      <c r="E1477" s="48" t="s">
        <v>117</v>
      </c>
    </row>
    <row r="1478" spans="2:5" x14ac:dyDescent="0.2">
      <c r="B1478" s="28" t="str">
        <f>IF(Nov!$C51="SI",Nov!$B$48,"")</f>
        <v/>
      </c>
      <c r="C1478" s="28" t="str">
        <f>IF(Nov!$C51="SI",Nov!$B51,"")</f>
        <v/>
      </c>
      <c r="D1478" s="28" t="str">
        <f>IF(Nov!$C51="SI",Nov!$F51,"")</f>
        <v/>
      </c>
      <c r="E1478" s="48" t="s">
        <v>117</v>
      </c>
    </row>
    <row r="1479" spans="2:5" x14ac:dyDescent="0.2">
      <c r="B1479" s="28" t="str">
        <f>IF(Nov!$C52="SI",Nov!$B$48,"")</f>
        <v/>
      </c>
      <c r="C1479" s="28" t="str">
        <f>IF(Nov!$C52="SI",Nov!$B52,"")</f>
        <v/>
      </c>
      <c r="D1479" s="28" t="str">
        <f>IF(Nov!$C52="SI",Nov!$F52,"")</f>
        <v/>
      </c>
      <c r="E1479" s="48" t="s">
        <v>117</v>
      </c>
    </row>
    <row r="1480" spans="2:5" x14ac:dyDescent="0.2">
      <c r="B1480" s="28" t="str">
        <f>IF(Nov!$C53="SI",Nov!$B$48,"")</f>
        <v/>
      </c>
      <c r="C1480" s="28" t="str">
        <f>IF(Nov!$C53="SI",Nov!$B53,"")</f>
        <v/>
      </c>
      <c r="D1480" s="28" t="str">
        <f>IF(Nov!$C53="SI",Nov!$F53,"")</f>
        <v/>
      </c>
      <c r="E1480" s="48" t="s">
        <v>117</v>
      </c>
    </row>
    <row r="1481" spans="2:5" x14ac:dyDescent="0.2">
      <c r="B1481" s="28" t="str">
        <f>IF(Nov!$C54="SI",Nov!$B$48,"")</f>
        <v/>
      </c>
      <c r="C1481" s="28" t="str">
        <f>IF(Nov!$C54="SI",Nov!$B54,"")</f>
        <v/>
      </c>
      <c r="D1481" s="28" t="str">
        <f>IF(Nov!$C54="SI",Nov!$F54,"")</f>
        <v/>
      </c>
      <c r="E1481" s="48" t="s">
        <v>117</v>
      </c>
    </row>
    <row r="1482" spans="2:5" x14ac:dyDescent="0.2">
      <c r="B1482" s="28" t="str">
        <f>IF(Nov!$C58="SI",Nov!$B$57,"")</f>
        <v/>
      </c>
      <c r="C1482" s="28" t="str">
        <f>IF(Nov!$C58="SI",Nov!$B58,"")</f>
        <v/>
      </c>
      <c r="D1482" s="28" t="str">
        <f>IF(Nov!$C58="SI",Nov!$F58,"")</f>
        <v/>
      </c>
      <c r="E1482" s="48" t="s">
        <v>117</v>
      </c>
    </row>
    <row r="1483" spans="2:5" x14ac:dyDescent="0.2">
      <c r="B1483" s="28" t="str">
        <f>IF(Nov!$C59="SI",Nov!$B$57,"")</f>
        <v/>
      </c>
      <c r="C1483" s="28" t="str">
        <f>IF(Nov!$C59="SI",Nov!$B59,"")</f>
        <v/>
      </c>
      <c r="D1483" s="28" t="str">
        <f>IF(Nov!$C59="SI",Nov!$F59,"")</f>
        <v/>
      </c>
      <c r="E1483" s="48" t="s">
        <v>117</v>
      </c>
    </row>
    <row r="1484" spans="2:5" x14ac:dyDescent="0.2">
      <c r="B1484" s="28" t="str">
        <f>IF(Nov!$C60="SI",Nov!$B$57,"")</f>
        <v/>
      </c>
      <c r="C1484" s="28" t="str">
        <f>IF(Nov!$C60="SI",Nov!$B60,"")</f>
        <v/>
      </c>
      <c r="D1484" s="28" t="str">
        <f>IF(Nov!$C60="SI",Nov!$F60,"")</f>
        <v/>
      </c>
      <c r="E1484" s="48" t="s">
        <v>117</v>
      </c>
    </row>
    <row r="1485" spans="2:5" x14ac:dyDescent="0.2">
      <c r="B1485" s="28" t="str">
        <f>IF(Nov!$C61="SI",Nov!$B$57,"")</f>
        <v/>
      </c>
      <c r="C1485" s="28" t="str">
        <f>IF(Nov!$C61="SI",Nov!$B61,"")</f>
        <v/>
      </c>
      <c r="D1485" s="28" t="str">
        <f>IF(Nov!$C61="SI",Nov!$F61,"")</f>
        <v/>
      </c>
      <c r="E1485" s="48" t="s">
        <v>117</v>
      </c>
    </row>
    <row r="1486" spans="2:5" x14ac:dyDescent="0.2">
      <c r="B1486" s="28" t="str">
        <f>IF(Nov!$C62="SI",Nov!$B$57,"")</f>
        <v/>
      </c>
      <c r="C1486" s="28" t="str">
        <f>IF(Nov!$C62="SI",Nov!$B62,"")</f>
        <v/>
      </c>
      <c r="D1486" s="28" t="str">
        <f>IF(Nov!$C62="SI",Nov!$F62,"")</f>
        <v/>
      </c>
      <c r="E1486" s="48" t="s">
        <v>117</v>
      </c>
    </row>
    <row r="1487" spans="2:5" x14ac:dyDescent="0.2">
      <c r="B1487" s="28" t="str">
        <f>IF(Nov!$C63="SI",Nov!$B$57,"")</f>
        <v/>
      </c>
      <c r="C1487" s="28" t="str">
        <f>IF(Nov!$C63="SI",Nov!$B63,"")</f>
        <v/>
      </c>
      <c r="D1487" s="28" t="str">
        <f>IF(Nov!$C63="SI",Nov!$F63,"")</f>
        <v/>
      </c>
      <c r="E1487" s="48" t="s">
        <v>117</v>
      </c>
    </row>
    <row r="1488" spans="2:5" x14ac:dyDescent="0.2">
      <c r="B1488" s="28" t="str">
        <f>IF(Nov!$C64="SI",Nov!$B$57,"")</f>
        <v/>
      </c>
      <c r="C1488" s="28" t="str">
        <f>IF(Nov!$C64="SI",Nov!$B64,"")</f>
        <v/>
      </c>
      <c r="D1488" s="28" t="str">
        <f>IF(Nov!$C64="SI",Nov!$F64,"")</f>
        <v/>
      </c>
      <c r="E1488" s="48" t="s">
        <v>117</v>
      </c>
    </row>
    <row r="1489" spans="2:5" x14ac:dyDescent="0.2">
      <c r="B1489" s="28" t="str">
        <f>IF(Nov!$C68="SI",Nov!$B$67,"")</f>
        <v/>
      </c>
      <c r="C1489" s="28" t="str">
        <f>IF(Nov!$C68="SI",Nov!$B68,"")</f>
        <v/>
      </c>
      <c r="D1489" s="28" t="str">
        <f>IF(Nov!$C68="SI",Nov!$F68,"")</f>
        <v/>
      </c>
      <c r="E1489" s="48" t="s">
        <v>117</v>
      </c>
    </row>
    <row r="1490" spans="2:5" x14ac:dyDescent="0.2">
      <c r="B1490" s="28" t="str">
        <f>IF(Nov!$C69="SI",Nov!$B$67,"")</f>
        <v/>
      </c>
      <c r="C1490" s="28" t="str">
        <f>IF(Nov!$C69="SI",Nov!$B69,"")</f>
        <v/>
      </c>
      <c r="D1490" s="28" t="str">
        <f>IF(Nov!$C69="SI",Nov!$F69,"")</f>
        <v/>
      </c>
      <c r="E1490" s="48" t="s">
        <v>117</v>
      </c>
    </row>
    <row r="1491" spans="2:5" x14ac:dyDescent="0.2">
      <c r="B1491" s="28" t="str">
        <f>IF(Nov!$C70="SI",Nov!$B$67,"")</f>
        <v/>
      </c>
      <c r="C1491" s="28" t="str">
        <f>IF(Nov!$C70="SI",Nov!$B70,"")</f>
        <v/>
      </c>
      <c r="D1491" s="28" t="str">
        <f>IF(Nov!$C70="SI",Nov!$F70,"")</f>
        <v/>
      </c>
      <c r="E1491" s="48" t="s">
        <v>117</v>
      </c>
    </row>
    <row r="1492" spans="2:5" x14ac:dyDescent="0.2">
      <c r="B1492" s="28" t="str">
        <f>IF(Nov!$C71="SI",Nov!$B$67,"")</f>
        <v/>
      </c>
      <c r="C1492" s="28" t="str">
        <f>IF(Nov!$C71="SI",Nov!$B71,"")</f>
        <v/>
      </c>
      <c r="D1492" s="28" t="str">
        <f>IF(Nov!$C71="SI",Nov!$F71,"")</f>
        <v/>
      </c>
      <c r="E1492" s="48" t="s">
        <v>117</v>
      </c>
    </row>
    <row r="1493" spans="2:5" x14ac:dyDescent="0.2">
      <c r="B1493" s="28" t="str">
        <f>IF(Nov!$C72="SI",Nov!$B$67,"")</f>
        <v/>
      </c>
      <c r="C1493" s="28" t="str">
        <f>IF(Nov!$C72="SI",Nov!$B72,"")</f>
        <v/>
      </c>
      <c r="D1493" s="28" t="str">
        <f>IF(Nov!$C72="SI",Nov!$F72,"")</f>
        <v/>
      </c>
      <c r="E1493" s="48" t="s">
        <v>117</v>
      </c>
    </row>
    <row r="1494" spans="2:5" x14ac:dyDescent="0.2">
      <c r="B1494" s="28" t="str">
        <f>IF(Nov!$C73="SI",Nov!$B$67,"")</f>
        <v/>
      </c>
      <c r="C1494" s="28" t="str">
        <f>IF(Nov!$C73="SI",Nov!$B73,"")</f>
        <v/>
      </c>
      <c r="D1494" s="28" t="str">
        <f>IF(Nov!$C73="SI",Nov!$F73,"")</f>
        <v/>
      </c>
      <c r="E1494" s="48" t="s">
        <v>117</v>
      </c>
    </row>
    <row r="1495" spans="2:5" x14ac:dyDescent="0.2">
      <c r="B1495" s="28" t="str">
        <f>IF(Nov!$C74="SI",Nov!$B$67,"")</f>
        <v/>
      </c>
      <c r="C1495" s="28" t="str">
        <f>IF(Nov!$C74="SI",Nov!$B74,"")</f>
        <v/>
      </c>
      <c r="D1495" s="28" t="str">
        <f>IF(Nov!$C74="SI",Nov!$F74,"")</f>
        <v/>
      </c>
      <c r="E1495" s="48" t="s">
        <v>117</v>
      </c>
    </row>
    <row r="1496" spans="2:5" x14ac:dyDescent="0.2">
      <c r="B1496" s="28" t="str">
        <f>IF(Nov!$C75="SI",Nov!$B$67,"")</f>
        <v/>
      </c>
      <c r="C1496" s="28" t="str">
        <f>IF(Nov!$C75="SI",Nov!$B75,"")</f>
        <v/>
      </c>
      <c r="D1496" s="28" t="str">
        <f>IF(Nov!$C75="SI",Nov!$F75,"")</f>
        <v/>
      </c>
      <c r="E1496" s="48" t="s">
        <v>117</v>
      </c>
    </row>
    <row r="1497" spans="2:5" x14ac:dyDescent="0.2">
      <c r="B1497" s="28" t="str">
        <f>IF(Nov!$C76="SI",Nov!$B$67,"")</f>
        <v/>
      </c>
      <c r="C1497" s="28" t="str">
        <f>IF(Nov!$C76="SI",Nov!$B76,"")</f>
        <v/>
      </c>
      <c r="D1497" s="28" t="str">
        <f>IF(Nov!$C76="SI",Nov!$F76,"")</f>
        <v/>
      </c>
      <c r="E1497" s="48" t="s">
        <v>117</v>
      </c>
    </row>
    <row r="1498" spans="2:5" x14ac:dyDescent="0.2">
      <c r="B1498" s="28" t="str">
        <f>IF(Nov!$C77="SI",Nov!$B$67,"")</f>
        <v/>
      </c>
      <c r="C1498" s="28" t="str">
        <f>IF(Nov!$C77="SI",Nov!$B77,"")</f>
        <v/>
      </c>
      <c r="D1498" s="28" t="str">
        <f>IF(Nov!$C77="SI",Nov!$F77,"")</f>
        <v/>
      </c>
      <c r="E1498" s="48" t="s">
        <v>117</v>
      </c>
    </row>
    <row r="1499" spans="2:5" x14ac:dyDescent="0.2">
      <c r="B1499" s="28" t="str">
        <f>IF(Nov!$C78="SI",Nov!$B$67,"")</f>
        <v/>
      </c>
      <c r="C1499" s="28" t="str">
        <f>IF(Nov!$C78="SI",Nov!$B78,"")</f>
        <v/>
      </c>
      <c r="D1499" s="28" t="str">
        <f>IF(Nov!$C78="SI",Nov!$F78,"")</f>
        <v/>
      </c>
      <c r="E1499" s="48" t="s">
        <v>117</v>
      </c>
    </row>
    <row r="1500" spans="2:5" x14ac:dyDescent="0.2">
      <c r="B1500" s="28" t="str">
        <f>IF(Nov!$C82="SI",Nov!$B$81,"")</f>
        <v/>
      </c>
      <c r="C1500" s="28" t="str">
        <f>IF(Nov!$C82="SI",Nov!$B82,"")</f>
        <v/>
      </c>
      <c r="D1500" s="28" t="str">
        <f>IF(Nov!$C82="SI",Nov!$F82,"")</f>
        <v/>
      </c>
      <c r="E1500" s="48" t="s">
        <v>117</v>
      </c>
    </row>
    <row r="1501" spans="2:5" x14ac:dyDescent="0.2">
      <c r="B1501" s="28" t="str">
        <f>IF(Nov!$C83="SI",Nov!$B$81,"")</f>
        <v/>
      </c>
      <c r="C1501" s="28" t="str">
        <f>IF(Nov!$C83="SI",Nov!$B83,"")</f>
        <v/>
      </c>
      <c r="D1501" s="28" t="str">
        <f>IF(Nov!$C83="SI",Nov!$F83,"")</f>
        <v/>
      </c>
      <c r="E1501" s="48" t="s">
        <v>117</v>
      </c>
    </row>
    <row r="1502" spans="2:5" x14ac:dyDescent="0.2">
      <c r="B1502" s="28" t="str">
        <f>IF(Nov!$C84="SI",Nov!$B$81,"")</f>
        <v/>
      </c>
      <c r="C1502" s="28" t="str">
        <f>IF(Nov!$C84="SI",Nov!$B84,"")</f>
        <v/>
      </c>
      <c r="D1502" s="28" t="str">
        <f>IF(Nov!$C84="SI",Nov!$F84,"")</f>
        <v/>
      </c>
      <c r="E1502" s="48" t="s">
        <v>117</v>
      </c>
    </row>
    <row r="1503" spans="2:5" x14ac:dyDescent="0.2">
      <c r="B1503" s="28" t="str">
        <f>IF(Nov!$C85="SI",Nov!$B$81,"")</f>
        <v/>
      </c>
      <c r="C1503" s="28" t="str">
        <f>IF(Nov!$C85="SI",Nov!$B85,"")</f>
        <v/>
      </c>
      <c r="D1503" s="28" t="str">
        <f>IF(Nov!$C85="SI",Nov!$F85,"")</f>
        <v/>
      </c>
      <c r="E1503" s="48" t="s">
        <v>117</v>
      </c>
    </row>
    <row r="1504" spans="2:5" x14ac:dyDescent="0.2">
      <c r="B1504" s="28" t="str">
        <f>IF(Nov!$C86="SI",Nov!$B$81,"")</f>
        <v/>
      </c>
      <c r="C1504" s="28" t="str">
        <f>IF(Nov!$C86="SI",Nov!$B86,"")</f>
        <v/>
      </c>
      <c r="D1504" s="28" t="str">
        <f>IF(Nov!$C86="SI",Nov!$F86,"")</f>
        <v/>
      </c>
      <c r="E1504" s="48" t="s">
        <v>117</v>
      </c>
    </row>
    <row r="1505" spans="2:5" x14ac:dyDescent="0.2">
      <c r="B1505" s="28" t="str">
        <f>IF(Nov!$C87="SI",Nov!$B$81,"")</f>
        <v/>
      </c>
      <c r="C1505" s="28" t="str">
        <f>IF(Nov!$C87="SI",Nov!$B87,"")</f>
        <v/>
      </c>
      <c r="D1505" s="28" t="str">
        <f>IF(Nov!$C87="SI",Nov!$F87,"")</f>
        <v/>
      </c>
      <c r="E1505" s="48" t="s">
        <v>117</v>
      </c>
    </row>
    <row r="1506" spans="2:5" x14ac:dyDescent="0.2">
      <c r="B1506" s="28" t="str">
        <f>IF(Nov!$C91="SI",Nov!$B$90,"")</f>
        <v/>
      </c>
      <c r="C1506" s="28" t="str">
        <f>IF(Nov!$C91="SI",Nov!$B91,"")</f>
        <v/>
      </c>
      <c r="D1506" s="28" t="str">
        <f>IF(Nov!$C91="SI",Nov!$F91,"")</f>
        <v/>
      </c>
      <c r="E1506" s="48" t="s">
        <v>117</v>
      </c>
    </row>
    <row r="1507" spans="2:5" x14ac:dyDescent="0.2">
      <c r="B1507" s="28" t="str">
        <f>IF(Nov!$C92="SI",Nov!$B$90,"")</f>
        <v/>
      </c>
      <c r="C1507" s="28" t="str">
        <f>IF(Nov!$C92="SI",Nov!$B92,"")</f>
        <v/>
      </c>
      <c r="D1507" s="28" t="str">
        <f>IF(Nov!$C92="SI",Nov!$F92,"")</f>
        <v/>
      </c>
      <c r="E1507" s="48" t="s">
        <v>117</v>
      </c>
    </row>
    <row r="1508" spans="2:5" x14ac:dyDescent="0.2">
      <c r="B1508" s="28" t="str">
        <f>IF(Nov!$C93="SI",Nov!$B$90,"")</f>
        <v/>
      </c>
      <c r="C1508" s="28" t="str">
        <f>IF(Nov!$C93="SI",Nov!$B93,"")</f>
        <v/>
      </c>
      <c r="D1508" s="28" t="str">
        <f>IF(Nov!$C93="SI",Nov!$F93,"")</f>
        <v/>
      </c>
      <c r="E1508" s="48" t="s">
        <v>117</v>
      </c>
    </row>
    <row r="1509" spans="2:5" x14ac:dyDescent="0.2">
      <c r="B1509" s="28" t="str">
        <f>IF(Nov!$C94="SI",Nov!$B$90,"")</f>
        <v/>
      </c>
      <c r="C1509" s="28" t="str">
        <f>IF(Nov!$C94="SI",Nov!$B94,"")</f>
        <v/>
      </c>
      <c r="D1509" s="28" t="str">
        <f>IF(Nov!$C94="SI",Nov!$F94,"")</f>
        <v/>
      </c>
      <c r="E1509" s="48" t="s">
        <v>117</v>
      </c>
    </row>
    <row r="1510" spans="2:5" x14ac:dyDescent="0.2">
      <c r="B1510" s="28" t="str">
        <f>IF(Nov!$C95="SI",Nov!$B$90,"")</f>
        <v/>
      </c>
      <c r="C1510" s="28" t="str">
        <f>IF(Nov!$C95="SI",Nov!$B95,"")</f>
        <v/>
      </c>
      <c r="D1510" s="28" t="str">
        <f>IF(Nov!$C95="SI",Nov!$F95,"")</f>
        <v/>
      </c>
      <c r="E1510" s="48" t="s">
        <v>117</v>
      </c>
    </row>
    <row r="1511" spans="2:5" x14ac:dyDescent="0.2">
      <c r="B1511" s="28" t="str">
        <f>IF(Nov!$C96="SI",Nov!$B$90,"")</f>
        <v/>
      </c>
      <c r="C1511" s="28" t="str">
        <f>IF(Nov!$C96="SI",Nov!$B96,"")</f>
        <v/>
      </c>
      <c r="D1511" s="28" t="str">
        <f>IF(Nov!$C96="SI",Nov!$F96,"")</f>
        <v/>
      </c>
      <c r="E1511" s="48" t="s">
        <v>117</v>
      </c>
    </row>
    <row r="1512" spans="2:5" x14ac:dyDescent="0.2">
      <c r="B1512" s="28" t="str">
        <f>IF(Nov!$C97="SI",Nov!$B$90,"")</f>
        <v/>
      </c>
      <c r="C1512" s="28" t="str">
        <f>IF(Nov!$C97="SI",Nov!$B97,"")</f>
        <v/>
      </c>
      <c r="D1512" s="28" t="str">
        <f>IF(Nov!$C97="SI",Nov!$F97,"")</f>
        <v/>
      </c>
      <c r="E1512" s="48" t="s">
        <v>117</v>
      </c>
    </row>
    <row r="1513" spans="2:5" x14ac:dyDescent="0.2">
      <c r="B1513" s="28" t="str">
        <f>IF(Nov!$C101="SI",Nov!$B$100,"")</f>
        <v/>
      </c>
      <c r="C1513" s="28" t="str">
        <f>IF(Nov!$C101="SI",Nov!$B101,"")</f>
        <v/>
      </c>
      <c r="D1513" s="28" t="str">
        <f>IF(Nov!$C101="SI",Nov!$F101,"")</f>
        <v/>
      </c>
      <c r="E1513" s="48" t="s">
        <v>117</v>
      </c>
    </row>
    <row r="1514" spans="2:5" x14ac:dyDescent="0.2">
      <c r="B1514" s="28" t="str">
        <f>IF(Nov!$C102="SI",Nov!$B$100,"")</f>
        <v/>
      </c>
      <c r="C1514" s="28" t="str">
        <f>IF(Nov!$C102="SI",Nov!$B102,"")</f>
        <v/>
      </c>
      <c r="D1514" s="28" t="str">
        <f>IF(Nov!$C102="SI",Nov!$F102,"")</f>
        <v/>
      </c>
      <c r="E1514" s="48" t="s">
        <v>117</v>
      </c>
    </row>
    <row r="1515" spans="2:5" x14ac:dyDescent="0.2">
      <c r="B1515" s="28" t="str">
        <f>IF(Nov!$C103="SI",Nov!$B$100,"")</f>
        <v/>
      </c>
      <c r="C1515" s="28" t="str">
        <f>IF(Nov!$C103="SI",Nov!$B103,"")</f>
        <v/>
      </c>
      <c r="D1515" s="28" t="str">
        <f>IF(Nov!$C103="SI",Nov!$F103,"")</f>
        <v/>
      </c>
      <c r="E1515" s="48" t="s">
        <v>117</v>
      </c>
    </row>
    <row r="1516" spans="2:5" x14ac:dyDescent="0.2">
      <c r="B1516" s="28" t="str">
        <f>IF(Nov!$C104="SI",Nov!$B$100,"")</f>
        <v/>
      </c>
      <c r="C1516" s="28" t="str">
        <f>IF(Nov!$C104="SI",Nov!$B104,"")</f>
        <v/>
      </c>
      <c r="D1516" s="28" t="str">
        <f>IF(Nov!$C104="SI",Nov!$F104,"")</f>
        <v/>
      </c>
      <c r="E1516" s="48" t="s">
        <v>117</v>
      </c>
    </row>
    <row r="1517" spans="2:5" x14ac:dyDescent="0.2">
      <c r="B1517" s="28" t="str">
        <f>IF(Nov!$C105="SI",Nov!$B$100,"")</f>
        <v/>
      </c>
      <c r="C1517" s="28" t="str">
        <f>IF(Nov!$C105="SI",Nov!$B105,"")</f>
        <v/>
      </c>
      <c r="D1517" s="28" t="str">
        <f>IF(Nov!$C105="SI",Nov!$F105,"")</f>
        <v/>
      </c>
      <c r="E1517" s="48" t="s">
        <v>117</v>
      </c>
    </row>
    <row r="1518" spans="2:5" x14ac:dyDescent="0.2">
      <c r="B1518" s="28" t="str">
        <f>IF(Nov!$C106="SI",Nov!$B$100,"")</f>
        <v/>
      </c>
      <c r="C1518" s="28" t="str">
        <f>IF(Nov!$C106="SI",Nov!$B106,"")</f>
        <v/>
      </c>
      <c r="D1518" s="28" t="str">
        <f>IF(Nov!$C106="SI",Nov!$F106,"")</f>
        <v/>
      </c>
      <c r="E1518" s="48" t="s">
        <v>117</v>
      </c>
    </row>
    <row r="1519" spans="2:5" x14ac:dyDescent="0.2">
      <c r="B1519" s="28" t="str">
        <f>IF(Nov!$C107="SI",Nov!$B$100,"")</f>
        <v/>
      </c>
      <c r="C1519" s="28" t="str">
        <f>IF(Nov!$C107="SI",Nov!$B107,"")</f>
        <v/>
      </c>
      <c r="D1519" s="28" t="str">
        <f>IF(Nov!$C107="SI",Nov!$F107,"")</f>
        <v/>
      </c>
      <c r="E1519" s="48" t="s">
        <v>117</v>
      </c>
    </row>
    <row r="1520" spans="2:5" x14ac:dyDescent="0.2">
      <c r="B1520" s="29"/>
      <c r="C1520" s="29"/>
      <c r="D1520" s="29"/>
      <c r="E1520" s="48" t="s">
        <v>117</v>
      </c>
    </row>
    <row r="1521" spans="2:5" x14ac:dyDescent="0.2">
      <c r="B1521" s="28" t="str">
        <f>IF(Nov!$I13="SI",Nov!$H$12,"")</f>
        <v>AHORROS</v>
      </c>
      <c r="C1521" s="28" t="str">
        <f>IF(Nov!$I13="SI",Nov!$H13,"")</f>
        <v>Fondo de Emergencia</v>
      </c>
      <c r="D1521" s="28">
        <f>IF(Nov!$I13="SI",Nov!$L13,"")</f>
        <v>0</v>
      </c>
      <c r="E1521" s="48" t="s">
        <v>117</v>
      </c>
    </row>
    <row r="1522" spans="2:5" x14ac:dyDescent="0.2">
      <c r="B1522" s="28" t="str">
        <f>IF(Nov!$I14="SI",Nov!$H$12,"")</f>
        <v/>
      </c>
      <c r="C1522" s="28" t="str">
        <f>IF(Nov!$I14="SI",Nov!$H14,"")</f>
        <v/>
      </c>
      <c r="D1522" s="28" t="str">
        <f>IF(Nov!$I14="SI",Nov!$L14,"")</f>
        <v/>
      </c>
      <c r="E1522" s="48" t="s">
        <v>117</v>
      </c>
    </row>
    <row r="1523" spans="2:5" x14ac:dyDescent="0.2">
      <c r="B1523" s="28" t="str">
        <f>IF(Nov!$I15="SI",Nov!$H$12,"")</f>
        <v/>
      </c>
      <c r="C1523" s="28" t="str">
        <f>IF(Nov!$I15="SI",Nov!$H15,"")</f>
        <v/>
      </c>
      <c r="D1523" s="28" t="str">
        <f>IF(Nov!$I15="SI",Nov!$L15,"")</f>
        <v/>
      </c>
      <c r="E1523" s="48" t="s">
        <v>117</v>
      </c>
    </row>
    <row r="1524" spans="2:5" x14ac:dyDescent="0.2">
      <c r="B1524" s="28" t="str">
        <f>IF(Nov!$I16="SI",Nov!$H$12,"")</f>
        <v/>
      </c>
      <c r="C1524" s="28" t="str">
        <f>IF(Nov!$I16="SI",Nov!$H16,"")</f>
        <v/>
      </c>
      <c r="D1524" s="28" t="str">
        <f>IF(Nov!$I16="SI",Nov!$L16,"")</f>
        <v/>
      </c>
      <c r="E1524" s="48" t="s">
        <v>117</v>
      </c>
    </row>
    <row r="1525" spans="2:5" x14ac:dyDescent="0.2">
      <c r="B1525" s="28" t="str">
        <f>IF(Nov!$I17="SI",Nov!$H$12,"")</f>
        <v/>
      </c>
      <c r="C1525" s="28" t="str">
        <f>IF(Nov!$I17="SI",Nov!$H17,"")</f>
        <v/>
      </c>
      <c r="D1525" s="28" t="str">
        <f>IF(Nov!$I17="SI",Nov!$L17,"")</f>
        <v/>
      </c>
      <c r="E1525" s="48" t="s">
        <v>117</v>
      </c>
    </row>
    <row r="1526" spans="2:5" x14ac:dyDescent="0.2">
      <c r="B1526" s="28" t="str">
        <f>IF(Nov!$I18="SI",Nov!$H$12,"")</f>
        <v/>
      </c>
      <c r="C1526" s="28" t="str">
        <f>IF(Nov!$I18="SI",Nov!$H18,"")</f>
        <v/>
      </c>
      <c r="D1526" s="28" t="str">
        <f>IF(Nov!$I18="SI",Nov!$L18,"")</f>
        <v/>
      </c>
      <c r="E1526" s="48" t="s">
        <v>117</v>
      </c>
    </row>
    <row r="1527" spans="2:5" x14ac:dyDescent="0.2">
      <c r="B1527" s="28" t="str">
        <f>IF(Nov!$I19="SI",Nov!$H$12,"")</f>
        <v/>
      </c>
      <c r="C1527" s="28" t="str">
        <f>IF(Nov!$I19="SI",Nov!$H19,"")</f>
        <v/>
      </c>
      <c r="D1527" s="28" t="str">
        <f>IF(Nov!$I19="SI",Nov!$L19,"")</f>
        <v/>
      </c>
      <c r="E1527" s="48" t="s">
        <v>117</v>
      </c>
    </row>
    <row r="1528" spans="2:5" x14ac:dyDescent="0.2">
      <c r="B1528" s="28" t="str">
        <f>IF(Nov!$I20="SI",Nov!$H$12,"")</f>
        <v/>
      </c>
      <c r="C1528" s="28" t="str">
        <f>IF(Nov!$I20="SI",Nov!$H20,"")</f>
        <v/>
      </c>
      <c r="D1528" s="28" t="str">
        <f>IF(Nov!$I20="SI",Nov!$L20,"")</f>
        <v/>
      </c>
      <c r="E1528" s="48" t="s">
        <v>117</v>
      </c>
    </row>
    <row r="1529" spans="2:5" x14ac:dyDescent="0.2">
      <c r="B1529" s="28" t="str">
        <f>IF(Nov!$I21="SI",Nov!$H$12,"")</f>
        <v/>
      </c>
      <c r="C1529" s="28" t="str">
        <f>IF(Nov!$I21="SI",Nov!$H21,"")</f>
        <v/>
      </c>
      <c r="D1529" s="28" t="str">
        <f>IF(Nov!$I21="SI",Nov!$L21,"")</f>
        <v/>
      </c>
      <c r="E1529" s="48" t="s">
        <v>117</v>
      </c>
    </row>
    <row r="1530" spans="2:5" x14ac:dyDescent="0.2">
      <c r="B1530" s="28" t="str">
        <f>IF(Nov!$I22="SI",Nov!$H$12,"")</f>
        <v/>
      </c>
      <c r="C1530" s="28" t="str">
        <f>IF(Nov!$I22="SI",Nov!$H22,"")</f>
        <v/>
      </c>
      <c r="D1530" s="28" t="str">
        <f>IF(Nov!$I22="SI",Nov!$L22,"")</f>
        <v/>
      </c>
      <c r="E1530" s="48" t="s">
        <v>117</v>
      </c>
    </row>
    <row r="1531" spans="2:5" x14ac:dyDescent="0.2">
      <c r="B1531" s="28" t="str">
        <f>IF(Nov!$I23="SI",Nov!$H$12,"")</f>
        <v/>
      </c>
      <c r="C1531" s="28" t="str">
        <f>IF(Nov!$I23="SI",Nov!$H23,"")</f>
        <v/>
      </c>
      <c r="D1531" s="28" t="str">
        <f>IF(Nov!$I23="SI",Nov!$L23,"")</f>
        <v/>
      </c>
      <c r="E1531" s="48" t="s">
        <v>117</v>
      </c>
    </row>
    <row r="1532" spans="2:5" x14ac:dyDescent="0.2">
      <c r="B1532" s="28" t="str">
        <f>IF(Nov!$I24="SI",Nov!$H$12,"")</f>
        <v/>
      </c>
      <c r="C1532" s="28" t="str">
        <f>IF(Nov!$I24="SI",Nov!$H24,"")</f>
        <v/>
      </c>
      <c r="D1532" s="28" t="str">
        <f>IF(Nov!$I24="SI",Nov!$L24,"")</f>
        <v/>
      </c>
      <c r="E1532" s="48" t="s">
        <v>117</v>
      </c>
    </row>
    <row r="1533" spans="2:5" x14ac:dyDescent="0.2">
      <c r="B1533" s="28" t="str">
        <f>IF(Nov!$I28="SI",Nov!$H$27,"")</f>
        <v/>
      </c>
      <c r="C1533" s="28" t="str">
        <f>IF(Nov!$I28="SI",Nov!$H28,"")</f>
        <v/>
      </c>
      <c r="D1533" s="28" t="str">
        <f>IF(Nov!$I28="SI",Nov!$L28,"")</f>
        <v/>
      </c>
      <c r="E1533" s="48" t="s">
        <v>117</v>
      </c>
    </row>
    <row r="1534" spans="2:5" x14ac:dyDescent="0.2">
      <c r="B1534" s="28" t="str">
        <f>IF(Nov!$I29="SI",Nov!$H$27,"")</f>
        <v/>
      </c>
      <c r="C1534" s="28" t="str">
        <f>IF(Nov!$I29="SI",Nov!$H29,"")</f>
        <v/>
      </c>
      <c r="D1534" s="28" t="str">
        <f>IF(Nov!$I29="SI",Nov!$L29,"")</f>
        <v/>
      </c>
      <c r="E1534" s="48" t="s">
        <v>117</v>
      </c>
    </row>
    <row r="1535" spans="2:5" x14ac:dyDescent="0.2">
      <c r="B1535" s="28" t="str">
        <f>IF(Nov!$I30="SI",Nov!$H$27,"")</f>
        <v/>
      </c>
      <c r="C1535" s="28" t="str">
        <f>IF(Nov!$I30="SI",Nov!$H30,"")</f>
        <v/>
      </c>
      <c r="D1535" s="28" t="str">
        <f>IF(Nov!$I30="SI",Nov!$L30,"")</f>
        <v/>
      </c>
      <c r="E1535" s="48" t="s">
        <v>117</v>
      </c>
    </row>
    <row r="1536" spans="2:5" x14ac:dyDescent="0.2">
      <c r="B1536" s="28" t="str">
        <f>IF(Nov!$I31="SI",Nov!$H$27,"")</f>
        <v/>
      </c>
      <c r="C1536" s="28" t="str">
        <f>IF(Nov!$I31="SI",Nov!$H31,"")</f>
        <v/>
      </c>
      <c r="D1536" s="28" t="str">
        <f>IF(Nov!$I31="SI",Nov!$L31,"")</f>
        <v/>
      </c>
      <c r="E1536" s="48" t="s">
        <v>117</v>
      </c>
    </row>
    <row r="1537" spans="2:5" x14ac:dyDescent="0.2">
      <c r="B1537" s="28" t="str">
        <f>IF(Nov!$I32="SI",Nov!$H$27,"")</f>
        <v/>
      </c>
      <c r="C1537" s="28" t="str">
        <f>IF(Nov!$I32="SI",Nov!$H32,"")</f>
        <v/>
      </c>
      <c r="D1537" s="28" t="str">
        <f>IF(Nov!$I32="SI",Nov!$L32,"")</f>
        <v/>
      </c>
      <c r="E1537" s="48" t="s">
        <v>117</v>
      </c>
    </row>
    <row r="1538" spans="2:5" x14ac:dyDescent="0.2">
      <c r="B1538" s="28" t="str">
        <f>IF(Nov!$I33="SI",Nov!$H$27,"")</f>
        <v/>
      </c>
      <c r="C1538" s="28" t="str">
        <f>IF(Nov!$I33="SI",Nov!$H33,"")</f>
        <v/>
      </c>
      <c r="D1538" s="28" t="str">
        <f>IF(Nov!$I33="SI",Nov!$L33,"")</f>
        <v/>
      </c>
      <c r="E1538" s="48" t="s">
        <v>117</v>
      </c>
    </row>
    <row r="1539" spans="2:5" x14ac:dyDescent="0.2">
      <c r="B1539" s="28" t="str">
        <f>IF(Nov!$I34="SI",Nov!$H$27,"")</f>
        <v/>
      </c>
      <c r="C1539" s="28" t="str">
        <f>IF(Nov!$I34="SI",Nov!$H34,"")</f>
        <v/>
      </c>
      <c r="D1539" s="28" t="str">
        <f>IF(Nov!$I34="SI",Nov!$L34,"")</f>
        <v/>
      </c>
      <c r="E1539" s="48" t="s">
        <v>117</v>
      </c>
    </row>
    <row r="1540" spans="2:5" x14ac:dyDescent="0.2">
      <c r="B1540" s="28" t="str">
        <f>IF(Nov!$I35="SI",Nov!$H$27,"")</f>
        <v/>
      </c>
      <c r="C1540" s="28" t="str">
        <f>IF(Nov!$I35="SI",Nov!$H35,"")</f>
        <v/>
      </c>
      <c r="D1540" s="28" t="str">
        <f>IF(Nov!$I35="SI",Nov!$L35,"")</f>
        <v/>
      </c>
      <c r="E1540" s="48" t="s">
        <v>117</v>
      </c>
    </row>
    <row r="1541" spans="2:5" x14ac:dyDescent="0.2">
      <c r="B1541" s="28" t="str">
        <f>IF(Nov!$I39="SI",Nov!$H$38,"")</f>
        <v/>
      </c>
      <c r="C1541" s="28" t="str">
        <f>IF(Nov!$I39="SI",Nov!$H39,"")</f>
        <v/>
      </c>
      <c r="D1541" s="28" t="str">
        <f>IF(Nov!$I39="SI",Nov!$L39,"")</f>
        <v/>
      </c>
      <c r="E1541" s="48" t="s">
        <v>117</v>
      </c>
    </row>
    <row r="1542" spans="2:5" x14ac:dyDescent="0.2">
      <c r="B1542" s="28" t="str">
        <f>IF(Nov!$I40="SI",Nov!$H$38,"")</f>
        <v/>
      </c>
      <c r="C1542" s="28" t="str">
        <f>IF(Nov!$I40="SI",Nov!$H40,"")</f>
        <v/>
      </c>
      <c r="D1542" s="28" t="str">
        <f>IF(Nov!$I40="SI",Nov!$L40,"")</f>
        <v/>
      </c>
      <c r="E1542" s="48" t="s">
        <v>117</v>
      </c>
    </row>
    <row r="1543" spans="2:5" x14ac:dyDescent="0.2">
      <c r="B1543" s="28" t="str">
        <f>IF(Nov!$I41="SI",Nov!$H$38,"")</f>
        <v/>
      </c>
      <c r="C1543" s="28" t="str">
        <f>IF(Nov!$I41="SI",Nov!$H41,"")</f>
        <v/>
      </c>
      <c r="D1543" s="28" t="str">
        <f>IF(Nov!$I41="SI",Nov!$L41,"")</f>
        <v/>
      </c>
      <c r="E1543" s="48" t="s">
        <v>117</v>
      </c>
    </row>
    <row r="1544" spans="2:5" x14ac:dyDescent="0.2">
      <c r="B1544" s="28" t="str">
        <f>IF(Nov!$I42="SI",Nov!$H$38,"")</f>
        <v/>
      </c>
      <c r="C1544" s="28" t="str">
        <f>IF(Nov!$I42="SI",Nov!$H42,"")</f>
        <v/>
      </c>
      <c r="D1544" s="28" t="str">
        <f>IF(Nov!$I42="SI",Nov!$L42,"")</f>
        <v/>
      </c>
      <c r="E1544" s="48" t="s">
        <v>117</v>
      </c>
    </row>
    <row r="1545" spans="2:5" x14ac:dyDescent="0.2">
      <c r="B1545" s="28" t="str">
        <f>IF(Nov!$I43="SI",Nov!$H$38,"")</f>
        <v/>
      </c>
      <c r="C1545" s="28" t="str">
        <f>IF(Nov!$I43="SI",Nov!$H43,"")</f>
        <v/>
      </c>
      <c r="D1545" s="28" t="str">
        <f>IF(Nov!$I43="SI",Nov!$L43,"")</f>
        <v/>
      </c>
      <c r="E1545" s="48" t="s">
        <v>117</v>
      </c>
    </row>
    <row r="1546" spans="2:5" x14ac:dyDescent="0.2">
      <c r="B1546" s="28" t="str">
        <f>IF(Nov!$I44="SI",Nov!$H$38,"")</f>
        <v/>
      </c>
      <c r="C1546" s="28" t="str">
        <f>IF(Nov!$I44="SI",Nov!$H44,"")</f>
        <v/>
      </c>
      <c r="D1546" s="28" t="str">
        <f>IF(Nov!$I44="SI",Nov!$L44,"")</f>
        <v/>
      </c>
      <c r="E1546" s="48" t="s">
        <v>117</v>
      </c>
    </row>
    <row r="1547" spans="2:5" x14ac:dyDescent="0.2">
      <c r="B1547" s="28" t="str">
        <f>IF(Nov!$I45="SI",Nov!$H$38,"")</f>
        <v/>
      </c>
      <c r="C1547" s="28" t="str">
        <f>IF(Nov!$I45="SI",Nov!$H45,"")</f>
        <v/>
      </c>
      <c r="D1547" s="28" t="str">
        <f>IF(Nov!$I45="SI",Nov!$L45,"")</f>
        <v/>
      </c>
      <c r="E1547" s="48" t="s">
        <v>117</v>
      </c>
    </row>
    <row r="1548" spans="2:5" x14ac:dyDescent="0.2">
      <c r="B1548" s="28" t="str">
        <f>IF(Nov!$I49="SI",Nov!$H$48,"")</f>
        <v/>
      </c>
      <c r="C1548" s="28" t="str">
        <f>IF(Nov!$I49="SI",Nov!$H49,"")</f>
        <v/>
      </c>
      <c r="D1548" s="28" t="str">
        <f>IF(Nov!$I49="SI",Nov!$L49,"")</f>
        <v/>
      </c>
      <c r="E1548" s="48" t="s">
        <v>117</v>
      </c>
    </row>
    <row r="1549" spans="2:5" x14ac:dyDescent="0.2">
      <c r="B1549" s="28" t="str">
        <f>IF(Nov!$I50="SI",Nov!$H$48,"")</f>
        <v/>
      </c>
      <c r="C1549" s="28" t="str">
        <f>IF(Nov!$I50="SI",Nov!$H50,"")</f>
        <v/>
      </c>
      <c r="D1549" s="28" t="str">
        <f>IF(Nov!$I50="SI",Nov!$L50,"")</f>
        <v/>
      </c>
      <c r="E1549" s="48" t="s">
        <v>117</v>
      </c>
    </row>
    <row r="1550" spans="2:5" x14ac:dyDescent="0.2">
      <c r="B1550" s="28" t="str">
        <f>IF(Nov!$I51="SI",Nov!$H$48,"")</f>
        <v/>
      </c>
      <c r="C1550" s="28" t="str">
        <f>IF(Nov!$I51="SI",Nov!$H51,"")</f>
        <v/>
      </c>
      <c r="D1550" s="28" t="str">
        <f>IF(Nov!$I51="SI",Nov!$L51,"")</f>
        <v/>
      </c>
      <c r="E1550" s="48" t="s">
        <v>117</v>
      </c>
    </row>
    <row r="1551" spans="2:5" x14ac:dyDescent="0.2">
      <c r="B1551" s="28" t="str">
        <f>IF(Nov!$I52="SI",Nov!$H$48,"")</f>
        <v/>
      </c>
      <c r="C1551" s="28" t="str">
        <f>IF(Nov!$I52="SI",Nov!$H52,"")</f>
        <v/>
      </c>
      <c r="D1551" s="28" t="str">
        <f>IF(Nov!$I52="SI",Nov!$L52,"")</f>
        <v/>
      </c>
      <c r="E1551" s="48" t="s">
        <v>117</v>
      </c>
    </row>
    <row r="1552" spans="2:5" x14ac:dyDescent="0.2">
      <c r="B1552" s="28" t="str">
        <f>IF(Nov!$I53="SI",Nov!$H$48,"")</f>
        <v/>
      </c>
      <c r="C1552" s="28" t="str">
        <f>IF(Nov!$I53="SI",Nov!$H53,"")</f>
        <v/>
      </c>
      <c r="D1552" s="28" t="str">
        <f>IF(Nov!$I53="SI",Nov!$L53,"")</f>
        <v/>
      </c>
      <c r="E1552" s="48" t="s">
        <v>117</v>
      </c>
    </row>
    <row r="1553" spans="2:5" x14ac:dyDescent="0.2">
      <c r="B1553" s="28" t="str">
        <f>IF(Nov!$I54="SI",Nov!$H$48,"")</f>
        <v/>
      </c>
      <c r="C1553" s="28" t="str">
        <f>IF(Nov!$I54="SI",Nov!$H54,"")</f>
        <v/>
      </c>
      <c r="D1553" s="28" t="str">
        <f>IF(Nov!$I54="SI",Nov!$L54,"")</f>
        <v/>
      </c>
      <c r="E1553" s="48" t="s">
        <v>117</v>
      </c>
    </row>
    <row r="1554" spans="2:5" x14ac:dyDescent="0.2">
      <c r="B1554" s="28" t="str">
        <f>IF(Nov!$I58="SI",Nov!$H$57,"")</f>
        <v/>
      </c>
      <c r="C1554" s="28" t="str">
        <f>IF(Nov!$I58="SI",Nov!$H58,"")</f>
        <v/>
      </c>
      <c r="D1554" s="28" t="str">
        <f>IF(Nov!$I58="SI",Nov!$L58,"")</f>
        <v/>
      </c>
      <c r="E1554" s="48" t="s">
        <v>117</v>
      </c>
    </row>
    <row r="1555" spans="2:5" x14ac:dyDescent="0.2">
      <c r="B1555" s="28" t="str">
        <f>IF(Nov!$I59="SI",Nov!$H$57,"")</f>
        <v/>
      </c>
      <c r="C1555" s="28" t="str">
        <f>IF(Nov!$I59="SI",Nov!$H59,"")</f>
        <v/>
      </c>
      <c r="D1555" s="28" t="str">
        <f>IF(Nov!$I59="SI",Nov!$L59,"")</f>
        <v/>
      </c>
      <c r="E1555" s="48" t="s">
        <v>117</v>
      </c>
    </row>
    <row r="1556" spans="2:5" x14ac:dyDescent="0.2">
      <c r="B1556" s="28" t="str">
        <f>IF(Nov!$I60="SI",Nov!$H$57,"")</f>
        <v/>
      </c>
      <c r="C1556" s="28" t="str">
        <f>IF(Nov!$I60="SI",Nov!$H60,"")</f>
        <v/>
      </c>
      <c r="D1556" s="28" t="str">
        <f>IF(Nov!$I60="SI",Nov!$L60,"")</f>
        <v/>
      </c>
      <c r="E1556" s="48" t="s">
        <v>117</v>
      </c>
    </row>
    <row r="1557" spans="2:5" x14ac:dyDescent="0.2">
      <c r="B1557" s="28" t="str">
        <f>IF(Nov!$I61="SI",Nov!$H$57,"")</f>
        <v/>
      </c>
      <c r="C1557" s="28" t="str">
        <f>IF(Nov!$I61="SI",Nov!$H61,"")</f>
        <v/>
      </c>
      <c r="D1557" s="28" t="str">
        <f>IF(Nov!$I61="SI",Nov!$L61,"")</f>
        <v/>
      </c>
      <c r="E1557" s="48" t="s">
        <v>117</v>
      </c>
    </row>
    <row r="1558" spans="2:5" x14ac:dyDescent="0.2">
      <c r="B1558" s="28" t="str">
        <f>IF(Nov!$I62="SI",Nov!$H$57,"")</f>
        <v/>
      </c>
      <c r="C1558" s="28" t="str">
        <f>IF(Nov!$I62="SI",Nov!$H62,"")</f>
        <v/>
      </c>
      <c r="D1558" s="28" t="str">
        <f>IF(Nov!$I62="SI",Nov!$L62,"")</f>
        <v/>
      </c>
      <c r="E1558" s="48" t="s">
        <v>117</v>
      </c>
    </row>
    <row r="1559" spans="2:5" x14ac:dyDescent="0.2">
      <c r="B1559" s="28" t="str">
        <f>IF(Nov!$I63="SI",Nov!$H$57,"")</f>
        <v/>
      </c>
      <c r="C1559" s="28" t="str">
        <f>IF(Nov!$I63="SI",Nov!$H63,"")</f>
        <v/>
      </c>
      <c r="D1559" s="28" t="str">
        <f>IF(Nov!$I63="SI",Nov!$L63,"")</f>
        <v/>
      </c>
      <c r="E1559" s="48" t="s">
        <v>117</v>
      </c>
    </row>
    <row r="1560" spans="2:5" x14ac:dyDescent="0.2">
      <c r="B1560" s="28" t="str">
        <f>IF(Nov!$I64="SI",Nov!$H$57,"")</f>
        <v/>
      </c>
      <c r="C1560" s="28" t="str">
        <f>IF(Nov!$I64="SI",Nov!$H64,"")</f>
        <v/>
      </c>
      <c r="D1560" s="28" t="str">
        <f>IF(Nov!$I64="SI",Nov!$L64,"")</f>
        <v/>
      </c>
      <c r="E1560" s="48" t="s">
        <v>117</v>
      </c>
    </row>
    <row r="1561" spans="2:5" x14ac:dyDescent="0.2">
      <c r="B1561" s="28" t="str">
        <f>IF(Nov!$I68="SI",Nov!$H$67,"")</f>
        <v/>
      </c>
      <c r="C1561" s="28" t="str">
        <f>IF(Nov!$I68="SI",Nov!$H68,"")</f>
        <v/>
      </c>
      <c r="D1561" s="28" t="str">
        <f>IF(Nov!$I68="SI",Nov!$L68,"")</f>
        <v/>
      </c>
      <c r="E1561" s="48" t="s">
        <v>117</v>
      </c>
    </row>
    <row r="1562" spans="2:5" x14ac:dyDescent="0.2">
      <c r="B1562" s="28" t="str">
        <f>IF(Nov!$I69="SI",Nov!$H$67,"")</f>
        <v/>
      </c>
      <c r="C1562" s="28" t="str">
        <f>IF(Nov!$I69="SI",Nov!$H69,"")</f>
        <v/>
      </c>
      <c r="D1562" s="28" t="str">
        <f>IF(Nov!$I69="SI",Nov!$L69,"")</f>
        <v/>
      </c>
      <c r="E1562" s="48" t="s">
        <v>117</v>
      </c>
    </row>
    <row r="1563" spans="2:5" x14ac:dyDescent="0.2">
      <c r="B1563" s="28" t="str">
        <f>IF(Nov!$I70="SI",Nov!$H$67,"")</f>
        <v/>
      </c>
      <c r="C1563" s="28" t="str">
        <f>IF(Nov!$I70="SI",Nov!$H70,"")</f>
        <v/>
      </c>
      <c r="D1563" s="28" t="str">
        <f>IF(Nov!$I70="SI",Nov!$L70,"")</f>
        <v/>
      </c>
      <c r="E1563" s="48" t="s">
        <v>117</v>
      </c>
    </row>
    <row r="1564" spans="2:5" x14ac:dyDescent="0.2">
      <c r="B1564" s="28" t="str">
        <f>IF(Nov!$I71="SI",Nov!$H$67,"")</f>
        <v/>
      </c>
      <c r="C1564" s="28" t="str">
        <f>IF(Nov!$I71="SI",Nov!$H71,"")</f>
        <v/>
      </c>
      <c r="D1564" s="28" t="str">
        <f>IF(Nov!$I71="SI",Nov!$L71,"")</f>
        <v/>
      </c>
      <c r="E1564" s="48" t="s">
        <v>117</v>
      </c>
    </row>
    <row r="1565" spans="2:5" x14ac:dyDescent="0.2">
      <c r="B1565" s="28" t="str">
        <f>IF(Nov!$I72="SI",Nov!$H$67,"")</f>
        <v/>
      </c>
      <c r="C1565" s="28" t="str">
        <f>IF(Nov!$I72="SI",Nov!$H72,"")</f>
        <v/>
      </c>
      <c r="D1565" s="28" t="str">
        <f>IF(Nov!$I72="SI",Nov!$L72,"")</f>
        <v/>
      </c>
      <c r="E1565" s="48" t="s">
        <v>117</v>
      </c>
    </row>
    <row r="1566" spans="2:5" x14ac:dyDescent="0.2">
      <c r="B1566" s="28" t="str">
        <f>IF(Nov!$I73="SI",Nov!$H$67,"")</f>
        <v/>
      </c>
      <c r="C1566" s="28" t="str">
        <f>IF(Nov!$I73="SI",Nov!$H73,"")</f>
        <v/>
      </c>
      <c r="D1566" s="28" t="str">
        <f>IF(Nov!$I73="SI",Nov!$L73,"")</f>
        <v/>
      </c>
      <c r="E1566" s="48" t="s">
        <v>117</v>
      </c>
    </row>
    <row r="1567" spans="2:5" x14ac:dyDescent="0.2">
      <c r="B1567" s="28" t="str">
        <f>IF(Nov!$I74="SI",Nov!$H$67,"")</f>
        <v/>
      </c>
      <c r="C1567" s="28" t="str">
        <f>IF(Nov!$I74="SI",Nov!$H74,"")</f>
        <v/>
      </c>
      <c r="D1567" s="28" t="str">
        <f>IF(Nov!$I74="SI",Nov!$L74,"")</f>
        <v/>
      </c>
      <c r="E1567" s="48" t="s">
        <v>117</v>
      </c>
    </row>
    <row r="1568" spans="2:5" x14ac:dyDescent="0.2">
      <c r="B1568" s="28" t="str">
        <f>IF(Nov!$I75="SI",Nov!$H$67,"")</f>
        <v/>
      </c>
      <c r="C1568" s="28" t="str">
        <f>IF(Nov!$I75="SI",Nov!$H75,"")</f>
        <v/>
      </c>
      <c r="D1568" s="28" t="str">
        <f>IF(Nov!$I75="SI",Nov!$L75,"")</f>
        <v/>
      </c>
      <c r="E1568" s="48" t="s">
        <v>117</v>
      </c>
    </row>
    <row r="1569" spans="2:5" x14ac:dyDescent="0.2">
      <c r="B1569" s="28" t="str">
        <f>IF(Nov!$I76="SI",Nov!$H$67,"")</f>
        <v/>
      </c>
      <c r="C1569" s="28" t="str">
        <f>IF(Nov!$I76="SI",Nov!$H76,"")</f>
        <v/>
      </c>
      <c r="D1569" s="28" t="str">
        <f>IF(Nov!$I76="SI",Nov!$L76,"")</f>
        <v/>
      </c>
      <c r="E1569" s="48" t="s">
        <v>117</v>
      </c>
    </row>
    <row r="1570" spans="2:5" x14ac:dyDescent="0.2">
      <c r="B1570" s="28" t="str">
        <f>IF(Nov!$I77="SI",Nov!$H$67,"")</f>
        <v/>
      </c>
      <c r="C1570" s="28" t="str">
        <f>IF(Nov!$I77="SI",Nov!$H77,"")</f>
        <v/>
      </c>
      <c r="D1570" s="28" t="str">
        <f>IF(Nov!$I77="SI",Nov!$L77,"")</f>
        <v/>
      </c>
      <c r="E1570" s="48" t="s">
        <v>117</v>
      </c>
    </row>
    <row r="1571" spans="2:5" x14ac:dyDescent="0.2">
      <c r="B1571" s="28" t="str">
        <f>IF(Nov!$I78="SI",Nov!$H$67,"")</f>
        <v/>
      </c>
      <c r="C1571" s="28" t="str">
        <f>IF(Nov!$I78="SI",Nov!$H78,"")</f>
        <v/>
      </c>
      <c r="D1571" s="28" t="str">
        <f>IF(Nov!$I78="SI",Nov!$L78,"")</f>
        <v/>
      </c>
      <c r="E1571" s="48" t="s">
        <v>117</v>
      </c>
    </row>
    <row r="1572" spans="2:5" x14ac:dyDescent="0.2">
      <c r="B1572" s="28" t="str">
        <f>IF(Nov!$I82="SI",Nov!$H$81,"")</f>
        <v/>
      </c>
      <c r="C1572" s="28" t="str">
        <f>IF(Nov!$I82="SI",Nov!$H82,"")</f>
        <v/>
      </c>
      <c r="D1572" s="28" t="str">
        <f>IF(Nov!$I82="SI",Nov!$L82,"")</f>
        <v/>
      </c>
      <c r="E1572" s="48" t="s">
        <v>117</v>
      </c>
    </row>
    <row r="1573" spans="2:5" x14ac:dyDescent="0.2">
      <c r="B1573" s="28" t="str">
        <f>IF(Nov!$I83="SI",Nov!$H$81,"")</f>
        <v/>
      </c>
      <c r="C1573" s="28" t="str">
        <f>IF(Nov!$I83="SI",Nov!$H83,"")</f>
        <v/>
      </c>
      <c r="D1573" s="28" t="str">
        <f>IF(Nov!$I83="SI",Nov!$L83,"")</f>
        <v/>
      </c>
      <c r="E1573" s="48" t="s">
        <v>117</v>
      </c>
    </row>
    <row r="1574" spans="2:5" x14ac:dyDescent="0.2">
      <c r="B1574" s="28" t="str">
        <f>IF(Nov!$I84="SI",Nov!$H$81,"")</f>
        <v/>
      </c>
      <c r="C1574" s="28" t="str">
        <f>IF(Nov!$I84="SI",Nov!$H84,"")</f>
        <v/>
      </c>
      <c r="D1574" s="28" t="str">
        <f>IF(Nov!$I84="SI",Nov!$L84,"")</f>
        <v/>
      </c>
      <c r="E1574" s="48" t="s">
        <v>117</v>
      </c>
    </row>
    <row r="1575" spans="2:5" x14ac:dyDescent="0.2">
      <c r="B1575" s="28" t="str">
        <f>IF(Nov!$I85="SI",Nov!$H$81,"")</f>
        <v/>
      </c>
      <c r="C1575" s="28" t="str">
        <f>IF(Nov!$I85="SI",Nov!$H85,"")</f>
        <v/>
      </c>
      <c r="D1575" s="28" t="str">
        <f>IF(Nov!$I85="SI",Nov!$L85,"")</f>
        <v/>
      </c>
      <c r="E1575" s="48" t="s">
        <v>117</v>
      </c>
    </row>
    <row r="1576" spans="2:5" x14ac:dyDescent="0.2">
      <c r="B1576" s="28" t="str">
        <f>IF(Nov!$I86="SI",Nov!$H$81,"")</f>
        <v/>
      </c>
      <c r="C1576" s="28" t="str">
        <f>IF(Nov!$I86="SI",Nov!$H86,"")</f>
        <v/>
      </c>
      <c r="D1576" s="28" t="str">
        <f>IF(Nov!$I86="SI",Nov!$L86,"")</f>
        <v/>
      </c>
      <c r="E1576" s="48" t="s">
        <v>117</v>
      </c>
    </row>
    <row r="1577" spans="2:5" x14ac:dyDescent="0.2">
      <c r="B1577" s="28" t="str">
        <f>IF(Nov!$I87="SI",Nov!$H$81,"")</f>
        <v/>
      </c>
      <c r="C1577" s="28" t="str">
        <f>IF(Nov!$I87="SI",Nov!$H87,"")</f>
        <v/>
      </c>
      <c r="D1577" s="28" t="str">
        <f>IF(Nov!$I87="SI",Nov!$L87,"")</f>
        <v/>
      </c>
      <c r="E1577" s="48" t="s">
        <v>117</v>
      </c>
    </row>
    <row r="1578" spans="2:5" x14ac:dyDescent="0.2">
      <c r="B1578" s="28" t="str">
        <f>IF(Nov!$I91="SI",Nov!$H$90,"")</f>
        <v/>
      </c>
      <c r="C1578" s="28" t="str">
        <f>IF(Nov!$I91="SI",Nov!$H91,"")</f>
        <v/>
      </c>
      <c r="D1578" s="28" t="str">
        <f>IF(Nov!$I91="SI",Nov!$L91,"")</f>
        <v/>
      </c>
      <c r="E1578" s="48" t="s">
        <v>117</v>
      </c>
    </row>
    <row r="1579" spans="2:5" x14ac:dyDescent="0.2">
      <c r="B1579" s="28" t="str">
        <f>IF(Nov!$I92="SI",Nov!$H$90,"")</f>
        <v/>
      </c>
      <c r="C1579" s="28" t="str">
        <f>IF(Nov!$I92="SI",Nov!$H92,"")</f>
        <v/>
      </c>
      <c r="D1579" s="28" t="str">
        <f>IF(Nov!$I92="SI",Nov!$L92,"")</f>
        <v/>
      </c>
      <c r="E1579" s="48" t="s">
        <v>117</v>
      </c>
    </row>
    <row r="1580" spans="2:5" x14ac:dyDescent="0.2">
      <c r="B1580" s="28" t="str">
        <f>IF(Nov!$I93="SI",Nov!$H$90,"")</f>
        <v/>
      </c>
      <c r="C1580" s="28" t="str">
        <f>IF(Nov!$I93="SI",Nov!$H93,"")</f>
        <v/>
      </c>
      <c r="D1580" s="28" t="str">
        <f>IF(Nov!$I93="SI",Nov!$L93,"")</f>
        <v/>
      </c>
      <c r="E1580" s="48" t="s">
        <v>117</v>
      </c>
    </row>
    <row r="1581" spans="2:5" x14ac:dyDescent="0.2">
      <c r="B1581" s="28" t="str">
        <f>IF(Nov!$I94="SI",Nov!$H$90,"")</f>
        <v/>
      </c>
      <c r="C1581" s="28" t="str">
        <f>IF(Nov!$I94="SI",Nov!$H94,"")</f>
        <v/>
      </c>
      <c r="D1581" s="28" t="str">
        <f>IF(Nov!$I94="SI",Nov!$L94,"")</f>
        <v/>
      </c>
      <c r="E1581" s="48" t="s">
        <v>117</v>
      </c>
    </row>
    <row r="1582" spans="2:5" x14ac:dyDescent="0.2">
      <c r="B1582" s="28" t="str">
        <f>IF(Nov!$I95="SI",Nov!$H$90,"")</f>
        <v/>
      </c>
      <c r="C1582" s="28" t="str">
        <f>IF(Nov!$I95="SI",Nov!$H95,"")</f>
        <v/>
      </c>
      <c r="D1582" s="28" t="str">
        <f>IF(Nov!$I95="SI",Nov!$L95,"")</f>
        <v/>
      </c>
      <c r="E1582" s="48" t="s">
        <v>117</v>
      </c>
    </row>
    <row r="1583" spans="2:5" x14ac:dyDescent="0.2">
      <c r="B1583" s="28" t="str">
        <f>IF(Nov!$I96="SI",Nov!$H$90,"")</f>
        <v/>
      </c>
      <c r="C1583" s="28" t="str">
        <f>IF(Nov!$I96="SI",Nov!$H96,"")</f>
        <v/>
      </c>
      <c r="D1583" s="28" t="str">
        <f>IF(Nov!$I96="SI",Nov!$L96,"")</f>
        <v/>
      </c>
      <c r="E1583" s="48" t="s">
        <v>117</v>
      </c>
    </row>
    <row r="1584" spans="2:5" x14ac:dyDescent="0.2">
      <c r="B1584" s="28" t="str">
        <f>IF(Nov!$I97="SI",Nov!$H$90,"")</f>
        <v/>
      </c>
      <c r="C1584" s="28" t="str">
        <f>IF(Nov!$I97="SI",Nov!$H97,"")</f>
        <v/>
      </c>
      <c r="D1584" s="28" t="str">
        <f>IF(Nov!$I97="SI",Nov!$L97,"")</f>
        <v/>
      </c>
      <c r="E1584" s="48" t="s">
        <v>117</v>
      </c>
    </row>
    <row r="1585" spans="2:5" x14ac:dyDescent="0.2">
      <c r="B1585" s="28" t="str">
        <f>IF(Nov!$I101="SI",Nov!$H$100,"")</f>
        <v/>
      </c>
      <c r="C1585" s="28" t="str">
        <f>IF(Nov!$I101="SI",Nov!$H101,"")</f>
        <v/>
      </c>
      <c r="D1585" s="28" t="str">
        <f>IF(Nov!$I101="SI",Nov!$L101,"")</f>
        <v/>
      </c>
      <c r="E1585" s="48" t="s">
        <v>117</v>
      </c>
    </row>
    <row r="1586" spans="2:5" x14ac:dyDescent="0.2">
      <c r="B1586" s="28" t="str">
        <f>IF(Nov!$I102="SI",Nov!$H$100,"")</f>
        <v/>
      </c>
      <c r="C1586" s="28" t="str">
        <f>IF(Nov!$I102="SI",Nov!$H102,"")</f>
        <v/>
      </c>
      <c r="D1586" s="28" t="str">
        <f>IF(Nov!$I102="SI",Nov!$L102,"")</f>
        <v/>
      </c>
      <c r="E1586" s="48" t="s">
        <v>117</v>
      </c>
    </row>
    <row r="1587" spans="2:5" x14ac:dyDescent="0.2">
      <c r="B1587" s="28" t="str">
        <f>IF(Nov!$I103="SI",Nov!$H$100,"")</f>
        <v/>
      </c>
      <c r="C1587" s="28" t="str">
        <f>IF(Nov!$I103="SI",Nov!$H103,"")</f>
        <v/>
      </c>
      <c r="D1587" s="28" t="str">
        <f>IF(Nov!$I103="SI",Nov!$L103,"")</f>
        <v/>
      </c>
      <c r="E1587" s="48" t="s">
        <v>117</v>
      </c>
    </row>
    <row r="1588" spans="2:5" x14ac:dyDescent="0.2">
      <c r="B1588" s="28" t="str">
        <f>IF(Nov!$I104="SI",Nov!$H$100,"")</f>
        <v/>
      </c>
      <c r="C1588" s="28" t="str">
        <f>IF(Nov!$I104="SI",Nov!$H104,"")</f>
        <v/>
      </c>
      <c r="D1588" s="28" t="str">
        <f>IF(Nov!$I104="SI",Nov!$L104,"")</f>
        <v/>
      </c>
      <c r="E1588" s="48" t="s">
        <v>117</v>
      </c>
    </row>
    <row r="1589" spans="2:5" x14ac:dyDescent="0.2">
      <c r="B1589" s="28" t="str">
        <f>IF(Nov!$I105="SI",Nov!$H$100,"")</f>
        <v/>
      </c>
      <c r="C1589" s="28" t="str">
        <f>IF(Nov!$I105="SI",Nov!$H105,"")</f>
        <v/>
      </c>
      <c r="D1589" s="28" t="str">
        <f>IF(Nov!$I105="SI",Nov!$L105,"")</f>
        <v/>
      </c>
      <c r="E1589" s="48" t="s">
        <v>117</v>
      </c>
    </row>
    <row r="1590" spans="2:5" x14ac:dyDescent="0.2">
      <c r="B1590" s="28" t="str">
        <f>IF(Nov!$I106="SI",Nov!$H$100,"")</f>
        <v/>
      </c>
      <c r="C1590" s="28" t="str">
        <f>IF(Nov!$I106="SI",Nov!$H106,"")</f>
        <v/>
      </c>
      <c r="D1590" s="28" t="str">
        <f>IF(Nov!$I106="SI",Nov!$L106,"")</f>
        <v/>
      </c>
      <c r="E1590" s="48" t="s">
        <v>117</v>
      </c>
    </row>
    <row r="1591" spans="2:5" x14ac:dyDescent="0.2">
      <c r="B1591" s="28" t="str">
        <f>IF(Nov!$I107="SI",Nov!$H$100,"")</f>
        <v/>
      </c>
      <c r="C1591" s="28" t="str">
        <f>IF(Nov!$I107="SI",Nov!$H107,"")</f>
        <v/>
      </c>
      <c r="D1591" s="28" t="str">
        <f>IF(Nov!$I107="SI",Nov!$L107,"")</f>
        <v/>
      </c>
      <c r="E1591" s="48" t="s">
        <v>117</v>
      </c>
    </row>
    <row r="1592" spans="2:5" x14ac:dyDescent="0.2">
      <c r="B1592" s="29"/>
      <c r="C1592" s="29"/>
      <c r="D1592" s="29"/>
      <c r="E1592" s="48" t="s">
        <v>117</v>
      </c>
    </row>
    <row r="1593" spans="2:5" x14ac:dyDescent="0.2">
      <c r="B1593" s="28" t="str">
        <f>IF(Dec!$C13="SI",Dec!$B$12,"")</f>
        <v/>
      </c>
      <c r="C1593" s="28" t="str">
        <f>IF(Dec!$C13="SI",Dec!$B13,"")</f>
        <v/>
      </c>
      <c r="D1593" s="28" t="str">
        <f>IF(Dec!$C13="SI",Dec!$F13,"")</f>
        <v/>
      </c>
      <c r="E1593" s="47" t="s">
        <v>118</v>
      </c>
    </row>
    <row r="1594" spans="2:5" x14ac:dyDescent="0.2">
      <c r="B1594" s="28" t="str">
        <f>IF(Dec!$C14="SI",Dec!$B$12,"")</f>
        <v/>
      </c>
      <c r="C1594" s="28" t="str">
        <f>IF(Dec!$C14="SI",Dec!$B14,"")</f>
        <v/>
      </c>
      <c r="D1594" s="28" t="str">
        <f>IF(Dec!$C14="SI",Dec!$F14,"")</f>
        <v/>
      </c>
      <c r="E1594" s="47" t="s">
        <v>118</v>
      </c>
    </row>
    <row r="1595" spans="2:5" x14ac:dyDescent="0.2">
      <c r="B1595" s="28" t="str">
        <f>IF(Dec!$C15="SI",Dec!$B$12,"")</f>
        <v/>
      </c>
      <c r="C1595" s="28" t="str">
        <f>IF(Dec!$C15="SI",Dec!$B15,"")</f>
        <v/>
      </c>
      <c r="D1595" s="28" t="str">
        <f>IF(Dec!$C15="SI",Dec!$F15,"")</f>
        <v/>
      </c>
      <c r="E1595" s="47" t="s">
        <v>118</v>
      </c>
    </row>
    <row r="1596" spans="2:5" x14ac:dyDescent="0.2">
      <c r="B1596" s="28" t="str">
        <f>IF(Dec!$C16="SI",Dec!$B$12,"")</f>
        <v/>
      </c>
      <c r="C1596" s="28" t="str">
        <f>IF(Dec!$C16="SI",Dec!$B16,"")</f>
        <v/>
      </c>
      <c r="D1596" s="28" t="str">
        <f>IF(Dec!$C16="SI",Dec!$F16,"")</f>
        <v/>
      </c>
      <c r="E1596" s="47" t="s">
        <v>118</v>
      </c>
    </row>
    <row r="1597" spans="2:5" x14ac:dyDescent="0.2">
      <c r="B1597" s="28" t="str">
        <f>IF(Dec!$C17="SI",Dec!$B$12,"")</f>
        <v/>
      </c>
      <c r="C1597" s="28" t="str">
        <f>IF(Dec!$C17="SI",Dec!$B17,"")</f>
        <v/>
      </c>
      <c r="D1597" s="28" t="str">
        <f>IF(Dec!$C17="SI",Dec!$F17,"")</f>
        <v/>
      </c>
      <c r="E1597" s="47" t="s">
        <v>118</v>
      </c>
    </row>
    <row r="1598" spans="2:5" x14ac:dyDescent="0.2">
      <c r="B1598" s="28" t="str">
        <f>IF(Dec!$C18="SI",Dec!$B$12,"")</f>
        <v/>
      </c>
      <c r="C1598" s="28" t="str">
        <f>IF(Dec!$C18="SI",Dec!$B18,"")</f>
        <v/>
      </c>
      <c r="D1598" s="28" t="str">
        <f>IF(Dec!$C18="SI",Dec!$F18,"")</f>
        <v/>
      </c>
      <c r="E1598" s="47" t="s">
        <v>118</v>
      </c>
    </row>
    <row r="1599" spans="2:5" x14ac:dyDescent="0.2">
      <c r="B1599" s="28" t="str">
        <f>IF(Dec!$C19="SI",Dec!$B$12,"")</f>
        <v/>
      </c>
      <c r="C1599" s="28" t="str">
        <f>IF(Dec!$C19="SI",Dec!$B19,"")</f>
        <v/>
      </c>
      <c r="D1599" s="28" t="str">
        <f>IF(Dec!$C19="SI",Dec!$F19,"")</f>
        <v/>
      </c>
      <c r="E1599" s="47" t="s">
        <v>118</v>
      </c>
    </row>
    <row r="1600" spans="2:5" x14ac:dyDescent="0.2">
      <c r="B1600" s="28" t="str">
        <f>IF(Dec!$C20="SI",Dec!$B$12,"")</f>
        <v/>
      </c>
      <c r="C1600" s="28" t="str">
        <f>IF(Dec!$C20="SI",Dec!$B20,"")</f>
        <v/>
      </c>
      <c r="D1600" s="28" t="str">
        <f>IF(Dec!$C20="SI",Dec!$F20,"")</f>
        <v/>
      </c>
      <c r="E1600" s="47" t="s">
        <v>118</v>
      </c>
    </row>
    <row r="1601" spans="2:5" x14ac:dyDescent="0.2">
      <c r="B1601" s="28" t="str">
        <f>IF(Dec!$C21="SI",Dec!$B$12,"")</f>
        <v/>
      </c>
      <c r="C1601" s="28" t="str">
        <f>IF(Dec!$C21="SI",Dec!$B21,"")</f>
        <v/>
      </c>
      <c r="D1601" s="28" t="str">
        <f>IF(Dec!$C21="SI",Dec!$F21,"")</f>
        <v/>
      </c>
      <c r="E1601" s="47" t="s">
        <v>118</v>
      </c>
    </row>
    <row r="1602" spans="2:5" x14ac:dyDescent="0.2">
      <c r="B1602" s="28" t="str">
        <f>IF(Dec!$C22="SI",Dec!$B$12,"")</f>
        <v/>
      </c>
      <c r="C1602" s="28" t="str">
        <f>IF(Dec!$C22="SI",Dec!$B22,"")</f>
        <v/>
      </c>
      <c r="D1602" s="28" t="str">
        <f>IF(Dec!$C22="SI",Dec!$F22,"")</f>
        <v/>
      </c>
      <c r="E1602" s="47" t="s">
        <v>118</v>
      </c>
    </row>
    <row r="1603" spans="2:5" x14ac:dyDescent="0.2">
      <c r="B1603" s="28" t="str">
        <f>IF(Dec!$C23="SI",Dec!$B$12,"")</f>
        <v/>
      </c>
      <c r="C1603" s="28" t="str">
        <f>IF(Dec!$C23="SI",Dec!$B23,"")</f>
        <v/>
      </c>
      <c r="D1603" s="28" t="str">
        <f>IF(Dec!$C23="SI",Dec!$F23,"")</f>
        <v/>
      </c>
      <c r="E1603" s="47" t="s">
        <v>118</v>
      </c>
    </row>
    <row r="1604" spans="2:5" x14ac:dyDescent="0.2">
      <c r="B1604" s="28" t="str">
        <f>IF(Dec!$C24="SI",Dec!$B$12,"")</f>
        <v/>
      </c>
      <c r="C1604" s="28" t="str">
        <f>IF(Dec!$C24="SI",Dec!$B24,"")</f>
        <v/>
      </c>
      <c r="D1604" s="28" t="str">
        <f>IF(Dec!$C24="SI",Dec!$F24,"")</f>
        <v/>
      </c>
      <c r="E1604" s="47" t="s">
        <v>118</v>
      </c>
    </row>
    <row r="1605" spans="2:5" x14ac:dyDescent="0.2">
      <c r="B1605" s="28" t="str">
        <f>IF(Dec!$C28="SI",Dec!$B$27,"")</f>
        <v/>
      </c>
      <c r="C1605" s="28" t="str">
        <f>IF(Dec!$C28="SI",Dec!$B28,"")</f>
        <v/>
      </c>
      <c r="D1605" s="28" t="str">
        <f>IF(Dec!$C28="SI",Dec!$F28,"")</f>
        <v/>
      </c>
      <c r="E1605" s="47" t="s">
        <v>118</v>
      </c>
    </row>
    <row r="1606" spans="2:5" x14ac:dyDescent="0.2">
      <c r="B1606" s="28" t="str">
        <f>IF(Dec!$C29="SI",Dec!$B$27,"")</f>
        <v/>
      </c>
      <c r="C1606" s="28" t="str">
        <f>IF(Dec!$C29="SI",Dec!$B29,"")</f>
        <v/>
      </c>
      <c r="D1606" s="28" t="str">
        <f>IF(Dec!$C29="SI",Dec!$F29,"")</f>
        <v/>
      </c>
      <c r="E1606" s="47" t="s">
        <v>118</v>
      </c>
    </row>
    <row r="1607" spans="2:5" x14ac:dyDescent="0.2">
      <c r="B1607" s="28" t="str">
        <f>IF(Dec!$C30="SI",Dec!$B$27,"")</f>
        <v/>
      </c>
      <c r="C1607" s="28" t="str">
        <f>IF(Dec!$C30="SI",Dec!$B30,"")</f>
        <v/>
      </c>
      <c r="D1607" s="28" t="str">
        <f>IF(Dec!$C30="SI",Dec!$F30,"")</f>
        <v/>
      </c>
      <c r="E1607" s="47" t="s">
        <v>118</v>
      </c>
    </row>
    <row r="1608" spans="2:5" x14ac:dyDescent="0.2">
      <c r="B1608" s="28" t="str">
        <f>IF(Dec!$C31="SI",Dec!$B$27,"")</f>
        <v/>
      </c>
      <c r="C1608" s="28" t="str">
        <f>IF(Dec!$C31="SI",Dec!$B31,"")</f>
        <v/>
      </c>
      <c r="D1608" s="28" t="str">
        <f>IF(Dec!$C31="SI",Dec!$F31,"")</f>
        <v/>
      </c>
      <c r="E1608" s="47" t="s">
        <v>118</v>
      </c>
    </row>
    <row r="1609" spans="2:5" x14ac:dyDescent="0.2">
      <c r="B1609" s="28" t="str">
        <f>IF(Dec!$C32="SI",Dec!$B$27,"")</f>
        <v/>
      </c>
      <c r="C1609" s="28" t="str">
        <f>IF(Dec!$C32="SI",Dec!$B32,"")</f>
        <v/>
      </c>
      <c r="D1609" s="28" t="str">
        <f>IF(Dec!$C32="SI",Dec!$F32,"")</f>
        <v/>
      </c>
      <c r="E1609" s="47" t="s">
        <v>118</v>
      </c>
    </row>
    <row r="1610" spans="2:5" x14ac:dyDescent="0.2">
      <c r="B1610" s="28" t="str">
        <f>IF(Dec!$C33="SI",Dec!$B$27,"")</f>
        <v/>
      </c>
      <c r="C1610" s="28" t="str">
        <f>IF(Dec!$C33="SI",Dec!$B33,"")</f>
        <v/>
      </c>
      <c r="D1610" s="28" t="str">
        <f>IF(Dec!$C33="SI",Dec!$F33,"")</f>
        <v/>
      </c>
      <c r="E1610" s="47" t="s">
        <v>118</v>
      </c>
    </row>
    <row r="1611" spans="2:5" x14ac:dyDescent="0.2">
      <c r="B1611" s="28" t="str">
        <f>IF(Dec!$C34="SI",Dec!$B$27,"")</f>
        <v/>
      </c>
      <c r="C1611" s="28" t="str">
        <f>IF(Dec!$C34="SI",Dec!$B34,"")</f>
        <v/>
      </c>
      <c r="D1611" s="28" t="str">
        <f>IF(Dec!$C34="SI",Dec!$F34,"")</f>
        <v/>
      </c>
      <c r="E1611" s="47" t="s">
        <v>118</v>
      </c>
    </row>
    <row r="1612" spans="2:5" x14ac:dyDescent="0.2">
      <c r="B1612" s="28" t="str">
        <f>IF(Dec!$C35="SI",Dec!$B$27,"")</f>
        <v/>
      </c>
      <c r="C1612" s="28" t="str">
        <f>IF(Dec!$C35="SI",Dec!$B35,"")</f>
        <v/>
      </c>
      <c r="D1612" s="28" t="str">
        <f>IF(Dec!$C35="SI",Dec!$F35,"")</f>
        <v/>
      </c>
      <c r="E1612" s="47" t="s">
        <v>118</v>
      </c>
    </row>
    <row r="1613" spans="2:5" x14ac:dyDescent="0.2">
      <c r="B1613" s="28" t="str">
        <f>IF(Dec!$C39="SI",Dec!$B$38,"")</f>
        <v/>
      </c>
      <c r="C1613" s="28" t="str">
        <f>IF(Dec!$C39="SI",Dec!$B39,"")</f>
        <v/>
      </c>
      <c r="D1613" s="28" t="str">
        <f>IF(Dec!$C39="SI",Dec!$F39,"")</f>
        <v/>
      </c>
      <c r="E1613" s="47" t="s">
        <v>118</v>
      </c>
    </row>
    <row r="1614" spans="2:5" x14ac:dyDescent="0.2">
      <c r="B1614" s="28" t="str">
        <f>IF(Dec!$C40="SI",Dec!$B$38,"")</f>
        <v/>
      </c>
      <c r="C1614" s="28" t="str">
        <f>IF(Dec!$C40="SI",Dec!$B40,"")</f>
        <v/>
      </c>
      <c r="D1614" s="28" t="str">
        <f>IF(Dec!$C40="SI",Dec!$F40,"")</f>
        <v/>
      </c>
      <c r="E1614" s="47" t="s">
        <v>118</v>
      </c>
    </row>
    <row r="1615" spans="2:5" x14ac:dyDescent="0.2">
      <c r="B1615" s="28" t="str">
        <f>IF(Dec!$C41="SI",Dec!$B$38,"")</f>
        <v/>
      </c>
      <c r="C1615" s="28" t="str">
        <f>IF(Dec!$C41="SI",Dec!$B41,"")</f>
        <v/>
      </c>
      <c r="D1615" s="28" t="str">
        <f>IF(Dec!$C41="SI",Dec!$F41,"")</f>
        <v/>
      </c>
      <c r="E1615" s="47" t="s">
        <v>118</v>
      </c>
    </row>
    <row r="1616" spans="2:5" x14ac:dyDescent="0.2">
      <c r="B1616" s="28" t="str">
        <f>IF(Dec!$C42="SI",Dec!$B$38,"")</f>
        <v/>
      </c>
      <c r="C1616" s="28" t="str">
        <f>IF(Dec!$C42="SI",Dec!$B42,"")</f>
        <v/>
      </c>
      <c r="D1616" s="28" t="str">
        <f>IF(Dec!$C42="SI",Dec!$F42,"")</f>
        <v/>
      </c>
      <c r="E1616" s="47" t="s">
        <v>118</v>
      </c>
    </row>
    <row r="1617" spans="2:5" x14ac:dyDescent="0.2">
      <c r="B1617" s="28" t="str">
        <f>IF(Dec!$C43="SI",Dec!$B$38,"")</f>
        <v/>
      </c>
      <c r="C1617" s="28" t="str">
        <f>IF(Dec!$C43="SI",Dec!$B43,"")</f>
        <v/>
      </c>
      <c r="D1617" s="28" t="str">
        <f>IF(Dec!$C43="SI",Dec!$F43,"")</f>
        <v/>
      </c>
      <c r="E1617" s="47" t="s">
        <v>118</v>
      </c>
    </row>
    <row r="1618" spans="2:5" x14ac:dyDescent="0.2">
      <c r="B1618" s="28" t="str">
        <f>IF(Dec!$C44="SI",Dec!$B$38,"")</f>
        <v/>
      </c>
      <c r="C1618" s="28" t="str">
        <f>IF(Dec!$C44="SI",Dec!$B44,"")</f>
        <v/>
      </c>
      <c r="D1618" s="28" t="str">
        <f>IF(Dec!$C44="SI",Dec!$F44,"")</f>
        <v/>
      </c>
      <c r="E1618" s="47" t="s">
        <v>118</v>
      </c>
    </row>
    <row r="1619" spans="2:5" x14ac:dyDescent="0.2">
      <c r="B1619" s="28" t="str">
        <f>IF(Dec!$C45="SI",Dec!$B$38,"")</f>
        <v/>
      </c>
      <c r="C1619" s="28" t="str">
        <f>IF(Dec!$C45="SI",Dec!$B45,"")</f>
        <v/>
      </c>
      <c r="D1619" s="28" t="str">
        <f>IF(Dec!$C45="SI",Dec!$F45,"")</f>
        <v/>
      </c>
      <c r="E1619" s="47" t="s">
        <v>118</v>
      </c>
    </row>
    <row r="1620" spans="2:5" x14ac:dyDescent="0.2">
      <c r="B1620" s="28" t="str">
        <f>IF(Dec!$C49="SI",Dec!$B$48,"")</f>
        <v/>
      </c>
      <c r="C1620" s="28" t="str">
        <f>IF(Dec!$C49="SI",Dec!$B49,"")</f>
        <v/>
      </c>
      <c r="D1620" s="28" t="str">
        <f>IF(Dec!$C49="SI",Dec!$F49,"")</f>
        <v/>
      </c>
      <c r="E1620" s="47" t="s">
        <v>118</v>
      </c>
    </row>
    <row r="1621" spans="2:5" x14ac:dyDescent="0.2">
      <c r="B1621" s="28" t="str">
        <f>IF(Dec!$C50="SI",Dec!$B$48,"")</f>
        <v/>
      </c>
      <c r="C1621" s="28" t="str">
        <f>IF(Dec!$C50="SI",Dec!$B50,"")</f>
        <v/>
      </c>
      <c r="D1621" s="28" t="str">
        <f>IF(Dec!$C50="SI",Dec!$F50,"")</f>
        <v/>
      </c>
      <c r="E1621" s="47" t="s">
        <v>118</v>
      </c>
    </row>
    <row r="1622" spans="2:5" x14ac:dyDescent="0.2">
      <c r="B1622" s="28" t="str">
        <f>IF(Dec!$C51="SI",Dec!$B$48,"")</f>
        <v/>
      </c>
      <c r="C1622" s="28" t="str">
        <f>IF(Dec!$C51="SI",Dec!$B51,"")</f>
        <v/>
      </c>
      <c r="D1622" s="28" t="str">
        <f>IF(Dec!$C51="SI",Dec!$F51,"")</f>
        <v/>
      </c>
      <c r="E1622" s="47" t="s">
        <v>118</v>
      </c>
    </row>
    <row r="1623" spans="2:5" x14ac:dyDescent="0.2">
      <c r="B1623" s="28" t="str">
        <f>IF(Dec!$C52="SI",Dec!$B$48,"")</f>
        <v/>
      </c>
      <c r="C1623" s="28" t="str">
        <f>IF(Dec!$C52="SI",Dec!$B52,"")</f>
        <v/>
      </c>
      <c r="D1623" s="28" t="str">
        <f>IF(Dec!$C52="SI",Dec!$F52,"")</f>
        <v/>
      </c>
      <c r="E1623" s="47" t="s">
        <v>118</v>
      </c>
    </row>
    <row r="1624" spans="2:5" x14ac:dyDescent="0.2">
      <c r="B1624" s="28" t="str">
        <f>IF(Dec!$C53="SI",Dec!$B$48,"")</f>
        <v/>
      </c>
      <c r="C1624" s="28" t="str">
        <f>IF(Dec!$C53="SI",Dec!$B53,"")</f>
        <v/>
      </c>
      <c r="D1624" s="28" t="str">
        <f>IF(Dec!$C53="SI",Dec!$F53,"")</f>
        <v/>
      </c>
      <c r="E1624" s="47" t="s">
        <v>118</v>
      </c>
    </row>
    <row r="1625" spans="2:5" x14ac:dyDescent="0.2">
      <c r="B1625" s="28" t="str">
        <f>IF(Dec!$C54="SI",Dec!$B$48,"")</f>
        <v/>
      </c>
      <c r="C1625" s="28" t="str">
        <f>IF(Dec!$C54="SI",Dec!$B54,"")</f>
        <v/>
      </c>
      <c r="D1625" s="28" t="str">
        <f>IF(Dec!$C54="SI",Dec!$F54,"")</f>
        <v/>
      </c>
      <c r="E1625" s="47" t="s">
        <v>118</v>
      </c>
    </row>
    <row r="1626" spans="2:5" x14ac:dyDescent="0.2">
      <c r="B1626" s="28" t="str">
        <f>IF(Dec!$C58="SI",Dec!$B$57,"")</f>
        <v/>
      </c>
      <c r="C1626" s="28" t="str">
        <f>IF(Dec!$C58="SI",Dec!$B58,"")</f>
        <v/>
      </c>
      <c r="D1626" s="28" t="str">
        <f>IF(Dec!$C58="SI",Dec!$F58,"")</f>
        <v/>
      </c>
      <c r="E1626" s="47" t="s">
        <v>118</v>
      </c>
    </row>
    <row r="1627" spans="2:5" x14ac:dyDescent="0.2">
      <c r="B1627" s="28" t="str">
        <f>IF(Dec!$C59="SI",Dec!$B$57,"")</f>
        <v/>
      </c>
      <c r="C1627" s="28" t="str">
        <f>IF(Dec!$C59="SI",Dec!$B59,"")</f>
        <v/>
      </c>
      <c r="D1627" s="28" t="str">
        <f>IF(Dec!$C59="SI",Dec!$F59,"")</f>
        <v/>
      </c>
      <c r="E1627" s="47" t="s">
        <v>118</v>
      </c>
    </row>
    <row r="1628" spans="2:5" x14ac:dyDescent="0.2">
      <c r="B1628" s="28" t="str">
        <f>IF(Dec!$C60="SI",Dec!$B$57,"")</f>
        <v/>
      </c>
      <c r="C1628" s="28" t="str">
        <f>IF(Dec!$C60="SI",Dec!$B60,"")</f>
        <v/>
      </c>
      <c r="D1628" s="28" t="str">
        <f>IF(Dec!$C60="SI",Dec!$F60,"")</f>
        <v/>
      </c>
      <c r="E1628" s="47" t="s">
        <v>118</v>
      </c>
    </row>
    <row r="1629" spans="2:5" x14ac:dyDescent="0.2">
      <c r="B1629" s="28" t="str">
        <f>IF(Dec!$C61="SI",Dec!$B$57,"")</f>
        <v/>
      </c>
      <c r="C1629" s="28" t="str">
        <f>IF(Dec!$C61="SI",Dec!$B61,"")</f>
        <v/>
      </c>
      <c r="D1629" s="28" t="str">
        <f>IF(Dec!$C61="SI",Dec!$F61,"")</f>
        <v/>
      </c>
      <c r="E1629" s="47" t="s">
        <v>118</v>
      </c>
    </row>
    <row r="1630" spans="2:5" x14ac:dyDescent="0.2">
      <c r="B1630" s="28" t="str">
        <f>IF(Dec!$C62="SI",Dec!$B$57,"")</f>
        <v/>
      </c>
      <c r="C1630" s="28" t="str">
        <f>IF(Dec!$C62="SI",Dec!$B62,"")</f>
        <v/>
      </c>
      <c r="D1630" s="28" t="str">
        <f>IF(Dec!$C62="SI",Dec!$F62,"")</f>
        <v/>
      </c>
      <c r="E1630" s="47" t="s">
        <v>118</v>
      </c>
    </row>
    <row r="1631" spans="2:5" x14ac:dyDescent="0.2">
      <c r="B1631" s="28" t="str">
        <f>IF(Dec!$C63="SI",Dec!$B$57,"")</f>
        <v/>
      </c>
      <c r="C1631" s="28" t="str">
        <f>IF(Dec!$C63="SI",Dec!$B63,"")</f>
        <v/>
      </c>
      <c r="D1631" s="28" t="str">
        <f>IF(Dec!$C63="SI",Dec!$F63,"")</f>
        <v/>
      </c>
      <c r="E1631" s="47" t="s">
        <v>118</v>
      </c>
    </row>
    <row r="1632" spans="2:5" x14ac:dyDescent="0.2">
      <c r="B1632" s="28" t="str">
        <f>IF(Dec!$C64="SI",Dec!$B$57,"")</f>
        <v/>
      </c>
      <c r="C1632" s="28" t="str">
        <f>IF(Dec!$C64="SI",Dec!$B64,"")</f>
        <v/>
      </c>
      <c r="D1632" s="28" t="str">
        <f>IF(Dec!$C64="SI",Dec!$F64,"")</f>
        <v/>
      </c>
      <c r="E1632" s="47" t="s">
        <v>118</v>
      </c>
    </row>
    <row r="1633" spans="2:5" x14ac:dyDescent="0.2">
      <c r="B1633" s="28" t="str">
        <f>IF(Dec!$C68="SI",Dec!$B$67,"")</f>
        <v/>
      </c>
      <c r="C1633" s="28" t="str">
        <f>IF(Dec!$C68="SI",Dec!$B68,"")</f>
        <v/>
      </c>
      <c r="D1633" s="28" t="str">
        <f>IF(Dec!$C68="SI",Dec!$F68,"")</f>
        <v/>
      </c>
      <c r="E1633" s="47" t="s">
        <v>118</v>
      </c>
    </row>
    <row r="1634" spans="2:5" x14ac:dyDescent="0.2">
      <c r="B1634" s="28" t="str">
        <f>IF(Dec!$C69="SI",Dec!$B$67,"")</f>
        <v/>
      </c>
      <c r="C1634" s="28" t="str">
        <f>IF(Dec!$C69="SI",Dec!$B69,"")</f>
        <v/>
      </c>
      <c r="D1634" s="28" t="str">
        <f>IF(Dec!$C69="SI",Dec!$F69,"")</f>
        <v/>
      </c>
      <c r="E1634" s="47" t="s">
        <v>118</v>
      </c>
    </row>
    <row r="1635" spans="2:5" x14ac:dyDescent="0.2">
      <c r="B1635" s="28" t="str">
        <f>IF(Dec!$C70="SI",Dec!$B$67,"")</f>
        <v/>
      </c>
      <c r="C1635" s="28" t="str">
        <f>IF(Dec!$C70="SI",Dec!$B70,"")</f>
        <v/>
      </c>
      <c r="D1635" s="28" t="str">
        <f>IF(Dec!$C70="SI",Dec!$F70,"")</f>
        <v/>
      </c>
      <c r="E1635" s="47" t="s">
        <v>118</v>
      </c>
    </row>
    <row r="1636" spans="2:5" x14ac:dyDescent="0.2">
      <c r="B1636" s="28" t="str">
        <f>IF(Dec!$C71="SI",Dec!$B$67,"")</f>
        <v/>
      </c>
      <c r="C1636" s="28" t="str">
        <f>IF(Dec!$C71="SI",Dec!$B71,"")</f>
        <v/>
      </c>
      <c r="D1636" s="28" t="str">
        <f>IF(Dec!$C71="SI",Dec!$F71,"")</f>
        <v/>
      </c>
      <c r="E1636" s="47" t="s">
        <v>118</v>
      </c>
    </row>
    <row r="1637" spans="2:5" x14ac:dyDescent="0.2">
      <c r="B1637" s="28" t="str">
        <f>IF(Dec!$C72="SI",Dec!$B$67,"")</f>
        <v/>
      </c>
      <c r="C1637" s="28" t="str">
        <f>IF(Dec!$C72="SI",Dec!$B72,"")</f>
        <v/>
      </c>
      <c r="D1637" s="28" t="str">
        <f>IF(Dec!$C72="SI",Dec!$F72,"")</f>
        <v/>
      </c>
      <c r="E1637" s="47" t="s">
        <v>118</v>
      </c>
    </row>
    <row r="1638" spans="2:5" x14ac:dyDescent="0.2">
      <c r="B1638" s="28" t="str">
        <f>IF(Dec!$C73="SI",Dec!$B$67,"")</f>
        <v/>
      </c>
      <c r="C1638" s="28" t="str">
        <f>IF(Dec!$C73="SI",Dec!$B73,"")</f>
        <v/>
      </c>
      <c r="D1638" s="28" t="str">
        <f>IF(Dec!$C73="SI",Dec!$F73,"")</f>
        <v/>
      </c>
      <c r="E1638" s="47" t="s">
        <v>118</v>
      </c>
    </row>
    <row r="1639" spans="2:5" x14ac:dyDescent="0.2">
      <c r="B1639" s="28" t="str">
        <f>IF(Dec!$C74="SI",Dec!$B$67,"")</f>
        <v/>
      </c>
      <c r="C1639" s="28" t="str">
        <f>IF(Dec!$C74="SI",Dec!$B74,"")</f>
        <v/>
      </c>
      <c r="D1639" s="28" t="str">
        <f>IF(Dec!$C74="SI",Dec!$F74,"")</f>
        <v/>
      </c>
      <c r="E1639" s="47" t="s">
        <v>118</v>
      </c>
    </row>
    <row r="1640" spans="2:5" x14ac:dyDescent="0.2">
      <c r="B1640" s="28" t="str">
        <f>IF(Dec!$C75="SI",Dec!$B$67,"")</f>
        <v/>
      </c>
      <c r="C1640" s="28" t="str">
        <f>IF(Dec!$C75="SI",Dec!$B75,"")</f>
        <v/>
      </c>
      <c r="D1640" s="28" t="str">
        <f>IF(Dec!$C75="SI",Dec!$F75,"")</f>
        <v/>
      </c>
      <c r="E1640" s="47" t="s">
        <v>118</v>
      </c>
    </row>
    <row r="1641" spans="2:5" x14ac:dyDescent="0.2">
      <c r="B1641" s="28" t="str">
        <f>IF(Dec!$C76="SI",Dec!$B$67,"")</f>
        <v/>
      </c>
      <c r="C1641" s="28" t="str">
        <f>IF(Dec!$C76="SI",Dec!$B76,"")</f>
        <v/>
      </c>
      <c r="D1641" s="28" t="str">
        <f>IF(Dec!$C76="SI",Dec!$F76,"")</f>
        <v/>
      </c>
      <c r="E1641" s="47" t="s">
        <v>118</v>
      </c>
    </row>
    <row r="1642" spans="2:5" x14ac:dyDescent="0.2">
      <c r="B1642" s="28" t="str">
        <f>IF(Dec!$C77="SI",Dec!$B$67,"")</f>
        <v/>
      </c>
      <c r="C1642" s="28" t="str">
        <f>IF(Dec!$C77="SI",Dec!$B77,"")</f>
        <v/>
      </c>
      <c r="D1642" s="28" t="str">
        <f>IF(Dec!$C77="SI",Dec!$F77,"")</f>
        <v/>
      </c>
      <c r="E1642" s="47" t="s">
        <v>118</v>
      </c>
    </row>
    <row r="1643" spans="2:5" x14ac:dyDescent="0.2">
      <c r="B1643" s="28" t="str">
        <f>IF(Dec!$C78="SI",Dec!$B$67,"")</f>
        <v/>
      </c>
      <c r="C1643" s="28" t="str">
        <f>IF(Dec!$C78="SI",Dec!$B78,"")</f>
        <v/>
      </c>
      <c r="D1643" s="28" t="str">
        <f>IF(Dec!$C78="SI",Dec!$F78,"")</f>
        <v/>
      </c>
      <c r="E1643" s="47" t="s">
        <v>118</v>
      </c>
    </row>
    <row r="1644" spans="2:5" x14ac:dyDescent="0.2">
      <c r="B1644" s="28" t="str">
        <f>IF(Dec!$C82="SI",Dec!$B$81,"")</f>
        <v/>
      </c>
      <c r="C1644" s="28" t="str">
        <f>IF(Dec!$C82="SI",Dec!$B82,"")</f>
        <v/>
      </c>
      <c r="D1644" s="28" t="str">
        <f>IF(Dec!$C82="SI",Dec!$F82,"")</f>
        <v/>
      </c>
      <c r="E1644" s="47" t="s">
        <v>118</v>
      </c>
    </row>
    <row r="1645" spans="2:5" x14ac:dyDescent="0.2">
      <c r="B1645" s="28" t="str">
        <f>IF(Dec!$C83="SI",Dec!$B$81,"")</f>
        <v/>
      </c>
      <c r="C1645" s="28" t="str">
        <f>IF(Dec!$C83="SI",Dec!$B83,"")</f>
        <v/>
      </c>
      <c r="D1645" s="28" t="str">
        <f>IF(Dec!$C83="SI",Dec!$F83,"")</f>
        <v/>
      </c>
      <c r="E1645" s="47" t="s">
        <v>118</v>
      </c>
    </row>
    <row r="1646" spans="2:5" x14ac:dyDescent="0.2">
      <c r="B1646" s="28" t="str">
        <f>IF(Dec!$C84="SI",Dec!$B$81,"")</f>
        <v/>
      </c>
      <c r="C1646" s="28" t="str">
        <f>IF(Dec!$C84="SI",Dec!$B84,"")</f>
        <v/>
      </c>
      <c r="D1646" s="28" t="str">
        <f>IF(Dec!$C84="SI",Dec!$F84,"")</f>
        <v/>
      </c>
      <c r="E1646" s="47" t="s">
        <v>118</v>
      </c>
    </row>
    <row r="1647" spans="2:5" x14ac:dyDescent="0.2">
      <c r="B1647" s="28" t="str">
        <f>IF(Dec!$C85="SI",Dec!$B$81,"")</f>
        <v/>
      </c>
      <c r="C1647" s="28" t="str">
        <f>IF(Dec!$C85="SI",Dec!$B85,"")</f>
        <v/>
      </c>
      <c r="D1647" s="28" t="str">
        <f>IF(Dec!$C85="SI",Dec!$F85,"")</f>
        <v/>
      </c>
      <c r="E1647" s="47" t="s">
        <v>118</v>
      </c>
    </row>
    <row r="1648" spans="2:5" x14ac:dyDescent="0.2">
      <c r="B1648" s="28" t="str">
        <f>IF(Dec!$C86="SI",Dec!$B$81,"")</f>
        <v/>
      </c>
      <c r="C1648" s="28" t="str">
        <f>IF(Dec!$C86="SI",Dec!$B86,"")</f>
        <v/>
      </c>
      <c r="D1648" s="28" t="str">
        <f>IF(Dec!$C86="SI",Dec!$F86,"")</f>
        <v/>
      </c>
      <c r="E1648" s="47" t="s">
        <v>118</v>
      </c>
    </row>
    <row r="1649" spans="2:5" x14ac:dyDescent="0.2">
      <c r="B1649" s="28" t="str">
        <f>IF(Dec!$C87="SI",Dec!$B$81,"")</f>
        <v/>
      </c>
      <c r="C1649" s="28" t="str">
        <f>IF(Dec!$C87="SI",Dec!$B87,"")</f>
        <v/>
      </c>
      <c r="D1649" s="28" t="str">
        <f>IF(Dec!$C87="SI",Dec!$F87,"")</f>
        <v/>
      </c>
      <c r="E1649" s="47" t="s">
        <v>118</v>
      </c>
    </row>
    <row r="1650" spans="2:5" x14ac:dyDescent="0.2">
      <c r="B1650" s="28" t="str">
        <f>IF(Dec!$C91="SI",Dec!$B$90,"")</f>
        <v/>
      </c>
      <c r="C1650" s="28" t="str">
        <f>IF(Dec!$C91="SI",Dec!$B91,"")</f>
        <v/>
      </c>
      <c r="D1650" s="28" t="str">
        <f>IF(Dec!$C91="SI",Dec!$F91,"")</f>
        <v/>
      </c>
      <c r="E1650" s="47" t="s">
        <v>118</v>
      </c>
    </row>
    <row r="1651" spans="2:5" x14ac:dyDescent="0.2">
      <c r="B1651" s="28" t="str">
        <f>IF(Dec!$C92="SI",Dec!$B$90,"")</f>
        <v/>
      </c>
      <c r="C1651" s="28" t="str">
        <f>IF(Dec!$C92="SI",Dec!$B92,"")</f>
        <v/>
      </c>
      <c r="D1651" s="28" t="str">
        <f>IF(Dec!$C92="SI",Dec!$F92,"")</f>
        <v/>
      </c>
      <c r="E1651" s="47" t="s">
        <v>118</v>
      </c>
    </row>
    <row r="1652" spans="2:5" x14ac:dyDescent="0.2">
      <c r="B1652" s="28" t="str">
        <f>IF(Dec!$C93="SI",Dec!$B$90,"")</f>
        <v/>
      </c>
      <c r="C1652" s="28" t="str">
        <f>IF(Dec!$C93="SI",Dec!$B93,"")</f>
        <v/>
      </c>
      <c r="D1652" s="28" t="str">
        <f>IF(Dec!$C93="SI",Dec!$F93,"")</f>
        <v/>
      </c>
      <c r="E1652" s="47" t="s">
        <v>118</v>
      </c>
    </row>
    <row r="1653" spans="2:5" x14ac:dyDescent="0.2">
      <c r="B1653" s="28" t="str">
        <f>IF(Dec!$C94="SI",Dec!$B$90,"")</f>
        <v/>
      </c>
      <c r="C1653" s="28" t="str">
        <f>IF(Dec!$C94="SI",Dec!$B94,"")</f>
        <v/>
      </c>
      <c r="D1653" s="28" t="str">
        <f>IF(Dec!$C94="SI",Dec!$F94,"")</f>
        <v/>
      </c>
      <c r="E1653" s="47" t="s">
        <v>118</v>
      </c>
    </row>
    <row r="1654" spans="2:5" x14ac:dyDescent="0.2">
      <c r="B1654" s="28" t="str">
        <f>IF(Dec!$C95="SI",Dec!$B$90,"")</f>
        <v/>
      </c>
      <c r="C1654" s="28" t="str">
        <f>IF(Dec!$C95="SI",Dec!$B95,"")</f>
        <v/>
      </c>
      <c r="D1654" s="28" t="str">
        <f>IF(Dec!$C95="SI",Dec!$F95,"")</f>
        <v/>
      </c>
      <c r="E1654" s="47" t="s">
        <v>118</v>
      </c>
    </row>
    <row r="1655" spans="2:5" x14ac:dyDescent="0.2">
      <c r="B1655" s="28" t="str">
        <f>IF(Dec!$C96="SI",Dec!$B$90,"")</f>
        <v/>
      </c>
      <c r="C1655" s="28" t="str">
        <f>IF(Dec!$C96="SI",Dec!$B96,"")</f>
        <v/>
      </c>
      <c r="D1655" s="28" t="str">
        <f>IF(Dec!$C96="SI",Dec!$F96,"")</f>
        <v/>
      </c>
      <c r="E1655" s="47" t="s">
        <v>118</v>
      </c>
    </row>
    <row r="1656" spans="2:5" x14ac:dyDescent="0.2">
      <c r="B1656" s="28" t="str">
        <f>IF(Dec!$C97="SI",Dec!$B$90,"")</f>
        <v/>
      </c>
      <c r="C1656" s="28" t="str">
        <f>IF(Dec!$C97="SI",Dec!$B97,"")</f>
        <v/>
      </c>
      <c r="D1656" s="28" t="str">
        <f>IF(Dec!$C97="SI",Dec!$F97,"")</f>
        <v/>
      </c>
      <c r="E1656" s="47" t="s">
        <v>118</v>
      </c>
    </row>
    <row r="1657" spans="2:5" x14ac:dyDescent="0.2">
      <c r="B1657" s="28" t="str">
        <f>IF(Dec!$C101="SI",Dec!$B$100,"")</f>
        <v/>
      </c>
      <c r="C1657" s="28" t="str">
        <f>IF(Dec!$C101="SI",Dec!$B101,"")</f>
        <v/>
      </c>
      <c r="D1657" s="28" t="str">
        <f>IF(Dec!$C101="SI",Dec!$F101,"")</f>
        <v/>
      </c>
      <c r="E1657" s="47" t="s">
        <v>118</v>
      </c>
    </row>
    <row r="1658" spans="2:5" x14ac:dyDescent="0.2">
      <c r="B1658" s="28" t="str">
        <f>IF(Dec!$C102="SI",Dec!$B$100,"")</f>
        <v/>
      </c>
      <c r="C1658" s="28" t="str">
        <f>IF(Dec!$C102="SI",Dec!$B102,"")</f>
        <v/>
      </c>
      <c r="D1658" s="28" t="str">
        <f>IF(Dec!$C102="SI",Dec!$F102,"")</f>
        <v/>
      </c>
      <c r="E1658" s="47" t="s">
        <v>118</v>
      </c>
    </row>
    <row r="1659" spans="2:5" x14ac:dyDescent="0.2">
      <c r="B1659" s="28" t="str">
        <f>IF(Dec!$C103="SI",Dec!$B$100,"")</f>
        <v/>
      </c>
      <c r="C1659" s="28" t="str">
        <f>IF(Dec!$C103="SI",Dec!$B103,"")</f>
        <v/>
      </c>
      <c r="D1659" s="28" t="str">
        <f>IF(Dec!$C103="SI",Dec!$F103,"")</f>
        <v/>
      </c>
      <c r="E1659" s="47" t="s">
        <v>118</v>
      </c>
    </row>
    <row r="1660" spans="2:5" x14ac:dyDescent="0.2">
      <c r="B1660" s="28" t="str">
        <f>IF(Dec!$C104="SI",Dec!$B$100,"")</f>
        <v/>
      </c>
      <c r="C1660" s="28" t="str">
        <f>IF(Dec!$C104="SI",Dec!$B104,"")</f>
        <v/>
      </c>
      <c r="D1660" s="28" t="str">
        <f>IF(Dec!$C104="SI",Dec!$F104,"")</f>
        <v/>
      </c>
      <c r="E1660" s="47" t="s">
        <v>118</v>
      </c>
    </row>
    <row r="1661" spans="2:5" x14ac:dyDescent="0.2">
      <c r="B1661" s="28" t="str">
        <f>IF(Dec!$C105="SI",Dec!$B$100,"")</f>
        <v/>
      </c>
      <c r="C1661" s="28" t="str">
        <f>IF(Dec!$C105="SI",Dec!$B105,"")</f>
        <v/>
      </c>
      <c r="D1661" s="28" t="str">
        <f>IF(Dec!$C105="SI",Dec!$F105,"")</f>
        <v/>
      </c>
      <c r="E1661" s="47" t="s">
        <v>118</v>
      </c>
    </row>
    <row r="1662" spans="2:5" x14ac:dyDescent="0.2">
      <c r="B1662" s="28" t="str">
        <f>IF(Dec!$C106="SI",Dec!$B$100,"")</f>
        <v/>
      </c>
      <c r="C1662" s="28" t="str">
        <f>IF(Dec!$C106="SI",Dec!$B106,"")</f>
        <v/>
      </c>
      <c r="D1662" s="28" t="str">
        <f>IF(Dec!$C106="SI",Dec!$F106,"")</f>
        <v/>
      </c>
      <c r="E1662" s="47" t="s">
        <v>118</v>
      </c>
    </row>
    <row r="1663" spans="2:5" x14ac:dyDescent="0.2">
      <c r="B1663" s="28" t="str">
        <f>IF(Dec!$C107="SI",Dec!$B$100,"")</f>
        <v/>
      </c>
      <c r="C1663" s="28" t="str">
        <f>IF(Dec!$C107="SI",Dec!$B107,"")</f>
        <v/>
      </c>
      <c r="D1663" s="28" t="str">
        <f>IF(Dec!$C107="SI",Dec!$F107,"")</f>
        <v/>
      </c>
      <c r="E1663" s="47" t="s">
        <v>118</v>
      </c>
    </row>
    <row r="1664" spans="2:5" x14ac:dyDescent="0.2">
      <c r="B1664" s="29"/>
      <c r="C1664" s="29"/>
      <c r="D1664" s="29"/>
      <c r="E1664" s="47" t="s">
        <v>118</v>
      </c>
    </row>
    <row r="1665" spans="2:5" x14ac:dyDescent="0.2">
      <c r="B1665" s="28" t="str">
        <f>IF(Dec!$I13="SI",Dec!$H$12,"")</f>
        <v>AHORROS</v>
      </c>
      <c r="C1665" s="28" t="str">
        <f>IF(Dec!$I13="SI",Dec!$H13,"")</f>
        <v>Fondo de Emergencia</v>
      </c>
      <c r="D1665" s="28">
        <f>IF(Dec!$I13="SI",Dec!$L13,"")</f>
        <v>0</v>
      </c>
      <c r="E1665" s="47" t="s">
        <v>118</v>
      </c>
    </row>
    <row r="1666" spans="2:5" x14ac:dyDescent="0.2">
      <c r="B1666" s="28" t="str">
        <f>IF(Dec!$I14="SI",Dec!$H$12,"")</f>
        <v/>
      </c>
      <c r="C1666" s="28" t="str">
        <f>IF(Dec!$I14="SI",Dec!$H14,"")</f>
        <v/>
      </c>
      <c r="D1666" s="28" t="str">
        <f>IF(Dec!$I14="SI",Dec!$L14,"")</f>
        <v/>
      </c>
      <c r="E1666" s="47" t="s">
        <v>118</v>
      </c>
    </row>
    <row r="1667" spans="2:5" x14ac:dyDescent="0.2">
      <c r="B1667" s="28" t="str">
        <f>IF(Dec!$I15="SI",Dec!$H$12,"")</f>
        <v/>
      </c>
      <c r="C1667" s="28" t="str">
        <f>IF(Dec!$I15="SI",Dec!$H15,"")</f>
        <v/>
      </c>
      <c r="D1667" s="28" t="str">
        <f>IF(Dec!$I15="SI",Dec!$L15,"")</f>
        <v/>
      </c>
      <c r="E1667" s="47" t="s">
        <v>118</v>
      </c>
    </row>
    <row r="1668" spans="2:5" x14ac:dyDescent="0.2">
      <c r="B1668" s="28" t="str">
        <f>IF(Dec!$I16="SI",Dec!$H$12,"")</f>
        <v/>
      </c>
      <c r="C1668" s="28" t="str">
        <f>IF(Dec!$I16="SI",Dec!$H16,"")</f>
        <v/>
      </c>
      <c r="D1668" s="28" t="str">
        <f>IF(Dec!$I16="SI",Dec!$L16,"")</f>
        <v/>
      </c>
      <c r="E1668" s="47" t="s">
        <v>118</v>
      </c>
    </row>
    <row r="1669" spans="2:5" x14ac:dyDescent="0.2">
      <c r="B1669" s="28" t="str">
        <f>IF(Dec!$I17="SI",Dec!$H$12,"")</f>
        <v/>
      </c>
      <c r="C1669" s="28" t="str">
        <f>IF(Dec!$I17="SI",Dec!$H17,"")</f>
        <v/>
      </c>
      <c r="D1669" s="28" t="str">
        <f>IF(Dec!$I17="SI",Dec!$L17,"")</f>
        <v/>
      </c>
      <c r="E1669" s="47" t="s">
        <v>118</v>
      </c>
    </row>
    <row r="1670" spans="2:5" x14ac:dyDescent="0.2">
      <c r="B1670" s="28" t="str">
        <f>IF(Dec!$I18="SI",Dec!$H$12,"")</f>
        <v/>
      </c>
      <c r="C1670" s="28" t="str">
        <f>IF(Dec!$I18="SI",Dec!$H18,"")</f>
        <v/>
      </c>
      <c r="D1670" s="28" t="str">
        <f>IF(Dec!$I18="SI",Dec!$L18,"")</f>
        <v/>
      </c>
      <c r="E1670" s="47" t="s">
        <v>118</v>
      </c>
    </row>
    <row r="1671" spans="2:5" x14ac:dyDescent="0.2">
      <c r="B1671" s="28" t="str">
        <f>IF(Dec!$I19="SI",Dec!$H$12,"")</f>
        <v/>
      </c>
      <c r="C1671" s="28" t="str">
        <f>IF(Dec!$I19="SI",Dec!$H19,"")</f>
        <v/>
      </c>
      <c r="D1671" s="28" t="str">
        <f>IF(Dec!$I19="SI",Dec!$L19,"")</f>
        <v/>
      </c>
      <c r="E1671" s="47" t="s">
        <v>118</v>
      </c>
    </row>
    <row r="1672" spans="2:5" x14ac:dyDescent="0.2">
      <c r="B1672" s="28" t="str">
        <f>IF(Dec!$I20="SI",Dec!$H$12,"")</f>
        <v/>
      </c>
      <c r="C1672" s="28" t="str">
        <f>IF(Dec!$I20="SI",Dec!$H20,"")</f>
        <v/>
      </c>
      <c r="D1672" s="28" t="str">
        <f>IF(Dec!$I20="SI",Dec!$L20,"")</f>
        <v/>
      </c>
      <c r="E1672" s="47" t="s">
        <v>118</v>
      </c>
    </row>
    <row r="1673" spans="2:5" x14ac:dyDescent="0.2">
      <c r="B1673" s="28" t="str">
        <f>IF(Dec!$I21="SI",Dec!$H$12,"")</f>
        <v/>
      </c>
      <c r="C1673" s="28" t="str">
        <f>IF(Dec!$I21="SI",Dec!$H21,"")</f>
        <v/>
      </c>
      <c r="D1673" s="28" t="str">
        <f>IF(Dec!$I21="SI",Dec!$L21,"")</f>
        <v/>
      </c>
      <c r="E1673" s="47" t="s">
        <v>118</v>
      </c>
    </row>
    <row r="1674" spans="2:5" x14ac:dyDescent="0.2">
      <c r="B1674" s="28" t="str">
        <f>IF(Dec!$I22="SI",Dec!$H$12,"")</f>
        <v/>
      </c>
      <c r="C1674" s="28" t="str">
        <f>IF(Dec!$I22="SI",Dec!$H22,"")</f>
        <v/>
      </c>
      <c r="D1674" s="28" t="str">
        <f>IF(Dec!$I22="SI",Dec!$L22,"")</f>
        <v/>
      </c>
      <c r="E1674" s="47" t="s">
        <v>118</v>
      </c>
    </row>
    <row r="1675" spans="2:5" x14ac:dyDescent="0.2">
      <c r="B1675" s="28" t="str">
        <f>IF(Dec!$I23="SI",Dec!$H$12,"")</f>
        <v/>
      </c>
      <c r="C1675" s="28" t="str">
        <f>IF(Dec!$I23="SI",Dec!$H23,"")</f>
        <v/>
      </c>
      <c r="D1675" s="28" t="str">
        <f>IF(Dec!$I23="SI",Dec!$L23,"")</f>
        <v/>
      </c>
      <c r="E1675" s="47" t="s">
        <v>118</v>
      </c>
    </row>
    <row r="1676" spans="2:5" x14ac:dyDescent="0.2">
      <c r="B1676" s="28" t="str">
        <f>IF(Dec!$I24="SI",Dec!$H$12,"")</f>
        <v/>
      </c>
      <c r="C1676" s="28" t="str">
        <f>IF(Dec!$I24="SI",Dec!$H24,"")</f>
        <v/>
      </c>
      <c r="D1676" s="28" t="str">
        <f>IF(Dec!$I24="SI",Dec!$L24,"")</f>
        <v/>
      </c>
      <c r="E1676" s="47" t="s">
        <v>118</v>
      </c>
    </row>
    <row r="1677" spans="2:5" x14ac:dyDescent="0.2">
      <c r="B1677" s="28" t="str">
        <f>IF(Dec!$I28="SI",Dec!$H$27,"")</f>
        <v/>
      </c>
      <c r="C1677" s="28" t="str">
        <f>IF(Dec!$I28="SI",Dec!$H28,"")</f>
        <v/>
      </c>
      <c r="D1677" s="28" t="str">
        <f>IF(Dec!$I28="SI",Dec!$L28,"")</f>
        <v/>
      </c>
      <c r="E1677" s="47" t="s">
        <v>118</v>
      </c>
    </row>
    <row r="1678" spans="2:5" x14ac:dyDescent="0.2">
      <c r="B1678" s="28" t="str">
        <f>IF(Dec!$I29="SI",Dec!$H$27,"")</f>
        <v/>
      </c>
      <c r="C1678" s="28" t="str">
        <f>IF(Dec!$I29="SI",Dec!$H29,"")</f>
        <v/>
      </c>
      <c r="D1678" s="28" t="str">
        <f>IF(Dec!$I29="SI",Dec!$L29,"")</f>
        <v/>
      </c>
      <c r="E1678" s="47" t="s">
        <v>118</v>
      </c>
    </row>
    <row r="1679" spans="2:5" x14ac:dyDescent="0.2">
      <c r="B1679" s="28" t="str">
        <f>IF(Dec!$I30="SI",Dec!$H$27,"")</f>
        <v/>
      </c>
      <c r="C1679" s="28" t="str">
        <f>IF(Dec!$I30="SI",Dec!$H30,"")</f>
        <v/>
      </c>
      <c r="D1679" s="28" t="str">
        <f>IF(Dec!$I30="SI",Dec!$L30,"")</f>
        <v/>
      </c>
      <c r="E1679" s="47" t="s">
        <v>118</v>
      </c>
    </row>
    <row r="1680" spans="2:5" x14ac:dyDescent="0.2">
      <c r="B1680" s="28" t="str">
        <f>IF(Dec!$I31="SI",Dec!$H$27,"")</f>
        <v/>
      </c>
      <c r="C1680" s="28" t="str">
        <f>IF(Dec!$I31="SI",Dec!$H31,"")</f>
        <v/>
      </c>
      <c r="D1680" s="28" t="str">
        <f>IF(Dec!$I31="SI",Dec!$L31,"")</f>
        <v/>
      </c>
      <c r="E1680" s="47" t="s">
        <v>118</v>
      </c>
    </row>
    <row r="1681" spans="2:5" x14ac:dyDescent="0.2">
      <c r="B1681" s="28" t="str">
        <f>IF(Dec!$I32="SI",Dec!$H$27,"")</f>
        <v/>
      </c>
      <c r="C1681" s="28" t="str">
        <f>IF(Dec!$I32="SI",Dec!$H32,"")</f>
        <v/>
      </c>
      <c r="D1681" s="28" t="str">
        <f>IF(Dec!$I32="SI",Dec!$L32,"")</f>
        <v/>
      </c>
      <c r="E1681" s="47" t="s">
        <v>118</v>
      </c>
    </row>
    <row r="1682" spans="2:5" x14ac:dyDescent="0.2">
      <c r="B1682" s="28" t="str">
        <f>IF(Dec!$I33="SI",Dec!$H$27,"")</f>
        <v/>
      </c>
      <c r="C1682" s="28" t="str">
        <f>IF(Dec!$I33="SI",Dec!$H33,"")</f>
        <v/>
      </c>
      <c r="D1682" s="28" t="str">
        <f>IF(Dec!$I33="SI",Dec!$L33,"")</f>
        <v/>
      </c>
      <c r="E1682" s="47" t="s">
        <v>118</v>
      </c>
    </row>
    <row r="1683" spans="2:5" x14ac:dyDescent="0.2">
      <c r="B1683" s="28" t="str">
        <f>IF(Dec!$I34="SI",Dec!$H$27,"")</f>
        <v/>
      </c>
      <c r="C1683" s="28" t="str">
        <f>IF(Dec!$I34="SI",Dec!$H34,"")</f>
        <v/>
      </c>
      <c r="D1683" s="28" t="str">
        <f>IF(Dec!$I34="SI",Dec!$L34,"")</f>
        <v/>
      </c>
      <c r="E1683" s="47" t="s">
        <v>118</v>
      </c>
    </row>
    <row r="1684" spans="2:5" x14ac:dyDescent="0.2">
      <c r="B1684" s="28" t="str">
        <f>IF(Dec!$I35="SI",Dec!$H$27,"")</f>
        <v/>
      </c>
      <c r="C1684" s="28" t="str">
        <f>IF(Dec!$I35="SI",Dec!$H35,"")</f>
        <v/>
      </c>
      <c r="D1684" s="28" t="str">
        <f>IF(Dec!$I35="SI",Dec!$L35,"")</f>
        <v/>
      </c>
      <c r="E1684" s="47" t="s">
        <v>118</v>
      </c>
    </row>
    <row r="1685" spans="2:5" x14ac:dyDescent="0.2">
      <c r="B1685" s="28" t="str">
        <f>IF(Dec!$I39="SI",Dec!$H$38,"")</f>
        <v/>
      </c>
      <c r="C1685" s="28" t="str">
        <f>IF(Dec!$I39="SI",Dec!$H39,"")</f>
        <v/>
      </c>
      <c r="D1685" s="28" t="str">
        <f>IF(Dec!$I39="SI",Dec!$L39,"")</f>
        <v/>
      </c>
      <c r="E1685" s="47" t="s">
        <v>118</v>
      </c>
    </row>
    <row r="1686" spans="2:5" x14ac:dyDescent="0.2">
      <c r="B1686" s="28" t="str">
        <f>IF(Dec!$I40="SI",Dec!$H$38,"")</f>
        <v/>
      </c>
      <c r="C1686" s="28" t="str">
        <f>IF(Dec!$I40="SI",Dec!$H40,"")</f>
        <v/>
      </c>
      <c r="D1686" s="28" t="str">
        <f>IF(Dec!$I40="SI",Dec!$L40,"")</f>
        <v/>
      </c>
      <c r="E1686" s="47" t="s">
        <v>118</v>
      </c>
    </row>
    <row r="1687" spans="2:5" x14ac:dyDescent="0.2">
      <c r="B1687" s="28" t="str">
        <f>IF(Dec!$I41="SI",Dec!$H$38,"")</f>
        <v/>
      </c>
      <c r="C1687" s="28" t="str">
        <f>IF(Dec!$I41="SI",Dec!$H41,"")</f>
        <v/>
      </c>
      <c r="D1687" s="28" t="str">
        <f>IF(Dec!$I41="SI",Dec!$L41,"")</f>
        <v/>
      </c>
      <c r="E1687" s="47" t="s">
        <v>118</v>
      </c>
    </row>
    <row r="1688" spans="2:5" x14ac:dyDescent="0.2">
      <c r="B1688" s="28" t="str">
        <f>IF(Dec!$I42="SI",Dec!$H$38,"")</f>
        <v/>
      </c>
      <c r="C1688" s="28" t="str">
        <f>IF(Dec!$I42="SI",Dec!$H42,"")</f>
        <v/>
      </c>
      <c r="D1688" s="28" t="str">
        <f>IF(Dec!$I42="SI",Dec!$L42,"")</f>
        <v/>
      </c>
      <c r="E1688" s="47" t="s">
        <v>118</v>
      </c>
    </row>
    <row r="1689" spans="2:5" x14ac:dyDescent="0.2">
      <c r="B1689" s="28" t="str">
        <f>IF(Dec!$I43="SI",Dec!$H$38,"")</f>
        <v/>
      </c>
      <c r="C1689" s="28" t="str">
        <f>IF(Dec!$I43="SI",Dec!$H43,"")</f>
        <v/>
      </c>
      <c r="D1689" s="28" t="str">
        <f>IF(Dec!$I43="SI",Dec!$L43,"")</f>
        <v/>
      </c>
      <c r="E1689" s="47" t="s">
        <v>118</v>
      </c>
    </row>
    <row r="1690" spans="2:5" x14ac:dyDescent="0.2">
      <c r="B1690" s="28" t="str">
        <f>IF(Dec!$I44="SI",Dec!$H$38,"")</f>
        <v/>
      </c>
      <c r="C1690" s="28" t="str">
        <f>IF(Dec!$I44="SI",Dec!$H44,"")</f>
        <v/>
      </c>
      <c r="D1690" s="28" t="str">
        <f>IF(Dec!$I44="SI",Dec!$L44,"")</f>
        <v/>
      </c>
      <c r="E1690" s="47" t="s">
        <v>118</v>
      </c>
    </row>
    <row r="1691" spans="2:5" x14ac:dyDescent="0.2">
      <c r="B1691" s="28" t="str">
        <f>IF(Dec!$I45="SI",Dec!$H$38,"")</f>
        <v/>
      </c>
      <c r="C1691" s="28" t="str">
        <f>IF(Dec!$I45="SI",Dec!$H45,"")</f>
        <v/>
      </c>
      <c r="D1691" s="28" t="str">
        <f>IF(Dec!$I45="SI",Dec!$L45,"")</f>
        <v/>
      </c>
      <c r="E1691" s="47" t="s">
        <v>118</v>
      </c>
    </row>
    <row r="1692" spans="2:5" x14ac:dyDescent="0.2">
      <c r="B1692" s="28" t="str">
        <f>IF(Dec!$I49="SI",Dec!$H$48,"")</f>
        <v/>
      </c>
      <c r="C1692" s="28" t="str">
        <f>IF(Dec!$I49="SI",Dec!$H49,"")</f>
        <v/>
      </c>
      <c r="D1692" s="28" t="str">
        <f>IF(Dec!$I49="SI",Dec!$L49,"")</f>
        <v/>
      </c>
      <c r="E1692" s="47" t="s">
        <v>118</v>
      </c>
    </row>
    <row r="1693" spans="2:5" x14ac:dyDescent="0.2">
      <c r="B1693" s="28" t="str">
        <f>IF(Dec!$I50="SI",Dec!$H$48,"")</f>
        <v/>
      </c>
      <c r="C1693" s="28" t="str">
        <f>IF(Dec!$I50="SI",Dec!$H50,"")</f>
        <v/>
      </c>
      <c r="D1693" s="28" t="str">
        <f>IF(Dec!$I50="SI",Dec!$L50,"")</f>
        <v/>
      </c>
      <c r="E1693" s="47" t="s">
        <v>118</v>
      </c>
    </row>
    <row r="1694" spans="2:5" x14ac:dyDescent="0.2">
      <c r="B1694" s="28" t="str">
        <f>IF(Dec!$I51="SI",Dec!$H$48,"")</f>
        <v/>
      </c>
      <c r="C1694" s="28" t="str">
        <f>IF(Dec!$I51="SI",Dec!$H51,"")</f>
        <v/>
      </c>
      <c r="D1694" s="28" t="str">
        <f>IF(Dec!$I51="SI",Dec!$L51,"")</f>
        <v/>
      </c>
      <c r="E1694" s="47" t="s">
        <v>118</v>
      </c>
    </row>
    <row r="1695" spans="2:5" x14ac:dyDescent="0.2">
      <c r="B1695" s="28" t="str">
        <f>IF(Dec!$I52="SI",Dec!$H$48,"")</f>
        <v/>
      </c>
      <c r="C1695" s="28" t="str">
        <f>IF(Dec!$I52="SI",Dec!$H52,"")</f>
        <v/>
      </c>
      <c r="D1695" s="28" t="str">
        <f>IF(Dec!$I52="SI",Dec!$L52,"")</f>
        <v/>
      </c>
      <c r="E1695" s="47" t="s">
        <v>118</v>
      </c>
    </row>
    <row r="1696" spans="2:5" x14ac:dyDescent="0.2">
      <c r="B1696" s="28" t="str">
        <f>IF(Dec!$I53="SI",Dec!$H$48,"")</f>
        <v/>
      </c>
      <c r="C1696" s="28" t="str">
        <f>IF(Dec!$I53="SI",Dec!$H53,"")</f>
        <v/>
      </c>
      <c r="D1696" s="28" t="str">
        <f>IF(Dec!$I53="SI",Dec!$L53,"")</f>
        <v/>
      </c>
      <c r="E1696" s="47" t="s">
        <v>118</v>
      </c>
    </row>
    <row r="1697" spans="2:5" x14ac:dyDescent="0.2">
      <c r="B1697" s="28" t="str">
        <f>IF(Dec!$I54="SI",Dec!$H$48,"")</f>
        <v/>
      </c>
      <c r="C1697" s="28" t="str">
        <f>IF(Dec!$I54="SI",Dec!$H54,"")</f>
        <v/>
      </c>
      <c r="D1697" s="28" t="str">
        <f>IF(Dec!$I54="SI",Dec!$L54,"")</f>
        <v/>
      </c>
      <c r="E1697" s="47" t="s">
        <v>118</v>
      </c>
    </row>
    <row r="1698" spans="2:5" x14ac:dyDescent="0.2">
      <c r="B1698" s="28" t="str">
        <f>IF(Dec!$I58="SI",Dec!$H$57,"")</f>
        <v/>
      </c>
      <c r="C1698" s="28" t="str">
        <f>IF(Dec!$I58="SI",Dec!$H58,"")</f>
        <v/>
      </c>
      <c r="D1698" s="28" t="str">
        <f>IF(Dec!$I58="SI",Dec!$L58,"")</f>
        <v/>
      </c>
      <c r="E1698" s="47" t="s">
        <v>118</v>
      </c>
    </row>
    <row r="1699" spans="2:5" x14ac:dyDescent="0.2">
      <c r="B1699" s="28" t="str">
        <f>IF(Dec!$I59="SI",Dec!$H$57,"")</f>
        <v/>
      </c>
      <c r="C1699" s="28" t="str">
        <f>IF(Dec!$I59="SI",Dec!$H59,"")</f>
        <v/>
      </c>
      <c r="D1699" s="28" t="str">
        <f>IF(Dec!$I59="SI",Dec!$L59,"")</f>
        <v/>
      </c>
      <c r="E1699" s="47" t="s">
        <v>118</v>
      </c>
    </row>
    <row r="1700" spans="2:5" x14ac:dyDescent="0.2">
      <c r="B1700" s="28" t="str">
        <f>IF(Dec!$I60="SI",Dec!$H$57,"")</f>
        <v/>
      </c>
      <c r="C1700" s="28" t="str">
        <f>IF(Dec!$I60="SI",Dec!$H60,"")</f>
        <v/>
      </c>
      <c r="D1700" s="28" t="str">
        <f>IF(Dec!$I60="SI",Dec!$L60,"")</f>
        <v/>
      </c>
      <c r="E1700" s="47" t="s">
        <v>118</v>
      </c>
    </row>
    <row r="1701" spans="2:5" x14ac:dyDescent="0.2">
      <c r="B1701" s="28" t="str">
        <f>IF(Dec!$I61="SI",Dec!$H$57,"")</f>
        <v/>
      </c>
      <c r="C1701" s="28" t="str">
        <f>IF(Dec!$I61="SI",Dec!$H61,"")</f>
        <v/>
      </c>
      <c r="D1701" s="28" t="str">
        <f>IF(Dec!$I61="SI",Dec!$L61,"")</f>
        <v/>
      </c>
      <c r="E1701" s="47" t="s">
        <v>118</v>
      </c>
    </row>
    <row r="1702" spans="2:5" x14ac:dyDescent="0.2">
      <c r="B1702" s="28" t="str">
        <f>IF(Dec!$I62="SI",Dec!$H$57,"")</f>
        <v/>
      </c>
      <c r="C1702" s="28" t="str">
        <f>IF(Dec!$I62="SI",Dec!$H62,"")</f>
        <v/>
      </c>
      <c r="D1702" s="28" t="str">
        <f>IF(Dec!$I62="SI",Dec!$L62,"")</f>
        <v/>
      </c>
      <c r="E1702" s="47" t="s">
        <v>118</v>
      </c>
    </row>
    <row r="1703" spans="2:5" x14ac:dyDescent="0.2">
      <c r="B1703" s="28" t="str">
        <f>IF(Dec!$I63="SI",Dec!$H$57,"")</f>
        <v/>
      </c>
      <c r="C1703" s="28" t="str">
        <f>IF(Dec!$I63="SI",Dec!$H63,"")</f>
        <v/>
      </c>
      <c r="D1703" s="28" t="str">
        <f>IF(Dec!$I63="SI",Dec!$L63,"")</f>
        <v/>
      </c>
      <c r="E1703" s="47" t="s">
        <v>118</v>
      </c>
    </row>
    <row r="1704" spans="2:5" x14ac:dyDescent="0.2">
      <c r="B1704" s="28" t="str">
        <f>IF(Dec!$I64="SI",Dec!$H$57,"")</f>
        <v/>
      </c>
      <c r="C1704" s="28" t="str">
        <f>IF(Dec!$I64="SI",Dec!$H64,"")</f>
        <v/>
      </c>
      <c r="D1704" s="28" t="str">
        <f>IF(Dec!$I64="SI",Dec!$L64,"")</f>
        <v/>
      </c>
      <c r="E1704" s="47" t="s">
        <v>118</v>
      </c>
    </row>
    <row r="1705" spans="2:5" x14ac:dyDescent="0.2">
      <c r="B1705" s="28" t="str">
        <f>IF(Dec!$I68="SI",Dec!$H$67,"")</f>
        <v/>
      </c>
      <c r="C1705" s="28" t="str">
        <f>IF(Dec!$I68="SI",Dec!$H68,"")</f>
        <v/>
      </c>
      <c r="D1705" s="28" t="str">
        <f>IF(Dec!$I68="SI",Dec!$L68,"")</f>
        <v/>
      </c>
      <c r="E1705" s="47" t="s">
        <v>118</v>
      </c>
    </row>
    <row r="1706" spans="2:5" x14ac:dyDescent="0.2">
      <c r="B1706" s="28" t="str">
        <f>IF(Dec!$I69="SI",Dec!$H$67,"")</f>
        <v/>
      </c>
      <c r="C1706" s="28" t="str">
        <f>IF(Dec!$I69="SI",Dec!$H69,"")</f>
        <v/>
      </c>
      <c r="D1706" s="28" t="str">
        <f>IF(Dec!$I69="SI",Dec!$L69,"")</f>
        <v/>
      </c>
      <c r="E1706" s="47" t="s">
        <v>118</v>
      </c>
    </row>
    <row r="1707" spans="2:5" x14ac:dyDescent="0.2">
      <c r="B1707" s="28" t="str">
        <f>IF(Dec!$I70="SI",Dec!$H$67,"")</f>
        <v/>
      </c>
      <c r="C1707" s="28" t="str">
        <f>IF(Dec!$I70="SI",Dec!$H70,"")</f>
        <v/>
      </c>
      <c r="D1707" s="28" t="str">
        <f>IF(Dec!$I70="SI",Dec!$L70,"")</f>
        <v/>
      </c>
      <c r="E1707" s="47" t="s">
        <v>118</v>
      </c>
    </row>
    <row r="1708" spans="2:5" x14ac:dyDescent="0.2">
      <c r="B1708" s="28" t="str">
        <f>IF(Dec!$I71="SI",Dec!$H$67,"")</f>
        <v/>
      </c>
      <c r="C1708" s="28" t="str">
        <f>IF(Dec!$I71="SI",Dec!$H71,"")</f>
        <v/>
      </c>
      <c r="D1708" s="28" t="str">
        <f>IF(Dec!$I71="SI",Dec!$L71,"")</f>
        <v/>
      </c>
      <c r="E1708" s="47" t="s">
        <v>118</v>
      </c>
    </row>
    <row r="1709" spans="2:5" x14ac:dyDescent="0.2">
      <c r="B1709" s="28" t="str">
        <f>IF(Dec!$I72="SI",Dec!$H$67,"")</f>
        <v/>
      </c>
      <c r="C1709" s="28" t="str">
        <f>IF(Dec!$I72="SI",Dec!$H72,"")</f>
        <v/>
      </c>
      <c r="D1709" s="28" t="str">
        <f>IF(Dec!$I72="SI",Dec!$L72,"")</f>
        <v/>
      </c>
      <c r="E1709" s="47" t="s">
        <v>118</v>
      </c>
    </row>
    <row r="1710" spans="2:5" x14ac:dyDescent="0.2">
      <c r="B1710" s="28" t="str">
        <f>IF(Dec!$I73="SI",Dec!$H$67,"")</f>
        <v/>
      </c>
      <c r="C1710" s="28" t="str">
        <f>IF(Dec!$I73="SI",Dec!$H73,"")</f>
        <v/>
      </c>
      <c r="D1710" s="28" t="str">
        <f>IF(Dec!$I73="SI",Dec!$L73,"")</f>
        <v/>
      </c>
      <c r="E1710" s="47" t="s">
        <v>118</v>
      </c>
    </row>
    <row r="1711" spans="2:5" x14ac:dyDescent="0.2">
      <c r="B1711" s="28" t="str">
        <f>IF(Dec!$I74="SI",Dec!$H$67,"")</f>
        <v/>
      </c>
      <c r="C1711" s="28" t="str">
        <f>IF(Dec!$I74="SI",Dec!$H74,"")</f>
        <v/>
      </c>
      <c r="D1711" s="28" t="str">
        <f>IF(Dec!$I74="SI",Dec!$L74,"")</f>
        <v/>
      </c>
      <c r="E1711" s="47" t="s">
        <v>118</v>
      </c>
    </row>
    <row r="1712" spans="2:5" x14ac:dyDescent="0.2">
      <c r="B1712" s="28" t="str">
        <f>IF(Dec!$I75="SI",Dec!$H$67,"")</f>
        <v/>
      </c>
      <c r="C1712" s="28" t="str">
        <f>IF(Dec!$I75="SI",Dec!$H75,"")</f>
        <v/>
      </c>
      <c r="D1712" s="28" t="str">
        <f>IF(Dec!$I75="SI",Dec!$L75,"")</f>
        <v/>
      </c>
      <c r="E1712" s="47" t="s">
        <v>118</v>
      </c>
    </row>
    <row r="1713" spans="2:5" x14ac:dyDescent="0.2">
      <c r="B1713" s="28" t="str">
        <f>IF(Dec!$I76="SI",Dec!$H$67,"")</f>
        <v/>
      </c>
      <c r="C1713" s="28" t="str">
        <f>IF(Dec!$I76="SI",Dec!$H76,"")</f>
        <v/>
      </c>
      <c r="D1713" s="28" t="str">
        <f>IF(Dec!$I76="SI",Dec!$L76,"")</f>
        <v/>
      </c>
      <c r="E1713" s="47" t="s">
        <v>118</v>
      </c>
    </row>
    <row r="1714" spans="2:5" x14ac:dyDescent="0.2">
      <c r="B1714" s="28" t="str">
        <f>IF(Dec!$I77="SI",Dec!$H$67,"")</f>
        <v/>
      </c>
      <c r="C1714" s="28" t="str">
        <f>IF(Dec!$I77="SI",Dec!$H77,"")</f>
        <v/>
      </c>
      <c r="D1714" s="28" t="str">
        <f>IF(Dec!$I77="SI",Dec!$L77,"")</f>
        <v/>
      </c>
      <c r="E1714" s="47" t="s">
        <v>118</v>
      </c>
    </row>
    <row r="1715" spans="2:5" x14ac:dyDescent="0.2">
      <c r="B1715" s="28" t="str">
        <f>IF(Dec!$I78="SI",Dec!$H$67,"")</f>
        <v/>
      </c>
      <c r="C1715" s="28" t="str">
        <f>IF(Dec!$I78="SI",Dec!$H78,"")</f>
        <v/>
      </c>
      <c r="D1715" s="28" t="str">
        <f>IF(Dec!$I78="SI",Dec!$L78,"")</f>
        <v/>
      </c>
      <c r="E1715" s="47" t="s">
        <v>118</v>
      </c>
    </row>
    <row r="1716" spans="2:5" x14ac:dyDescent="0.2">
      <c r="B1716" s="28" t="str">
        <f>IF(Dec!$I82="SI",Dec!$H$81,"")</f>
        <v/>
      </c>
      <c r="C1716" s="28" t="str">
        <f>IF(Dec!$I82="SI",Dec!$H82,"")</f>
        <v/>
      </c>
      <c r="D1716" s="28" t="str">
        <f>IF(Dec!$I82="SI",Dec!$L82,"")</f>
        <v/>
      </c>
      <c r="E1716" s="47" t="s">
        <v>118</v>
      </c>
    </row>
    <row r="1717" spans="2:5" x14ac:dyDescent="0.2">
      <c r="B1717" s="28" t="str">
        <f>IF(Dec!$I83="SI",Dec!$H$81,"")</f>
        <v/>
      </c>
      <c r="C1717" s="28" t="str">
        <f>IF(Dec!$I83="SI",Dec!$H83,"")</f>
        <v/>
      </c>
      <c r="D1717" s="28" t="str">
        <f>IF(Dec!$I83="SI",Dec!$L83,"")</f>
        <v/>
      </c>
      <c r="E1717" s="47" t="s">
        <v>118</v>
      </c>
    </row>
    <row r="1718" spans="2:5" x14ac:dyDescent="0.2">
      <c r="B1718" s="28" t="str">
        <f>IF(Dec!$I84="SI",Dec!$H$81,"")</f>
        <v/>
      </c>
      <c r="C1718" s="28" t="str">
        <f>IF(Dec!$I84="SI",Dec!$H84,"")</f>
        <v/>
      </c>
      <c r="D1718" s="28" t="str">
        <f>IF(Dec!$I84="SI",Dec!$L84,"")</f>
        <v/>
      </c>
      <c r="E1718" s="47" t="s">
        <v>118</v>
      </c>
    </row>
    <row r="1719" spans="2:5" x14ac:dyDescent="0.2">
      <c r="B1719" s="28" t="str">
        <f>IF(Dec!$I85="SI",Dec!$H$81,"")</f>
        <v/>
      </c>
      <c r="C1719" s="28" t="str">
        <f>IF(Dec!$I85="SI",Dec!$H85,"")</f>
        <v/>
      </c>
      <c r="D1719" s="28" t="str">
        <f>IF(Dec!$I85="SI",Dec!$L85,"")</f>
        <v/>
      </c>
      <c r="E1719" s="47" t="s">
        <v>118</v>
      </c>
    </row>
    <row r="1720" spans="2:5" x14ac:dyDescent="0.2">
      <c r="B1720" s="28" t="str">
        <f>IF(Dec!$I86="SI",Dec!$H$81,"")</f>
        <v/>
      </c>
      <c r="C1720" s="28" t="str">
        <f>IF(Dec!$I86="SI",Dec!$H86,"")</f>
        <v/>
      </c>
      <c r="D1720" s="28" t="str">
        <f>IF(Dec!$I86="SI",Dec!$L86,"")</f>
        <v/>
      </c>
      <c r="E1720" s="47" t="s">
        <v>118</v>
      </c>
    </row>
    <row r="1721" spans="2:5" x14ac:dyDescent="0.2">
      <c r="B1721" s="28" t="str">
        <f>IF(Dec!$I87="SI",Dec!$H$81,"")</f>
        <v/>
      </c>
      <c r="C1721" s="28" t="str">
        <f>IF(Dec!$I87="SI",Dec!$H87,"")</f>
        <v/>
      </c>
      <c r="D1721" s="28" t="str">
        <f>IF(Dec!$I87="SI",Dec!$L87,"")</f>
        <v/>
      </c>
      <c r="E1721" s="47" t="s">
        <v>118</v>
      </c>
    </row>
    <row r="1722" spans="2:5" x14ac:dyDescent="0.2">
      <c r="B1722" s="28" t="str">
        <f>IF(Dec!$I91="SI",Dec!$H$90,"")</f>
        <v/>
      </c>
      <c r="C1722" s="28" t="str">
        <f>IF(Dec!$I91="SI",Dec!$H91,"")</f>
        <v/>
      </c>
      <c r="D1722" s="28" t="str">
        <f>IF(Dec!$I91="SI",Dec!$L91,"")</f>
        <v/>
      </c>
      <c r="E1722" s="47" t="s">
        <v>118</v>
      </c>
    </row>
    <row r="1723" spans="2:5" x14ac:dyDescent="0.2">
      <c r="B1723" s="28" t="str">
        <f>IF(Dec!$I92="SI",Dec!$H$90,"")</f>
        <v/>
      </c>
      <c r="C1723" s="28" t="str">
        <f>IF(Dec!$I92="SI",Dec!$H92,"")</f>
        <v/>
      </c>
      <c r="D1723" s="28" t="str">
        <f>IF(Dec!$I92="SI",Dec!$L92,"")</f>
        <v/>
      </c>
      <c r="E1723" s="47" t="s">
        <v>118</v>
      </c>
    </row>
    <row r="1724" spans="2:5" x14ac:dyDescent="0.2">
      <c r="B1724" s="28" t="str">
        <f>IF(Dec!$I93="SI",Dec!$H$90,"")</f>
        <v/>
      </c>
      <c r="C1724" s="28" t="str">
        <f>IF(Dec!$I93="SI",Dec!$H93,"")</f>
        <v/>
      </c>
      <c r="D1724" s="28" t="str">
        <f>IF(Dec!$I93="SI",Dec!$L93,"")</f>
        <v/>
      </c>
      <c r="E1724" s="47" t="s">
        <v>118</v>
      </c>
    </row>
    <row r="1725" spans="2:5" x14ac:dyDescent="0.2">
      <c r="B1725" s="28" t="str">
        <f>IF(Dec!$I94="SI",Dec!$H$90,"")</f>
        <v/>
      </c>
      <c r="C1725" s="28" t="str">
        <f>IF(Dec!$I94="SI",Dec!$H94,"")</f>
        <v/>
      </c>
      <c r="D1725" s="28" t="str">
        <f>IF(Dec!$I94="SI",Dec!$L94,"")</f>
        <v/>
      </c>
      <c r="E1725" s="47" t="s">
        <v>118</v>
      </c>
    </row>
    <row r="1726" spans="2:5" x14ac:dyDescent="0.2">
      <c r="B1726" s="28" t="str">
        <f>IF(Dec!$I95="SI",Dec!$H$90,"")</f>
        <v/>
      </c>
      <c r="C1726" s="28" t="str">
        <f>IF(Dec!$I95="SI",Dec!$H95,"")</f>
        <v/>
      </c>
      <c r="D1726" s="28" t="str">
        <f>IF(Dec!$I95="SI",Dec!$L95,"")</f>
        <v/>
      </c>
      <c r="E1726" s="47" t="s">
        <v>118</v>
      </c>
    </row>
    <row r="1727" spans="2:5" x14ac:dyDescent="0.2">
      <c r="B1727" s="28" t="str">
        <f>IF(Dec!$I96="SI",Dec!$H$90,"")</f>
        <v/>
      </c>
      <c r="C1727" s="28" t="str">
        <f>IF(Dec!$I96="SI",Dec!$H96,"")</f>
        <v/>
      </c>
      <c r="D1727" s="28" t="str">
        <f>IF(Dec!$I96="SI",Dec!$L96,"")</f>
        <v/>
      </c>
      <c r="E1727" s="47" t="s">
        <v>118</v>
      </c>
    </row>
    <row r="1728" spans="2:5" x14ac:dyDescent="0.2">
      <c r="B1728" s="28" t="str">
        <f>IF(Dec!$I97="SI",Dec!$H$90,"")</f>
        <v/>
      </c>
      <c r="C1728" s="28" t="str">
        <f>IF(Dec!$I97="SI",Dec!$H97,"")</f>
        <v/>
      </c>
      <c r="D1728" s="28" t="str">
        <f>IF(Dec!$I97="SI",Dec!$L97,"")</f>
        <v/>
      </c>
      <c r="E1728" s="47" t="s">
        <v>118</v>
      </c>
    </row>
    <row r="1729" spans="2:5" x14ac:dyDescent="0.2">
      <c r="B1729" s="28" t="str">
        <f>IF(Dec!$I101="SI",Dec!$H$100,"")</f>
        <v/>
      </c>
      <c r="C1729" s="28" t="str">
        <f>IF(Dec!$I101="SI",Dec!$H101,"")</f>
        <v/>
      </c>
      <c r="D1729" s="28" t="str">
        <f>IF(Dec!$I101="SI",Dec!$L101,"")</f>
        <v/>
      </c>
      <c r="E1729" s="47" t="s">
        <v>118</v>
      </c>
    </row>
    <row r="1730" spans="2:5" x14ac:dyDescent="0.2">
      <c r="B1730" s="28" t="str">
        <f>IF(Dec!$I102="SI",Dec!$H$100,"")</f>
        <v/>
      </c>
      <c r="C1730" s="28" t="str">
        <f>IF(Dec!$I102="SI",Dec!$H102,"")</f>
        <v/>
      </c>
      <c r="D1730" s="28" t="str">
        <f>IF(Dec!$I102="SI",Dec!$L102,"")</f>
        <v/>
      </c>
      <c r="E1730" s="47" t="s">
        <v>118</v>
      </c>
    </row>
    <row r="1731" spans="2:5" x14ac:dyDescent="0.2">
      <c r="B1731" s="28" t="str">
        <f>IF(Dec!$I103="SI",Dec!$H$100,"")</f>
        <v/>
      </c>
      <c r="C1731" s="28" t="str">
        <f>IF(Dec!$I103="SI",Dec!$H103,"")</f>
        <v/>
      </c>
      <c r="D1731" s="28" t="str">
        <f>IF(Dec!$I103="SI",Dec!$L103,"")</f>
        <v/>
      </c>
      <c r="E1731" s="47" t="s">
        <v>118</v>
      </c>
    </row>
    <row r="1732" spans="2:5" x14ac:dyDescent="0.2">
      <c r="B1732" s="28" t="str">
        <f>IF(Dec!$I104="SI",Dec!$H$100,"")</f>
        <v/>
      </c>
      <c r="C1732" s="28" t="str">
        <f>IF(Dec!$I104="SI",Dec!$H104,"")</f>
        <v/>
      </c>
      <c r="D1732" s="28" t="str">
        <f>IF(Dec!$I104="SI",Dec!$L104,"")</f>
        <v/>
      </c>
      <c r="E1732" s="47" t="s">
        <v>118</v>
      </c>
    </row>
    <row r="1733" spans="2:5" x14ac:dyDescent="0.2">
      <c r="B1733" s="28" t="str">
        <f>IF(Dec!$I105="SI",Dec!$H$100,"")</f>
        <v/>
      </c>
      <c r="C1733" s="28" t="str">
        <f>IF(Dec!$I105="SI",Dec!$H105,"")</f>
        <v/>
      </c>
      <c r="D1733" s="28" t="str">
        <f>IF(Dec!$I105="SI",Dec!$L105,"")</f>
        <v/>
      </c>
      <c r="E1733" s="47" t="s">
        <v>118</v>
      </c>
    </row>
    <row r="1734" spans="2:5" x14ac:dyDescent="0.2">
      <c r="B1734" s="28" t="str">
        <f>IF(Dec!$I106="SI",Dec!$H$100,"")</f>
        <v/>
      </c>
      <c r="C1734" s="28" t="str">
        <f>IF(Dec!$I106="SI",Dec!$H106,"")</f>
        <v/>
      </c>
      <c r="D1734" s="28" t="str">
        <f>IF(Dec!$I106="SI",Dec!$L106,"")</f>
        <v/>
      </c>
      <c r="E1734" s="47" t="s">
        <v>118</v>
      </c>
    </row>
    <row r="1735" spans="2:5" x14ac:dyDescent="0.2">
      <c r="B1735" s="28" t="str">
        <f>IF(Dec!$I107="SI",Dec!$H$100,"")</f>
        <v/>
      </c>
      <c r="C1735" s="28" t="str">
        <f>IF(Dec!$I107="SI",Dec!$H107,"")</f>
        <v/>
      </c>
      <c r="D1735" s="28" t="str">
        <f>IF(Dec!$I107="SI",Dec!$L107,"")</f>
        <v/>
      </c>
      <c r="E1735" s="47" t="s">
        <v>118</v>
      </c>
    </row>
    <row r="1736" spans="2:5" x14ac:dyDescent="0.2">
      <c r="B1736" s="29"/>
      <c r="C1736" s="29"/>
      <c r="D1736" s="29"/>
      <c r="E1736" s="47" t="s">
        <v>118</v>
      </c>
    </row>
    <row r="1737" spans="2:5" x14ac:dyDescent="0.2">
      <c r="B1737" s="28" t="str">
        <f>IF(Limpieza!$C13="SI",Limpieza!$B$12,"")</f>
        <v/>
      </c>
      <c r="C1737" s="44" t="str">
        <f>IF(Limpieza!$C13="SI",Limpieza!$B13,"")</f>
        <v/>
      </c>
      <c r="D1737" s="44" t="str">
        <f>IF(Limpieza!$C13="SI",Limpieza!$F13,"")</f>
        <v/>
      </c>
      <c r="E1737" s="27" t="s">
        <v>6</v>
      </c>
    </row>
    <row r="1738" spans="2:5" x14ac:dyDescent="0.2">
      <c r="B1738" s="28" t="str">
        <f>IF(Limpieza!$C14="SI",Limpieza!$B$12,"")</f>
        <v/>
      </c>
      <c r="C1738" s="44" t="str">
        <f>IF(Limpieza!$C14="SI",Limpieza!$B14,"")</f>
        <v/>
      </c>
      <c r="D1738" s="44" t="str">
        <f>IF(Limpieza!$C14="SI",Limpieza!$F14,"")</f>
        <v/>
      </c>
      <c r="E1738" s="27" t="s">
        <v>6</v>
      </c>
    </row>
    <row r="1739" spans="2:5" x14ac:dyDescent="0.2">
      <c r="B1739" s="28" t="str">
        <f>IF(Limpieza!$C15="SI",Limpieza!$B$12,"")</f>
        <v/>
      </c>
      <c r="C1739" s="44" t="str">
        <f>IF(Limpieza!$C15="SI",Limpieza!$B15,"")</f>
        <v/>
      </c>
      <c r="D1739" s="44" t="str">
        <f>IF(Limpieza!$C15="SI",Limpieza!$F15,"")</f>
        <v/>
      </c>
      <c r="E1739" s="27" t="s">
        <v>6</v>
      </c>
    </row>
    <row r="1740" spans="2:5" x14ac:dyDescent="0.2">
      <c r="B1740" s="28" t="str">
        <f>IF(Limpieza!$C16="SI",Limpieza!$B$12,"")</f>
        <v/>
      </c>
      <c r="C1740" s="44" t="str">
        <f>IF(Limpieza!$C16="SI",Limpieza!$B16,"")</f>
        <v/>
      </c>
      <c r="D1740" s="44" t="str">
        <f>IF(Limpieza!$C16="SI",Limpieza!$F16,"")</f>
        <v/>
      </c>
      <c r="E1740" s="27" t="s">
        <v>6</v>
      </c>
    </row>
    <row r="1741" spans="2:5" x14ac:dyDescent="0.2">
      <c r="B1741" s="28" t="str">
        <f>IF(Limpieza!$C17="SI",Limpieza!$B$12,"")</f>
        <v/>
      </c>
      <c r="C1741" s="44" t="str">
        <f>IF(Limpieza!$C17="SI",Limpieza!$B17,"")</f>
        <v/>
      </c>
      <c r="D1741" s="44" t="str">
        <f>IF(Limpieza!$C17="SI",Limpieza!$F17,"")</f>
        <v/>
      </c>
      <c r="E1741" s="27" t="s">
        <v>6</v>
      </c>
    </row>
    <row r="1742" spans="2:5" x14ac:dyDescent="0.2">
      <c r="B1742" s="28" t="str">
        <f>IF(Limpieza!$C18="SI",Limpieza!$B$12,"")</f>
        <v/>
      </c>
      <c r="C1742" s="44" t="str">
        <f>IF(Limpieza!$C18="SI",Limpieza!$B18,"")</f>
        <v/>
      </c>
      <c r="D1742" s="44" t="str">
        <f>IF(Limpieza!$C18="SI",Limpieza!$F18,"")</f>
        <v/>
      </c>
      <c r="E1742" s="27" t="s">
        <v>6</v>
      </c>
    </row>
    <row r="1743" spans="2:5" x14ac:dyDescent="0.2">
      <c r="B1743" s="28" t="str">
        <f>IF(Limpieza!$C19="SI",Limpieza!$B$12,"")</f>
        <v/>
      </c>
      <c r="C1743" s="44" t="str">
        <f>IF(Limpieza!$C19="SI",Limpieza!$B19,"")</f>
        <v/>
      </c>
      <c r="D1743" s="44" t="str">
        <f>IF(Limpieza!$C19="SI",Limpieza!$F19,"")</f>
        <v/>
      </c>
      <c r="E1743" s="27" t="s">
        <v>6</v>
      </c>
    </row>
    <row r="1744" spans="2:5" x14ac:dyDescent="0.2">
      <c r="B1744" s="28" t="str">
        <f>IF(Limpieza!$C20="SI",Limpieza!$B$12,"")</f>
        <v/>
      </c>
      <c r="C1744" s="44" t="str">
        <f>IF(Limpieza!$C20="SI",Limpieza!$B20,"")</f>
        <v/>
      </c>
      <c r="D1744" s="44" t="str">
        <f>IF(Limpieza!$C20="SI",Limpieza!$F20,"")</f>
        <v/>
      </c>
      <c r="E1744" s="27" t="s">
        <v>6</v>
      </c>
    </row>
    <row r="1745" spans="2:5" x14ac:dyDescent="0.2">
      <c r="B1745" s="28" t="str">
        <f>IF(Limpieza!$C21="SI",Limpieza!$B$12,"")</f>
        <v/>
      </c>
      <c r="C1745" s="44" t="str">
        <f>IF(Limpieza!$C21="SI",Limpieza!$B21,"")</f>
        <v/>
      </c>
      <c r="D1745" s="44" t="str">
        <f>IF(Limpieza!$C21="SI",Limpieza!$F21,"")</f>
        <v/>
      </c>
      <c r="E1745" s="27" t="s">
        <v>6</v>
      </c>
    </row>
    <row r="1746" spans="2:5" x14ac:dyDescent="0.2">
      <c r="B1746" s="28" t="str">
        <f>IF(Limpieza!$C22="SI",Limpieza!$B$12,"")</f>
        <v/>
      </c>
      <c r="C1746" s="44" t="str">
        <f>IF(Limpieza!$C22="SI",Limpieza!$B22,"")</f>
        <v/>
      </c>
      <c r="D1746" s="44" t="str">
        <f>IF(Limpieza!$C22="SI",Limpieza!$F22,"")</f>
        <v/>
      </c>
      <c r="E1746" s="27" t="s">
        <v>6</v>
      </c>
    </row>
    <row r="1747" spans="2:5" x14ac:dyDescent="0.2">
      <c r="B1747" s="28" t="str">
        <f>IF(Limpieza!$C23="SI",Limpieza!$B$12,"")</f>
        <v/>
      </c>
      <c r="C1747" s="44" t="str">
        <f>IF(Limpieza!$C23="SI",Limpieza!$B23,"")</f>
        <v/>
      </c>
      <c r="D1747" s="44" t="str">
        <f>IF(Limpieza!$C23="SI",Limpieza!$F23,"")</f>
        <v/>
      </c>
      <c r="E1747" s="27" t="s">
        <v>6</v>
      </c>
    </row>
    <row r="1748" spans="2:5" x14ac:dyDescent="0.2">
      <c r="B1748" s="28" t="str">
        <f>IF(Limpieza!$C24="SI",Limpieza!$B$12,"")</f>
        <v/>
      </c>
      <c r="C1748" s="44" t="str">
        <f>IF(Limpieza!$C24="SI",Limpieza!$B24,"")</f>
        <v/>
      </c>
      <c r="D1748" s="44" t="str">
        <f>IF(Limpieza!$C24="SI",Limpieza!$F24,"")</f>
        <v/>
      </c>
      <c r="E1748" s="27" t="s">
        <v>6</v>
      </c>
    </row>
    <row r="1749" spans="2:5" s="45" customFormat="1" x14ac:dyDescent="0.2">
      <c r="B1749" s="44" t="str">
        <f>IF(Limpieza!$C28="SI",Limpieza!$B$27,"")</f>
        <v/>
      </c>
      <c r="C1749" s="44" t="str">
        <f>IF(Limpieza!$C28="SI",Limpieza!$B28,"")</f>
        <v/>
      </c>
      <c r="D1749" s="44" t="str">
        <f>IF(Limpieza!$C28="SI",Limpieza!$F28,"")</f>
        <v/>
      </c>
      <c r="E1749" s="27" t="s">
        <v>6</v>
      </c>
    </row>
    <row r="1750" spans="2:5" x14ac:dyDescent="0.2">
      <c r="B1750" s="28" t="str">
        <f>IF(Limpieza!$C29="SI",Limpieza!$B$27,"")</f>
        <v>DEUDAS</v>
      </c>
      <c r="C1750" s="44" t="str">
        <f>IF(Limpieza!$C29="SI",Limpieza!$B29,"")</f>
        <v>Deuda tarjeta Nu</v>
      </c>
      <c r="D1750" s="44">
        <f>IF(Limpieza!$C29="SI",Limpieza!$F29,"")</f>
        <v>-6151674.1600000001</v>
      </c>
      <c r="E1750" s="27" t="s">
        <v>6</v>
      </c>
    </row>
    <row r="1751" spans="2:5" x14ac:dyDescent="0.2">
      <c r="B1751" s="28" t="str">
        <f>IF(Limpieza!$C30="SI",Limpieza!$B$27,"")</f>
        <v/>
      </c>
      <c r="C1751" s="44" t="str">
        <f>IF(Limpieza!$C30="SI",Limpieza!$B30,"")</f>
        <v/>
      </c>
      <c r="D1751" s="44" t="str">
        <f>IF(Limpieza!$C30="SI",Limpieza!$F30,"")</f>
        <v/>
      </c>
      <c r="E1751" s="27" t="s">
        <v>6</v>
      </c>
    </row>
    <row r="1752" spans="2:5" x14ac:dyDescent="0.2">
      <c r="B1752" s="28" t="str">
        <f>IF(Limpieza!$C31="SI",Limpieza!$B$27,"")</f>
        <v/>
      </c>
      <c r="C1752" s="44" t="str">
        <f>IF(Limpieza!$C31="SI",Limpieza!$B31,"")</f>
        <v/>
      </c>
      <c r="D1752" s="44" t="str">
        <f>IF(Limpieza!$C31="SI",Limpieza!$F31,"")</f>
        <v/>
      </c>
      <c r="E1752" s="27" t="s">
        <v>6</v>
      </c>
    </row>
    <row r="1753" spans="2:5" x14ac:dyDescent="0.2">
      <c r="B1753" s="28" t="str">
        <f>IF(Limpieza!$C32="SI",Limpieza!$B$27,"")</f>
        <v/>
      </c>
      <c r="C1753" s="44" t="str">
        <f>IF(Limpieza!$C32="SI",Limpieza!$B32,"")</f>
        <v/>
      </c>
      <c r="D1753" s="44" t="str">
        <f>IF(Limpieza!$C32="SI",Limpieza!$F32,"")</f>
        <v/>
      </c>
      <c r="E1753" s="27" t="s">
        <v>6</v>
      </c>
    </row>
    <row r="1754" spans="2:5" x14ac:dyDescent="0.2">
      <c r="B1754" s="28" t="str">
        <f>IF(Limpieza!$C33="SI",Limpieza!$B$27,"")</f>
        <v/>
      </c>
      <c r="C1754" s="44" t="str">
        <f>IF(Limpieza!$C33="SI",Limpieza!$B33,"")</f>
        <v/>
      </c>
      <c r="D1754" s="44" t="str">
        <f>IF(Limpieza!$C33="SI",Limpieza!$F33,"")</f>
        <v/>
      </c>
      <c r="E1754" s="27" t="s">
        <v>6</v>
      </c>
    </row>
    <row r="1755" spans="2:5" x14ac:dyDescent="0.2">
      <c r="B1755" s="28" t="str">
        <f>IF(Limpieza!$C34="SI",Limpieza!$B$27,"")</f>
        <v/>
      </c>
      <c r="C1755" s="44" t="str">
        <f>IF(Limpieza!$C34="SI",Limpieza!$B34,"")</f>
        <v/>
      </c>
      <c r="D1755" s="44" t="str">
        <f>IF(Limpieza!$C34="SI",Limpieza!$F34,"")</f>
        <v/>
      </c>
      <c r="E1755" s="27" t="s">
        <v>6</v>
      </c>
    </row>
    <row r="1756" spans="2:5" x14ac:dyDescent="0.2">
      <c r="B1756" s="28" t="str">
        <f>IF(Limpieza!$C35="SI",Limpieza!$B$27,"")</f>
        <v/>
      </c>
      <c r="C1756" s="44" t="str">
        <f>IF(Limpieza!$C35="SI",Limpieza!$B35,"")</f>
        <v/>
      </c>
      <c r="D1756" s="44" t="str">
        <f>IF(Limpieza!$C35="SI",Limpieza!$F35,"")</f>
        <v/>
      </c>
      <c r="E1756" s="27" t="s">
        <v>6</v>
      </c>
    </row>
    <row r="1757" spans="2:5" s="45" customFormat="1" x14ac:dyDescent="0.2">
      <c r="B1757" s="44" t="str">
        <f>IF(Limpieza!$C39="SI",Limpieza!$B$38,"")</f>
        <v/>
      </c>
      <c r="C1757" s="44" t="str">
        <f>IF(Limpieza!$C39="SI",Limpieza!$B39,"")</f>
        <v/>
      </c>
      <c r="D1757" s="44" t="str">
        <f>IF(Limpieza!$C39="SI",Limpieza!$F39,"")</f>
        <v/>
      </c>
      <c r="E1757" s="27" t="s">
        <v>6</v>
      </c>
    </row>
    <row r="1758" spans="2:5" x14ac:dyDescent="0.2">
      <c r="B1758" s="28" t="str">
        <f>IF(Limpieza!$C40="SI",Limpieza!$B$38,"")</f>
        <v>CASA</v>
      </c>
      <c r="C1758" s="44" t="str">
        <f>IF(Limpieza!$C40="SI",Limpieza!$B40,"")</f>
        <v>Mantenimiento</v>
      </c>
      <c r="D1758" s="44">
        <f>IF(Limpieza!$C40="SI",Limpieza!$F40,"")</f>
        <v>0</v>
      </c>
      <c r="E1758" s="27" t="s">
        <v>6</v>
      </c>
    </row>
    <row r="1759" spans="2:5" x14ac:dyDescent="0.2">
      <c r="B1759" s="28" t="str">
        <f>IF(Limpieza!$C41="SI",Limpieza!$B$38,"")</f>
        <v/>
      </c>
      <c r="C1759" s="44" t="str">
        <f>IF(Limpieza!$C41="SI",Limpieza!$B41,"")</f>
        <v/>
      </c>
      <c r="D1759" s="44" t="str">
        <f>IF(Limpieza!$C41="SI",Limpieza!$F41,"")</f>
        <v/>
      </c>
      <c r="E1759" s="27" t="s">
        <v>6</v>
      </c>
    </row>
    <row r="1760" spans="2:5" x14ac:dyDescent="0.2">
      <c r="B1760" s="44" t="str">
        <f>IF(Limpieza!$C42="SI",Limpieza!$B$38,"")</f>
        <v>CASA</v>
      </c>
      <c r="C1760" s="44" t="str">
        <f>IF(Limpieza!$C42="SI",Limpieza!$B42,"")</f>
        <v>Impuestos</v>
      </c>
      <c r="D1760" s="44">
        <f>IF(Limpieza!$C42="SI",Limpieza!$F42,"")</f>
        <v>0</v>
      </c>
      <c r="E1760" s="27" t="s">
        <v>6</v>
      </c>
    </row>
    <row r="1761" spans="2:5" x14ac:dyDescent="0.2">
      <c r="B1761" s="27" t="str">
        <f>IF(Limpieza!$C43="SI",Limpieza!$B$38,"")</f>
        <v/>
      </c>
      <c r="C1761" s="44" t="str">
        <f>IF(Limpieza!$C43="SI",Limpieza!$B43,"")</f>
        <v/>
      </c>
      <c r="D1761" s="44" t="str">
        <f>IF(Limpieza!$C43="SI",Limpieza!$F43,"")</f>
        <v/>
      </c>
      <c r="E1761" s="27" t="s">
        <v>6</v>
      </c>
    </row>
    <row r="1762" spans="2:5" x14ac:dyDescent="0.2">
      <c r="B1762" s="27" t="str">
        <f>IF(Limpieza!$C44="SI",Limpieza!$B$38,"")</f>
        <v/>
      </c>
      <c r="C1762" s="44" t="str">
        <f>IF(Limpieza!$C44="SI",Limpieza!$B44,"")</f>
        <v/>
      </c>
      <c r="D1762" s="44" t="str">
        <f>IF(Limpieza!$C44="SI",Limpieza!$F44,"")</f>
        <v/>
      </c>
      <c r="E1762" s="27" t="s">
        <v>6</v>
      </c>
    </row>
    <row r="1763" spans="2:5" x14ac:dyDescent="0.2">
      <c r="B1763" s="27" t="str">
        <f>IF(Limpieza!$C45="SI",Limpieza!$B$38,"")</f>
        <v/>
      </c>
      <c r="C1763" s="44" t="str">
        <f>IF(Limpieza!$C45="SI",Limpieza!$B45,"")</f>
        <v/>
      </c>
      <c r="D1763" s="44" t="str">
        <f>IF(Limpieza!$C45="SI",Limpieza!$F45,"")</f>
        <v/>
      </c>
      <c r="E1763" s="27" t="s">
        <v>6</v>
      </c>
    </row>
    <row r="1764" spans="2:5" s="45" customFormat="1" x14ac:dyDescent="0.2">
      <c r="B1764" s="45" t="str">
        <f>IF(Limpieza!$C49="SI",Limpieza!$B$48,"")</f>
        <v/>
      </c>
      <c r="C1764" s="45" t="str">
        <f>IF(Limpieza!$C49="SI",Limpieza!$B49,"")</f>
        <v/>
      </c>
      <c r="D1764" s="45" t="str">
        <f>IF(Limpieza!$C49="SI",Limpieza!$F49,"")</f>
        <v/>
      </c>
      <c r="E1764" s="27" t="s">
        <v>6</v>
      </c>
    </row>
    <row r="1765" spans="2:5" x14ac:dyDescent="0.2">
      <c r="B1765" s="27" t="str">
        <f>IF(Limpieza!$C50="SI",Limpieza!$B$48,"")</f>
        <v/>
      </c>
      <c r="C1765" s="45" t="str">
        <f>IF(Limpieza!$C50="SI",Limpieza!$B50,"")</f>
        <v/>
      </c>
      <c r="D1765" s="45" t="str">
        <f>IF(Limpieza!$C50="SI",Limpieza!$F50,"")</f>
        <v/>
      </c>
      <c r="E1765" s="27" t="s">
        <v>6</v>
      </c>
    </row>
    <row r="1766" spans="2:5" x14ac:dyDescent="0.2">
      <c r="B1766" s="27" t="str">
        <f>IF(Limpieza!$C51="SI",Limpieza!$B$48,"")</f>
        <v/>
      </c>
      <c r="C1766" s="45" t="str">
        <f>IF(Limpieza!$C51="SI",Limpieza!$B51,"")</f>
        <v/>
      </c>
      <c r="D1766" s="45" t="str">
        <f>IF(Limpieza!$C51="SI",Limpieza!$F51,"")</f>
        <v/>
      </c>
      <c r="E1766" s="27" t="s">
        <v>6</v>
      </c>
    </row>
    <row r="1767" spans="2:5" x14ac:dyDescent="0.2">
      <c r="B1767" s="27" t="str">
        <f>IF(Limpieza!$C52="SI",Limpieza!$B$48,"")</f>
        <v/>
      </c>
      <c r="C1767" s="45" t="str">
        <f>IF(Limpieza!$C52="SI",Limpieza!$B52,"")</f>
        <v/>
      </c>
      <c r="D1767" s="45" t="str">
        <f>IF(Limpieza!$C52="SI",Limpieza!$F52,"")</f>
        <v/>
      </c>
      <c r="E1767" s="27" t="s">
        <v>6</v>
      </c>
    </row>
    <row r="1768" spans="2:5" x14ac:dyDescent="0.2">
      <c r="B1768" s="27" t="str">
        <f>IF(Limpieza!$C53="SI",Limpieza!$B$48,"")</f>
        <v/>
      </c>
      <c r="C1768" s="45" t="str">
        <f>IF(Limpieza!$C53="SI",Limpieza!$B53,"")</f>
        <v/>
      </c>
      <c r="D1768" s="45" t="str">
        <f>IF(Limpieza!$C53="SI",Limpieza!$F53,"")</f>
        <v/>
      </c>
      <c r="E1768" s="27" t="s">
        <v>6</v>
      </c>
    </row>
    <row r="1769" spans="2:5" x14ac:dyDescent="0.2">
      <c r="B1769" s="27" t="str">
        <f>IF(Limpieza!$C54="SI",Limpieza!$B$48,"")</f>
        <v/>
      </c>
      <c r="C1769" s="45" t="str">
        <f>IF(Limpieza!$C54="SI",Limpieza!$B54,"")</f>
        <v/>
      </c>
      <c r="D1769" s="45" t="str">
        <f>IF(Limpieza!$C54="SI",Limpieza!$F54,"")</f>
        <v/>
      </c>
      <c r="E1769" s="27" t="s">
        <v>6</v>
      </c>
    </row>
    <row r="1770" spans="2:5" s="45" customFormat="1" x14ac:dyDescent="0.2">
      <c r="B1770" s="45" t="str">
        <f>IF(Limpieza!$C58="SI",Limpieza!$B$57,"")</f>
        <v>SALUD</v>
      </c>
      <c r="C1770" s="45" t="str">
        <f>IF(Limpieza!$C58="SI",Limpieza!$B58,"")</f>
        <v>Medicinas</v>
      </c>
      <c r="D1770" s="45">
        <f>IF(Limpieza!$C58="SI",Limpieza!$F58,"")</f>
        <v>0</v>
      </c>
      <c r="E1770" s="27" t="s">
        <v>6</v>
      </c>
    </row>
    <row r="1771" spans="2:5" x14ac:dyDescent="0.2">
      <c r="B1771" s="27" t="str">
        <f>IF(Limpieza!$C59="SI",Limpieza!$B$57,"")</f>
        <v>SALUD</v>
      </c>
      <c r="C1771" s="45" t="str">
        <f>IF(Limpieza!$C59="SI",Limpieza!$B59,"")</f>
        <v>Dentista</v>
      </c>
      <c r="D1771" s="45">
        <f>IF(Limpieza!$C59="SI",Limpieza!$F59,"")</f>
        <v>0</v>
      </c>
      <c r="E1771" s="27" t="s">
        <v>6</v>
      </c>
    </row>
    <row r="1772" spans="2:5" x14ac:dyDescent="0.2">
      <c r="B1772" s="27" t="str">
        <f>IF(Limpieza!$C60="SI",Limpieza!$B$57,"")</f>
        <v>SALUD</v>
      </c>
      <c r="C1772" s="45" t="str">
        <f>IF(Limpieza!$C60="SI",Limpieza!$B60,"")</f>
        <v>Tratamientos</v>
      </c>
      <c r="D1772" s="45">
        <f>IF(Limpieza!$C60="SI",Limpieza!$F60,"")</f>
        <v>0</v>
      </c>
      <c r="E1772" s="27" t="s">
        <v>6</v>
      </c>
    </row>
    <row r="1773" spans="2:5" x14ac:dyDescent="0.2">
      <c r="B1773" s="27" t="str">
        <f>IF(Limpieza!$C61="SI",Limpieza!$B$57,"")</f>
        <v/>
      </c>
      <c r="C1773" s="45" t="str">
        <f>IF(Limpieza!$C61="SI",Limpieza!$B61,"")</f>
        <v/>
      </c>
      <c r="D1773" s="45" t="str">
        <f>IF(Limpieza!$C61="SI",Limpieza!$F61,"")</f>
        <v/>
      </c>
      <c r="E1773" s="27" t="s">
        <v>6</v>
      </c>
    </row>
    <row r="1774" spans="2:5" x14ac:dyDescent="0.2">
      <c r="B1774" s="27" t="str">
        <f>IF(Limpieza!$C62="SI",Limpieza!$B$57,"")</f>
        <v/>
      </c>
      <c r="C1774" s="45" t="str">
        <f>IF(Limpieza!$C62="SI",Limpieza!$B62,"")</f>
        <v/>
      </c>
      <c r="D1774" s="45" t="str">
        <f>IF(Limpieza!$C62="SI",Limpieza!$F62,"")</f>
        <v/>
      </c>
      <c r="E1774" s="27" t="s">
        <v>6</v>
      </c>
    </row>
    <row r="1775" spans="2:5" x14ac:dyDescent="0.2">
      <c r="B1775" s="27" t="str">
        <f>IF(Limpieza!$C63="SI",Limpieza!$B$57,"")</f>
        <v/>
      </c>
      <c r="C1775" s="45" t="str">
        <f>IF(Limpieza!$C63="SI",Limpieza!$B63,"")</f>
        <v/>
      </c>
      <c r="D1775" s="45" t="str">
        <f>IF(Limpieza!$C63="SI",Limpieza!$F63,"")</f>
        <v/>
      </c>
      <c r="E1775" s="27" t="s">
        <v>6</v>
      </c>
    </row>
    <row r="1776" spans="2:5" x14ac:dyDescent="0.2">
      <c r="B1776" s="27" t="str">
        <f>IF(Limpieza!$C64="SI",Limpieza!$B$57,"")</f>
        <v/>
      </c>
      <c r="C1776" s="45" t="str">
        <f>IF(Limpieza!$C64="SI",Limpieza!$B64,"")</f>
        <v/>
      </c>
      <c r="D1776" s="45" t="str">
        <f>IF(Limpieza!$C64="SI",Limpieza!$F64,"")</f>
        <v/>
      </c>
      <c r="E1776" s="27" t="s">
        <v>6</v>
      </c>
    </row>
    <row r="1777" spans="2:5" s="45" customFormat="1" x14ac:dyDescent="0.2">
      <c r="B1777" s="45" t="str">
        <f>IF(Limpieza!$C68="SI",Limpieza!$B$67,"")</f>
        <v>ENTRETENIMIENTO</v>
      </c>
      <c r="C1777" s="45" t="str">
        <f>IF(Limpieza!$C68="SI",Limpieza!$B68,"")</f>
        <v>Vacaciones</v>
      </c>
      <c r="D1777" s="45">
        <f>IF(Limpieza!$C68="SI",Limpieza!$F68,"")</f>
        <v>0</v>
      </c>
      <c r="E1777" s="27" t="s">
        <v>6</v>
      </c>
    </row>
    <row r="1778" spans="2:5" x14ac:dyDescent="0.2">
      <c r="B1778" s="27" t="str">
        <f>IF(Limpieza!$C69="SI",Limpieza!$B$67,"")</f>
        <v/>
      </c>
      <c r="C1778" s="45" t="str">
        <f>IF(Limpieza!$C69="SI",Limpieza!$B69,"")</f>
        <v/>
      </c>
      <c r="D1778" s="45" t="str">
        <f>IF(Limpieza!$C69="SI",Limpieza!$F69,"")</f>
        <v/>
      </c>
      <c r="E1778" s="27" t="s">
        <v>6</v>
      </c>
    </row>
    <row r="1779" spans="2:5" x14ac:dyDescent="0.2">
      <c r="B1779" s="27" t="str">
        <f>IF(Limpieza!$C70="SI",Limpieza!$B$67,"")</f>
        <v/>
      </c>
      <c r="C1779" s="45" t="str">
        <f>IF(Limpieza!$C70="SI",Limpieza!$B70,"")</f>
        <v/>
      </c>
      <c r="D1779" s="45" t="str">
        <f>IF(Limpieza!$C70="SI",Limpieza!$F70,"")</f>
        <v/>
      </c>
      <c r="E1779" s="27" t="s">
        <v>6</v>
      </c>
    </row>
    <row r="1780" spans="2:5" x14ac:dyDescent="0.2">
      <c r="B1780" s="27" t="str">
        <f>IF(Limpieza!$C71="SI",Limpieza!$B$67,"")</f>
        <v/>
      </c>
      <c r="C1780" s="45" t="str">
        <f>IF(Limpieza!$C71="SI",Limpieza!$B71,"")</f>
        <v/>
      </c>
      <c r="D1780" s="45" t="str">
        <f>IF(Limpieza!$C71="SI",Limpieza!$F71,"")</f>
        <v/>
      </c>
      <c r="E1780" s="27" t="s">
        <v>6</v>
      </c>
    </row>
    <row r="1781" spans="2:5" x14ac:dyDescent="0.2">
      <c r="B1781" s="27" t="str">
        <f>IF(Limpieza!$C72="SI",Limpieza!$B$67,"")</f>
        <v/>
      </c>
      <c r="C1781" s="45" t="str">
        <f>IF(Limpieza!$C72="SI",Limpieza!$B72,"")</f>
        <v/>
      </c>
      <c r="D1781" s="45" t="str">
        <f>IF(Limpieza!$C72="SI",Limpieza!$F72,"")</f>
        <v/>
      </c>
      <c r="E1781" s="27" t="s">
        <v>6</v>
      </c>
    </row>
    <row r="1782" spans="2:5" x14ac:dyDescent="0.2">
      <c r="B1782" s="27" t="str">
        <f>IF(Limpieza!$C73="SI",Limpieza!$B$67,"")</f>
        <v/>
      </c>
      <c r="C1782" s="45" t="str">
        <f>IF(Limpieza!$C73="SI",Limpieza!$B73,"")</f>
        <v/>
      </c>
      <c r="D1782" s="45" t="str">
        <f>IF(Limpieza!$C73="SI",Limpieza!$F73,"")</f>
        <v/>
      </c>
      <c r="E1782" s="27" t="s">
        <v>6</v>
      </c>
    </row>
    <row r="1783" spans="2:5" x14ac:dyDescent="0.2">
      <c r="B1783" s="27" t="str">
        <f>IF(Limpieza!$C74="SI",Limpieza!$B$67,"")</f>
        <v/>
      </c>
      <c r="C1783" s="45" t="str">
        <f>IF(Limpieza!$C74="SI",Limpieza!$B74,"")</f>
        <v/>
      </c>
      <c r="D1783" s="45" t="str">
        <f>IF(Limpieza!$C74="SI",Limpieza!$F74,"")</f>
        <v/>
      </c>
      <c r="E1783" s="27" t="s">
        <v>6</v>
      </c>
    </row>
    <row r="1784" spans="2:5" x14ac:dyDescent="0.2">
      <c r="B1784" s="27" t="str">
        <f>IF(Limpieza!$C75="SI",Limpieza!$B$67,"")</f>
        <v/>
      </c>
      <c r="C1784" s="45" t="str">
        <f>IF(Limpieza!$C75="SI",Limpieza!$B75,"")</f>
        <v/>
      </c>
      <c r="D1784" s="45" t="str">
        <f>IF(Limpieza!$C75="SI",Limpieza!$F75,"")</f>
        <v/>
      </c>
      <c r="E1784" s="27" t="s">
        <v>6</v>
      </c>
    </row>
    <row r="1785" spans="2:5" x14ac:dyDescent="0.2">
      <c r="B1785" s="27" t="str">
        <f>IF(Limpieza!$C76="SI",Limpieza!$B$67,"")</f>
        <v/>
      </c>
      <c r="C1785" s="45" t="str">
        <f>IF(Limpieza!$C76="SI",Limpieza!$B76,"")</f>
        <v/>
      </c>
      <c r="D1785" s="45" t="str">
        <f>IF(Limpieza!$C76="SI",Limpieza!$F76,"")</f>
        <v/>
      </c>
      <c r="E1785" s="27" t="s">
        <v>6</v>
      </c>
    </row>
    <row r="1786" spans="2:5" x14ac:dyDescent="0.2">
      <c r="B1786" s="27" t="str">
        <f>IF(Limpieza!$C77="SI",Limpieza!$B$67,"")</f>
        <v/>
      </c>
      <c r="C1786" s="45" t="str">
        <f>IF(Limpieza!$C77="SI",Limpieza!$B77,"")</f>
        <v/>
      </c>
      <c r="D1786" s="45" t="str">
        <f>IF(Limpieza!$C77="SI",Limpieza!$F77,"")</f>
        <v/>
      </c>
      <c r="E1786" s="27" t="s">
        <v>6</v>
      </c>
    </row>
    <row r="1787" spans="2:5" x14ac:dyDescent="0.2">
      <c r="B1787" s="27" t="str">
        <f>IF(Limpieza!$C78="SI",Limpieza!$B$67,"")</f>
        <v/>
      </c>
      <c r="C1787" s="45" t="str">
        <f>IF(Limpieza!$C78="SI",Limpieza!$B78,"")</f>
        <v/>
      </c>
      <c r="D1787" s="45" t="str">
        <f>IF(Limpieza!$C78="SI",Limpieza!$F78,"")</f>
        <v/>
      </c>
      <c r="E1787" s="27" t="s">
        <v>6</v>
      </c>
    </row>
    <row r="1788" spans="2:5" s="45" customFormat="1" x14ac:dyDescent="0.2">
      <c r="B1788" s="45" t="str">
        <f>IF(Limpieza!$C82="SI",Limpieza!$B$81,"")</f>
        <v/>
      </c>
      <c r="C1788" s="45" t="str">
        <f>IF(Limpieza!$C82="SI",Limpieza!$B82,"")</f>
        <v/>
      </c>
      <c r="D1788" s="45" t="str">
        <f>IF(Limpieza!$C82="SI",Limpieza!$F82,"")</f>
        <v/>
      </c>
      <c r="E1788" s="27" t="s">
        <v>6</v>
      </c>
    </row>
    <row r="1789" spans="2:5" x14ac:dyDescent="0.2">
      <c r="B1789" s="27" t="str">
        <f>IF(Limpieza!$C83="SI",Limpieza!$B$81,"")</f>
        <v>MASCOTA</v>
      </c>
      <c r="C1789" s="45" t="str">
        <f>IF(Limpieza!$C83="SI",Limpieza!$B83,"")</f>
        <v>Veterinario</v>
      </c>
      <c r="D1789" s="45">
        <f>IF(Limpieza!$C83="SI",Limpieza!$F83,"")</f>
        <v>0</v>
      </c>
      <c r="E1789" s="27" t="s">
        <v>6</v>
      </c>
    </row>
    <row r="1790" spans="2:5" x14ac:dyDescent="0.2">
      <c r="B1790" s="27" t="str">
        <f>IF(Limpieza!$C84="SI",Limpieza!$B$81,"")</f>
        <v/>
      </c>
      <c r="C1790" s="45" t="str">
        <f>IF(Limpieza!$C84="SI",Limpieza!$B84,"")</f>
        <v/>
      </c>
      <c r="D1790" s="45" t="str">
        <f>IF(Limpieza!$C84="SI",Limpieza!$F84,"")</f>
        <v/>
      </c>
      <c r="E1790" s="27" t="s">
        <v>6</v>
      </c>
    </row>
    <row r="1791" spans="2:5" x14ac:dyDescent="0.2">
      <c r="B1791" s="27" t="str">
        <f>IF(Limpieza!$C85="SI",Limpieza!$B$81,"")</f>
        <v>MASCOTA</v>
      </c>
      <c r="C1791" s="45" t="str">
        <f>IF(Limpieza!$C85="SI",Limpieza!$B85,"")</f>
        <v>Medicinas</v>
      </c>
      <c r="D1791" s="45">
        <f>IF(Limpieza!$C85="SI",Limpieza!$F85,"")</f>
        <v>0</v>
      </c>
      <c r="E1791" s="27" t="s">
        <v>6</v>
      </c>
    </row>
    <row r="1792" spans="2:5" x14ac:dyDescent="0.2">
      <c r="B1792" s="27" t="str">
        <f>IF(Limpieza!$C86="SI",Limpieza!$B$81,"")</f>
        <v/>
      </c>
      <c r="C1792" s="45" t="str">
        <f>IF(Limpieza!$C86="SI",Limpieza!$B86,"")</f>
        <v/>
      </c>
      <c r="D1792" s="45" t="str">
        <f>IF(Limpieza!$C86="SI",Limpieza!$F86,"")</f>
        <v/>
      </c>
      <c r="E1792" s="27" t="s">
        <v>6</v>
      </c>
    </row>
    <row r="1793" spans="2:5" x14ac:dyDescent="0.2">
      <c r="B1793" s="27" t="str">
        <f>IF(Limpieza!$C87="SI",Limpieza!$B$81,"")</f>
        <v/>
      </c>
      <c r="C1793" s="45" t="str">
        <f>IF(Limpieza!$C87="SI",Limpieza!$B87,"")</f>
        <v/>
      </c>
      <c r="D1793" s="45" t="str">
        <f>IF(Limpieza!$C87="SI",Limpieza!$F87,"")</f>
        <v/>
      </c>
      <c r="E1793" s="27" t="s">
        <v>6</v>
      </c>
    </row>
    <row r="1794" spans="2:5" s="45" customFormat="1" x14ac:dyDescent="0.2">
      <c r="B1794" s="45" t="str">
        <f>IF(Limpieza!$C91="SI",Limpieza!$B$90,"")</f>
        <v/>
      </c>
      <c r="C1794" s="45" t="str">
        <f>IF(Limpieza!$C91="SI",Limpieza!$B91,"")</f>
        <v/>
      </c>
      <c r="D1794" s="45" t="str">
        <f>IF(Limpieza!$C91="SI",Limpieza!$F91,"")</f>
        <v/>
      </c>
      <c r="E1794" s="27" t="s">
        <v>6</v>
      </c>
    </row>
    <row r="1795" spans="2:5" x14ac:dyDescent="0.2">
      <c r="B1795" s="45" t="str">
        <f>IF(Limpieza!$C92="SI",Limpieza!$B$90,"")</f>
        <v/>
      </c>
      <c r="C1795" s="45" t="str">
        <f>IF(Limpieza!$C92="SI",Limpieza!$B92,"")</f>
        <v/>
      </c>
      <c r="D1795" s="45" t="str">
        <f>IF(Limpieza!$C92="SI",Limpieza!$F92,"")</f>
        <v/>
      </c>
      <c r="E1795" s="27" t="s">
        <v>6</v>
      </c>
    </row>
    <row r="1796" spans="2:5" x14ac:dyDescent="0.2">
      <c r="B1796" s="45" t="str">
        <f>IF(Limpieza!$C93="SI",Limpieza!$B$90,"")</f>
        <v/>
      </c>
      <c r="C1796" s="45" t="str">
        <f>IF(Limpieza!$C93="SI",Limpieza!$B93,"")</f>
        <v/>
      </c>
      <c r="D1796" s="45" t="str">
        <f>IF(Limpieza!$C93="SI",Limpieza!$F93,"")</f>
        <v/>
      </c>
      <c r="E1796" s="27" t="s">
        <v>6</v>
      </c>
    </row>
    <row r="1797" spans="2:5" x14ac:dyDescent="0.2">
      <c r="B1797" s="45" t="str">
        <f>IF(Limpieza!$C94="SI",Limpieza!$B$90,"")</f>
        <v/>
      </c>
      <c r="C1797" s="45" t="str">
        <f>IF(Limpieza!$C94="SI",Limpieza!$B94,"")</f>
        <v/>
      </c>
      <c r="D1797" s="45" t="str">
        <f>IF(Limpieza!$C94="SI",Limpieza!$F94,"")</f>
        <v/>
      </c>
      <c r="E1797" s="27" t="s">
        <v>6</v>
      </c>
    </row>
    <row r="1798" spans="2:5" x14ac:dyDescent="0.2">
      <c r="B1798" s="45" t="str">
        <f>IF(Limpieza!$C95="SI",Limpieza!$B$90,"")</f>
        <v/>
      </c>
      <c r="C1798" s="45" t="str">
        <f>IF(Limpieza!$C95="SI",Limpieza!$B95,"")</f>
        <v/>
      </c>
      <c r="D1798" s="45" t="str">
        <f>IF(Limpieza!$C95="SI",Limpieza!$F95,"")</f>
        <v/>
      </c>
      <c r="E1798" s="27" t="s">
        <v>6</v>
      </c>
    </row>
    <row r="1799" spans="2:5" x14ac:dyDescent="0.2">
      <c r="B1799" s="45" t="str">
        <f>IF(Limpieza!$C96="SI",Limpieza!$B$90,"")</f>
        <v/>
      </c>
      <c r="C1799" s="45" t="str">
        <f>IF(Limpieza!$C96="SI",Limpieza!$B96,"")</f>
        <v/>
      </c>
      <c r="D1799" s="45" t="str">
        <f>IF(Limpieza!$C96="SI",Limpieza!$F96,"")</f>
        <v/>
      </c>
      <c r="E1799" s="27" t="s">
        <v>6</v>
      </c>
    </row>
    <row r="1800" spans="2:5" s="45" customFormat="1" x14ac:dyDescent="0.2">
      <c r="B1800" s="45" t="str">
        <f>IF(Limpieza!$C97="SI",Limpieza!$B$90,"")</f>
        <v/>
      </c>
      <c r="C1800" s="45" t="str">
        <f>IF(Limpieza!$C97="SI",Limpieza!$B97,"")</f>
        <v/>
      </c>
      <c r="D1800" s="45" t="str">
        <f>IF(Limpieza!$C97="SI",Limpieza!$F97,"")</f>
        <v/>
      </c>
      <c r="E1800" s="27" t="s">
        <v>6</v>
      </c>
    </row>
    <row r="1801" spans="2:5" x14ac:dyDescent="0.2">
      <c r="B1801" s="27" t="str">
        <f>IF(Limpieza!$C101="SI",Limpieza!$B$100,"")</f>
        <v/>
      </c>
      <c r="C1801" s="45" t="str">
        <f>IF(Limpieza!$C101="SI",Limpieza!$B101,"")</f>
        <v/>
      </c>
      <c r="D1801" s="45" t="str">
        <f>IF(Limpieza!$C101="SI",Limpieza!$F101,"")</f>
        <v/>
      </c>
      <c r="E1801" s="27" t="s">
        <v>6</v>
      </c>
    </row>
    <row r="1802" spans="2:5" x14ac:dyDescent="0.2">
      <c r="B1802" s="27" t="str">
        <f>IF(Limpieza!$C102="SI",Limpieza!$B$100,"")</f>
        <v/>
      </c>
      <c r="C1802" s="45" t="str">
        <f>IF(Limpieza!$C102="SI",Limpieza!$B102,"")</f>
        <v/>
      </c>
      <c r="D1802" s="45" t="str">
        <f>IF(Limpieza!$C102="SI",Limpieza!$F102,"")</f>
        <v/>
      </c>
      <c r="E1802" s="27" t="s">
        <v>6</v>
      </c>
    </row>
    <row r="1803" spans="2:5" x14ac:dyDescent="0.2">
      <c r="B1803" s="27" t="str">
        <f>IF(Limpieza!$C103="SI",Limpieza!$B$100,"")</f>
        <v/>
      </c>
      <c r="C1803" s="45" t="str">
        <f>IF(Limpieza!$C103="SI",Limpieza!$B103,"")</f>
        <v/>
      </c>
      <c r="D1803" s="45" t="str">
        <f>IF(Limpieza!$C103="SI",Limpieza!$F103,"")</f>
        <v/>
      </c>
      <c r="E1803" s="27" t="s">
        <v>6</v>
      </c>
    </row>
    <row r="1804" spans="2:5" x14ac:dyDescent="0.2">
      <c r="B1804" s="27" t="str">
        <f>IF(Limpieza!$C104="SI",Limpieza!$B$100,"")</f>
        <v/>
      </c>
      <c r="C1804" s="45" t="str">
        <f>IF(Limpieza!$C104="SI",Limpieza!$B104,"")</f>
        <v/>
      </c>
      <c r="D1804" s="45" t="str">
        <f>IF(Limpieza!$C104="SI",Limpieza!$F104,"")</f>
        <v/>
      </c>
      <c r="E1804" s="27" t="s">
        <v>6</v>
      </c>
    </row>
    <row r="1805" spans="2:5" x14ac:dyDescent="0.2">
      <c r="B1805" s="27" t="str">
        <f>IF(Limpieza!$C105="SI",Limpieza!$B$100,"")</f>
        <v/>
      </c>
      <c r="C1805" s="45" t="str">
        <f>IF(Limpieza!$C105="SI",Limpieza!$B105,"")</f>
        <v/>
      </c>
      <c r="D1805" s="45" t="str">
        <f>IF(Limpieza!$C105="SI",Limpieza!$F105,"")</f>
        <v/>
      </c>
      <c r="E1805" s="27" t="s">
        <v>6</v>
      </c>
    </row>
    <row r="1806" spans="2:5" x14ac:dyDescent="0.2">
      <c r="B1806" s="27" t="str">
        <f>IF(Limpieza!$C106="SI",Limpieza!$B$100,"")</f>
        <v/>
      </c>
      <c r="C1806" s="45" t="str">
        <f>IF(Limpieza!$C106="SI",Limpieza!$B106,"")</f>
        <v/>
      </c>
      <c r="D1806" s="45" t="str">
        <f>IF(Limpieza!$C106="SI",Limpieza!$F106,"")</f>
        <v/>
      </c>
      <c r="E1806" s="27" t="s">
        <v>6</v>
      </c>
    </row>
    <row r="1807" spans="2:5" x14ac:dyDescent="0.2">
      <c r="B1807" s="27" t="str">
        <f>IF(Limpieza!$C107="SI",Limpieza!$B$100,"")</f>
        <v/>
      </c>
      <c r="C1807" s="45" t="str">
        <f>IF(Limpieza!$C107="SI",Limpieza!$B107,"")</f>
        <v/>
      </c>
      <c r="D1807" s="45" t="str">
        <f>IF(Limpieza!$C107="SI",Limpieza!$F107,"")</f>
        <v/>
      </c>
      <c r="E1807" s="27" t="s">
        <v>6</v>
      </c>
    </row>
    <row r="1808" spans="2:5" x14ac:dyDescent="0.2">
      <c r="B1808" s="46"/>
      <c r="C1808" s="45"/>
      <c r="D1808" s="45"/>
      <c r="E1808" s="27" t="s">
        <v>6</v>
      </c>
    </row>
    <row r="1809" spans="2:5" x14ac:dyDescent="0.2">
      <c r="B1809" s="27" t="str">
        <f>IF(Limpieza!$I13="SI",Limpieza!$H$12,"")</f>
        <v>AHORROS</v>
      </c>
      <c r="C1809" s="45" t="str">
        <f>IF(Limpieza!$I13="SI",Limpieza!$H13,"")</f>
        <v xml:space="preserve">Efectivo </v>
      </c>
      <c r="D1809" s="45">
        <f>IF(Limpieza!$I13="SI",Limpieza!$L13,"")</f>
        <v>250000</v>
      </c>
      <c r="E1809" s="27" t="s">
        <v>6</v>
      </c>
    </row>
    <row r="1810" spans="2:5" x14ac:dyDescent="0.2">
      <c r="B1810" s="27" t="str">
        <f>IF(Limpieza!$I14="SI",Limpieza!$H$12,"")</f>
        <v>AHORROS</v>
      </c>
      <c r="C1810" s="45" t="str">
        <f>IF(Limpieza!$I14="SI",Limpieza!$H14,"")</f>
        <v>Cuenta Bancol</v>
      </c>
      <c r="D1810" s="45">
        <f>IF(Limpieza!$I14="SI",Limpieza!$L14,"")</f>
        <v>5019665</v>
      </c>
      <c r="E1810" s="27" t="s">
        <v>6</v>
      </c>
    </row>
    <row r="1811" spans="2:5" x14ac:dyDescent="0.2">
      <c r="B1811" s="27" t="str">
        <f>IF(Limpieza!$I15="SI",Limpieza!$H$12,"")</f>
        <v>AHORROS</v>
      </c>
      <c r="C1811" s="45" t="str">
        <f>IF(Limpieza!$I15="SI",Limpieza!$H15,"")</f>
        <v>pension voluntaria ahorro casa</v>
      </c>
      <c r="D1811" s="45">
        <f>IF(Limpieza!$I15="SI",Limpieza!$L15,"")</f>
        <v>102536491</v>
      </c>
      <c r="E1811" s="27" t="s">
        <v>6</v>
      </c>
    </row>
    <row r="1812" spans="2:5" x14ac:dyDescent="0.2">
      <c r="B1812" s="27" t="str">
        <f>IF(Limpieza!$I16="SI",Limpieza!$H$12,"")</f>
        <v>AHORROS</v>
      </c>
      <c r="C1812" s="45" t="str">
        <f>IF(Limpieza!$I16="SI",Limpieza!$H16,"")</f>
        <v>Investor trust 1200</v>
      </c>
      <c r="D1812" s="45">
        <f>IF(Limpieza!$I16="SI",Limpieza!$L16,"")</f>
        <v>18691750</v>
      </c>
      <c r="E1812" s="27" t="s">
        <v>6</v>
      </c>
    </row>
    <row r="1813" spans="2:5" x14ac:dyDescent="0.2">
      <c r="B1813" s="27" t="str">
        <f>IF(Limpieza!$I17="SI",Limpieza!$H$12,"")</f>
        <v>AHORROS</v>
      </c>
      <c r="C1813" s="45" t="str">
        <f>IF(Limpieza!$I17="SI",Limpieza!$H17,"")</f>
        <v>Investor trust 2400</v>
      </c>
      <c r="D1813" s="45">
        <f>IF(Limpieza!$I17="SI",Limpieza!$L17,"")</f>
        <v>39578000</v>
      </c>
      <c r="E1813" s="27" t="s">
        <v>6</v>
      </c>
    </row>
    <row r="1814" spans="2:5" x14ac:dyDescent="0.2">
      <c r="B1814" s="27" t="str">
        <f>IF(Limpieza!$I18="SI",Limpieza!$H$12,"")</f>
        <v>AHORROS</v>
      </c>
      <c r="C1814" s="45" t="str">
        <f>IF(Limpieza!$I18="SI",Limpieza!$H18,"")</f>
        <v>poliza pensiones skandia</v>
      </c>
      <c r="D1814" s="45">
        <f>IF(Limpieza!$I18="SI",Limpieza!$L18,"")</f>
        <v>12204069</v>
      </c>
      <c r="E1814" s="27" t="s">
        <v>6</v>
      </c>
    </row>
    <row r="1815" spans="2:5" x14ac:dyDescent="0.2">
      <c r="B1815" s="27" t="str">
        <f>IF(Limpieza!$I19="SI",Limpieza!$H$12,"")</f>
        <v>AHORROS</v>
      </c>
      <c r="C1815" s="45" t="str">
        <f>IF(Limpieza!$I19="SI",Limpieza!$H19,"")</f>
        <v>Fondo de emergencia lulo</v>
      </c>
      <c r="D1815" s="45">
        <f>IF(Limpieza!$I19="SI",Limpieza!$L19,"")</f>
        <v>585890</v>
      </c>
      <c r="E1815" s="27" t="s">
        <v>6</v>
      </c>
    </row>
    <row r="1816" spans="2:5" x14ac:dyDescent="0.2">
      <c r="B1816" s="27" t="str">
        <f>IF(Limpieza!$I20="SI",Limpieza!$H$12,"")</f>
        <v>AHORROS</v>
      </c>
      <c r="C1816" s="45" t="str">
        <f>IF(Limpieza!$I20="SI",Limpieza!$H20,"")</f>
        <v>Littio</v>
      </c>
      <c r="D1816" s="45">
        <f>IF(Limpieza!$I20="SI",Limpieza!$L20,"")</f>
        <v>217910</v>
      </c>
      <c r="E1816" s="27" t="s">
        <v>6</v>
      </c>
    </row>
    <row r="1817" spans="2:5" x14ac:dyDescent="0.2">
      <c r="B1817" s="27" t="str">
        <f>IF(Limpieza!$I21="SI",Limpieza!$H$12,"")</f>
        <v>AHORROS</v>
      </c>
      <c r="C1817" s="45" t="str">
        <f>IF(Limpieza!$I21="SI",Limpieza!$H21,"")</f>
        <v>Nequi</v>
      </c>
      <c r="D1817" s="45">
        <f>IF(Limpieza!$I21="SI",Limpieza!$L21,"")</f>
        <v>168222</v>
      </c>
      <c r="E1817" s="27" t="s">
        <v>6</v>
      </c>
    </row>
    <row r="1818" spans="2:5" x14ac:dyDescent="0.2">
      <c r="B1818" s="27" t="str">
        <f>IF(Limpieza!$I22="SI",Limpieza!$H$12,"")</f>
        <v>AHORROS</v>
      </c>
      <c r="C1818" s="45" t="str">
        <f>IF(Limpieza!$I22="SI",Limpieza!$H22,"")</f>
        <v>NU (viajes)</v>
      </c>
      <c r="D1818" s="45">
        <f>IF(Limpieza!$I22="SI",Limpieza!$L22,"")</f>
        <v>2619683.9900000002</v>
      </c>
      <c r="E1818" s="27" t="s">
        <v>6</v>
      </c>
    </row>
    <row r="1819" spans="2:5" x14ac:dyDescent="0.2">
      <c r="B1819" s="27" t="str">
        <f>IF(Limpieza!$I23="SI",Limpieza!$H$12,"")</f>
        <v/>
      </c>
      <c r="C1819" s="45" t="str">
        <f>IF(Limpieza!$I23="SI",Limpieza!$H23,"")</f>
        <v/>
      </c>
      <c r="D1819" s="45" t="str">
        <f>IF(Limpieza!$I23="SI",Limpieza!$L23,"")</f>
        <v/>
      </c>
      <c r="E1819" s="27" t="s">
        <v>6</v>
      </c>
    </row>
    <row r="1820" spans="2:5" x14ac:dyDescent="0.2">
      <c r="B1820" s="27" t="str">
        <f>IF(Limpieza!$I24="SI",Limpieza!$H$12,"")</f>
        <v/>
      </c>
      <c r="C1820" s="45" t="str">
        <f>IF(Limpieza!$I24="SI",Limpieza!$H24,"")</f>
        <v/>
      </c>
      <c r="D1820" s="45" t="str">
        <f>IF(Limpieza!$I24="SI",Limpieza!$L24,"")</f>
        <v/>
      </c>
      <c r="E1820" s="27" t="s">
        <v>6</v>
      </c>
    </row>
    <row r="1821" spans="2:5" s="45" customFormat="1" x14ac:dyDescent="0.2">
      <c r="B1821" s="45" t="str">
        <f>IF(Limpieza!$I28="SI",Limpieza!$H$27,"")</f>
        <v>REGALOS/ CARIDAD</v>
      </c>
      <c r="C1821" s="45" t="str">
        <f>IF(Limpieza!$I28="SI",Limpieza!$H28,"")</f>
        <v>Regalos Navidad</v>
      </c>
      <c r="D1821" s="45">
        <f>IF(Limpieza!$I28="SI",Limpieza!$L28,"")</f>
        <v>0</v>
      </c>
      <c r="E1821" s="27" t="s">
        <v>6</v>
      </c>
    </row>
    <row r="1822" spans="2:5" x14ac:dyDescent="0.2">
      <c r="B1822" s="27" t="str">
        <f>IF(Limpieza!$I29="SI",Limpieza!$H$27,"")</f>
        <v>REGALOS/ CARIDAD</v>
      </c>
      <c r="C1822" s="45" t="str">
        <f>IF(Limpieza!$I29="SI",Limpieza!$H29,"")</f>
        <v>Regalos cumpleaños</v>
      </c>
      <c r="D1822" s="45">
        <f>IF(Limpieza!$I29="SI",Limpieza!$L29,"")</f>
        <v>0</v>
      </c>
      <c r="E1822" s="27" t="s">
        <v>6</v>
      </c>
    </row>
    <row r="1823" spans="2:5" x14ac:dyDescent="0.2">
      <c r="B1823" s="27" t="str">
        <f>IF(Limpieza!$I30="SI",Limpieza!$H$27,"")</f>
        <v/>
      </c>
      <c r="C1823" s="45" t="str">
        <f>IF(Limpieza!$I30="SI",Limpieza!$H30,"")</f>
        <v/>
      </c>
      <c r="D1823" s="45" t="str">
        <f>IF(Limpieza!$I30="SI",Limpieza!$L30,"")</f>
        <v/>
      </c>
      <c r="E1823" s="27" t="s">
        <v>6</v>
      </c>
    </row>
    <row r="1824" spans="2:5" x14ac:dyDescent="0.2">
      <c r="B1824" s="27" t="str">
        <f>IF(Limpieza!$I31="SI",Limpieza!$H$27,"")</f>
        <v/>
      </c>
      <c r="C1824" s="45" t="str">
        <f>IF(Limpieza!$I31="SI",Limpieza!$H31,"")</f>
        <v/>
      </c>
      <c r="D1824" s="45" t="str">
        <f>IF(Limpieza!$I31="SI",Limpieza!$L31,"")</f>
        <v/>
      </c>
      <c r="E1824" s="27" t="s">
        <v>6</v>
      </c>
    </row>
    <row r="1825" spans="2:5" x14ac:dyDescent="0.2">
      <c r="B1825" s="27" t="str">
        <f>IF(Limpieza!$I32="SI",Limpieza!$H$27,"")</f>
        <v/>
      </c>
      <c r="C1825" s="45" t="str">
        <f>IF(Limpieza!$I32="SI",Limpieza!$H32,"")</f>
        <v/>
      </c>
      <c r="D1825" s="45" t="str">
        <f>IF(Limpieza!$I32="SI",Limpieza!$L32,"")</f>
        <v/>
      </c>
      <c r="E1825" s="27" t="s">
        <v>6</v>
      </c>
    </row>
    <row r="1826" spans="2:5" x14ac:dyDescent="0.2">
      <c r="B1826" s="27" t="str">
        <f>IF(Limpieza!$I33="SI",Limpieza!$H$27,"")</f>
        <v/>
      </c>
      <c r="C1826" s="45" t="str">
        <f>IF(Limpieza!$I33="SI",Limpieza!$H33,"")</f>
        <v/>
      </c>
      <c r="D1826" s="45" t="str">
        <f>IF(Limpieza!$I33="SI",Limpieza!$L33,"")</f>
        <v/>
      </c>
      <c r="E1826" s="27" t="s">
        <v>6</v>
      </c>
    </row>
    <row r="1827" spans="2:5" x14ac:dyDescent="0.2">
      <c r="B1827" s="27" t="str">
        <f>IF(Limpieza!$I34="SI",Limpieza!$H$27,"")</f>
        <v/>
      </c>
      <c r="C1827" s="45" t="str">
        <f>IF(Limpieza!$I34="SI",Limpieza!$H34,"")</f>
        <v/>
      </c>
      <c r="D1827" s="45" t="str">
        <f>IF(Limpieza!$I34="SI",Limpieza!$L34,"")</f>
        <v/>
      </c>
      <c r="E1827" s="27" t="s">
        <v>6</v>
      </c>
    </row>
    <row r="1828" spans="2:5" x14ac:dyDescent="0.2">
      <c r="B1828" s="27" t="str">
        <f>IF(Limpieza!$I35="SI",Limpieza!$H$27,"")</f>
        <v/>
      </c>
      <c r="C1828" s="45" t="str">
        <f>IF(Limpieza!$I35="SI",Limpieza!$H35,"")</f>
        <v/>
      </c>
      <c r="D1828" s="45" t="str">
        <f>IF(Limpieza!$I35="SI",Limpieza!$L35,"")</f>
        <v/>
      </c>
      <c r="E1828" s="27" t="s">
        <v>6</v>
      </c>
    </row>
    <row r="1829" spans="2:5" x14ac:dyDescent="0.2">
      <c r="B1829" s="27" t="str">
        <f>IF(Limpieza!$I39="SI",Limpieza!$H$38,"")</f>
        <v/>
      </c>
      <c r="C1829" s="45" t="str">
        <f>IF(Limpieza!$I39="SI",Limpieza!$H39,"")</f>
        <v/>
      </c>
      <c r="D1829" s="45" t="str">
        <f>IF(Limpieza!$I39="SI",Limpieza!$L39,"")</f>
        <v/>
      </c>
      <c r="E1829" s="27" t="s">
        <v>6</v>
      </c>
    </row>
    <row r="1830" spans="2:5" x14ac:dyDescent="0.2">
      <c r="B1830" s="27" t="str">
        <f>IF(Limpieza!$I40="SI",Limpieza!$H$38,"")</f>
        <v/>
      </c>
      <c r="C1830" s="45" t="str">
        <f>IF(Limpieza!$I40="SI",Limpieza!$H40,"")</f>
        <v/>
      </c>
      <c r="D1830" s="45" t="str">
        <f>IF(Limpieza!$I40="SI",Limpieza!$L40,"")</f>
        <v/>
      </c>
      <c r="E1830" s="27" t="s">
        <v>6</v>
      </c>
    </row>
    <row r="1831" spans="2:5" x14ac:dyDescent="0.2">
      <c r="B1831" s="27" t="str">
        <f>IF(Limpieza!$I41="SI",Limpieza!$H$38,"")</f>
        <v>TRANSPORTE</v>
      </c>
      <c r="C1831" s="45" t="str">
        <f>IF(Limpieza!$I41="SI",Limpieza!$H41,"")</f>
        <v>Mantenimiento</v>
      </c>
      <c r="D1831" s="45">
        <f>IF(Limpieza!$I41="SI",Limpieza!$L41,"")</f>
        <v>0</v>
      </c>
      <c r="E1831" s="27" t="s">
        <v>6</v>
      </c>
    </row>
    <row r="1832" spans="2:5" x14ac:dyDescent="0.2">
      <c r="B1832" s="27" t="str">
        <f>IF(Limpieza!$I42="SI",Limpieza!$H$38,"")</f>
        <v>TRANSPORTE</v>
      </c>
      <c r="C1832" s="45" t="str">
        <f>IF(Limpieza!$I42="SI",Limpieza!$H42,"")</f>
        <v>Impuestos</v>
      </c>
      <c r="D1832" s="45">
        <f>IF(Limpieza!$I42="SI",Limpieza!$L42,"")</f>
        <v>0</v>
      </c>
      <c r="E1832" s="27" t="s">
        <v>6</v>
      </c>
    </row>
    <row r="1833" spans="2:5" x14ac:dyDescent="0.2">
      <c r="B1833" s="27" t="str">
        <f>IF(Limpieza!$I43="SI",Limpieza!$H$38,"")</f>
        <v/>
      </c>
      <c r="C1833" s="45" t="str">
        <f>IF(Limpieza!$I43="SI",Limpieza!$H43,"")</f>
        <v/>
      </c>
      <c r="D1833" s="45" t="str">
        <f>IF(Limpieza!$I43="SI",Limpieza!$L43,"")</f>
        <v/>
      </c>
      <c r="E1833" s="27" t="s">
        <v>6</v>
      </c>
    </row>
    <row r="1834" spans="2:5" x14ac:dyDescent="0.2">
      <c r="B1834" s="27" t="str">
        <f>IF(Limpieza!$I44="SI",Limpieza!$H$38,"")</f>
        <v/>
      </c>
      <c r="C1834" s="45" t="str">
        <f>IF(Limpieza!$I44="SI",Limpieza!$H44,"")</f>
        <v/>
      </c>
      <c r="D1834" s="45" t="str">
        <f>IF(Limpieza!$I44="SI",Limpieza!$L44,"")</f>
        <v/>
      </c>
      <c r="E1834" s="27" t="s">
        <v>6</v>
      </c>
    </row>
    <row r="1835" spans="2:5" x14ac:dyDescent="0.2">
      <c r="B1835" s="27" t="str">
        <f>IF(Limpieza!$I45="SI",Limpieza!$H$38,"")</f>
        <v/>
      </c>
      <c r="C1835" s="45" t="str">
        <f>IF(Limpieza!$I45="SI",Limpieza!$H45,"")</f>
        <v/>
      </c>
      <c r="D1835" s="45" t="str">
        <f>IF(Limpieza!$I45="SI",Limpieza!$L45,"")</f>
        <v/>
      </c>
      <c r="E1835" s="27" t="s">
        <v>6</v>
      </c>
    </row>
    <row r="1836" spans="2:5" s="45" customFormat="1" x14ac:dyDescent="0.2">
      <c r="B1836" s="45" t="str">
        <f>IF(Limpieza!$I49="SI",Limpieza!$H$48,"")</f>
        <v>SEGUROS</v>
      </c>
      <c r="C1836" s="45" t="str">
        <f>IF(Limpieza!$I49="SI",Limpieza!$H49,"")</f>
        <v>Carro</v>
      </c>
      <c r="D1836" s="45">
        <f>IF(Limpieza!$I49="SI",Limpieza!$L49,"")</f>
        <v>0</v>
      </c>
      <c r="E1836" s="27" t="s">
        <v>6</v>
      </c>
    </row>
    <row r="1837" spans="2:5" x14ac:dyDescent="0.2">
      <c r="B1837" s="27" t="str">
        <f>IF(Limpieza!$I50="SI",Limpieza!$H$48,"")</f>
        <v>SEGUROS</v>
      </c>
      <c r="C1837" s="45" t="str">
        <f>IF(Limpieza!$I50="SI",Limpieza!$H50,"")</f>
        <v>Vida</v>
      </c>
      <c r="D1837" s="45">
        <f>IF(Limpieza!$I50="SI",Limpieza!$L50,"")</f>
        <v>0</v>
      </c>
      <c r="E1837" s="27" t="s">
        <v>6</v>
      </c>
    </row>
    <row r="1838" spans="2:5" x14ac:dyDescent="0.2">
      <c r="B1838" s="27" t="str">
        <f>IF(Limpieza!$I51="SI",Limpieza!$H$48,"")</f>
        <v>SEGUROS</v>
      </c>
      <c r="C1838" s="45" t="str">
        <f>IF(Limpieza!$I51="SI",Limpieza!$H51,"")</f>
        <v>Casa</v>
      </c>
      <c r="D1838" s="45">
        <f>IF(Limpieza!$I51="SI",Limpieza!$L51,"")</f>
        <v>0</v>
      </c>
      <c r="E1838" s="27" t="s">
        <v>6</v>
      </c>
    </row>
    <row r="1839" spans="2:5" x14ac:dyDescent="0.2">
      <c r="B1839" s="27" t="str">
        <f>IF(Limpieza!$I52="SI",Limpieza!$H$48,"")</f>
        <v>SEGUROS</v>
      </c>
      <c r="C1839" s="45" t="str">
        <f>IF(Limpieza!$I52="SI",Limpieza!$H52,"")</f>
        <v>Salud</v>
      </c>
      <c r="D1839" s="45">
        <f>IF(Limpieza!$I52="SI",Limpieza!$L52,"")</f>
        <v>0</v>
      </c>
      <c r="E1839" s="27" t="s">
        <v>6</v>
      </c>
    </row>
    <row r="1840" spans="2:5" x14ac:dyDescent="0.2">
      <c r="B1840" s="27" t="str">
        <f>IF(Limpieza!$I53="SI",Limpieza!$H$48,"")</f>
        <v/>
      </c>
      <c r="C1840" s="45" t="str">
        <f>IF(Limpieza!$I53="SI",Limpieza!$H53,"")</f>
        <v/>
      </c>
      <c r="D1840" s="45" t="str">
        <f>IF(Limpieza!$I53="SI",Limpieza!$L53,"")</f>
        <v/>
      </c>
      <c r="E1840" s="27" t="s">
        <v>6</v>
      </c>
    </row>
    <row r="1841" spans="2:5" x14ac:dyDescent="0.2">
      <c r="B1841" s="27" t="str">
        <f>IF(Limpieza!$I54="SI",Limpieza!$H$48,"")</f>
        <v/>
      </c>
      <c r="C1841" s="45" t="str">
        <f>IF(Limpieza!$I54="SI",Limpieza!$H54,"")</f>
        <v/>
      </c>
      <c r="D1841" s="45" t="str">
        <f>IF(Limpieza!$I54="SI",Limpieza!$L54,"")</f>
        <v/>
      </c>
      <c r="E1841" s="27" t="s">
        <v>6</v>
      </c>
    </row>
    <row r="1842" spans="2:5" s="45" customFormat="1" x14ac:dyDescent="0.2">
      <c r="B1842" s="45" t="str">
        <f>IF(Limpieza!$I58="SI",Limpieza!$H$57,"")</f>
        <v>CUIDADO PERSONAL</v>
      </c>
      <c r="C1842" s="45" t="str">
        <f>IF(Limpieza!$I58="SI",Limpieza!$H58,"")</f>
        <v>Ropa</v>
      </c>
      <c r="D1842" s="45">
        <f>IF(Limpieza!$I58="SI",Limpieza!$L58,"")</f>
        <v>0</v>
      </c>
      <c r="E1842" s="27" t="s">
        <v>6</v>
      </c>
    </row>
    <row r="1843" spans="2:5" x14ac:dyDescent="0.2">
      <c r="B1843" s="27" t="str">
        <f>IF(Limpieza!$I59="SI",Limpieza!$H$57,"")</f>
        <v>CUIDADO PERSONAL</v>
      </c>
      <c r="C1843" s="45" t="str">
        <f>IF(Limpieza!$I59="SI",Limpieza!$H59,"")</f>
        <v>Belleza</v>
      </c>
      <c r="D1843" s="45">
        <f>IF(Limpieza!$I59="SI",Limpieza!$L59,"")</f>
        <v>0</v>
      </c>
      <c r="E1843" s="27" t="s">
        <v>6</v>
      </c>
    </row>
    <row r="1844" spans="2:5" x14ac:dyDescent="0.2">
      <c r="B1844" s="27" t="str">
        <f>IF(Limpieza!$I60="SI",Limpieza!$H$57,"")</f>
        <v/>
      </c>
      <c r="C1844" s="45" t="str">
        <f>IF(Limpieza!$I60="SI",Limpieza!$H60,"")</f>
        <v/>
      </c>
      <c r="D1844" s="45" t="str">
        <f>IF(Limpieza!$I60="SI",Limpieza!$L60,"")</f>
        <v/>
      </c>
      <c r="E1844" s="27" t="s">
        <v>6</v>
      </c>
    </row>
    <row r="1845" spans="2:5" x14ac:dyDescent="0.2">
      <c r="B1845" s="27" t="str">
        <f>IF(Limpieza!$I61="SI",Limpieza!$H$57,"")</f>
        <v/>
      </c>
      <c r="C1845" s="45" t="str">
        <f>IF(Limpieza!$I61="SI",Limpieza!$H61,"")</f>
        <v/>
      </c>
      <c r="D1845" s="45" t="str">
        <f>IF(Limpieza!$I61="SI",Limpieza!$L61,"")</f>
        <v/>
      </c>
      <c r="E1845" s="27" t="s">
        <v>6</v>
      </c>
    </row>
    <row r="1846" spans="2:5" x14ac:dyDescent="0.2">
      <c r="B1846" s="27" t="str">
        <f>IF(Limpieza!$I62="SI",Limpieza!$H$57,"")</f>
        <v/>
      </c>
      <c r="C1846" s="45" t="str">
        <f>IF(Limpieza!$I62="SI",Limpieza!$H62,"")</f>
        <v/>
      </c>
      <c r="D1846" s="45" t="str">
        <f>IF(Limpieza!$I62="SI",Limpieza!$L62,"")</f>
        <v/>
      </c>
      <c r="E1846" s="27" t="s">
        <v>6</v>
      </c>
    </row>
    <row r="1847" spans="2:5" x14ac:dyDescent="0.2">
      <c r="B1847" s="27" t="str">
        <f>IF(Limpieza!$I63="SI",Limpieza!$H$57,"")</f>
        <v/>
      </c>
      <c r="C1847" s="45" t="str">
        <f>IF(Limpieza!$I63="SI",Limpieza!$H63,"")</f>
        <v/>
      </c>
      <c r="D1847" s="45" t="str">
        <f>IF(Limpieza!$I63="SI",Limpieza!$L63,"")</f>
        <v/>
      </c>
      <c r="E1847" s="27" t="s">
        <v>6</v>
      </c>
    </row>
    <row r="1848" spans="2:5" x14ac:dyDescent="0.2">
      <c r="B1848" s="27" t="str">
        <f>IF(Limpieza!$I64="SI",Limpieza!$H$57,"")</f>
        <v/>
      </c>
      <c r="C1848" s="45" t="str">
        <f>IF(Limpieza!$I64="SI",Limpieza!$H64,"")</f>
        <v/>
      </c>
      <c r="D1848" s="45" t="str">
        <f>IF(Limpieza!$I64="SI",Limpieza!$L64,"")</f>
        <v/>
      </c>
      <c r="E1848" s="27" t="s">
        <v>6</v>
      </c>
    </row>
    <row r="1849" spans="2:5" s="45" customFormat="1" x14ac:dyDescent="0.2">
      <c r="B1849" s="45" t="str">
        <f>IF(Limpieza!$I68="SI",Limpieza!$H$67,"")</f>
        <v>HIJOS</v>
      </c>
      <c r="C1849" s="45" t="str">
        <f>IF(Limpieza!$I68="SI",Limpieza!$H68,"")</f>
        <v>Ropa</v>
      </c>
      <c r="D1849" s="45">
        <f>IF(Limpieza!$I68="SI",Limpieza!$L68,"")</f>
        <v>0</v>
      </c>
      <c r="E1849" s="27" t="s">
        <v>6</v>
      </c>
    </row>
    <row r="1850" spans="2:5" x14ac:dyDescent="0.2">
      <c r="B1850" s="27" t="str">
        <f>IF(Limpieza!$I69="SI",Limpieza!$H$67,"")</f>
        <v>HIJOS</v>
      </c>
      <c r="C1850" s="45" t="str">
        <f>IF(Limpieza!$I69="SI",Limpieza!$H69,"")</f>
        <v xml:space="preserve">Estudio </v>
      </c>
      <c r="D1850" s="45">
        <f>IF(Limpieza!$I69="SI",Limpieza!$L69,"")</f>
        <v>0</v>
      </c>
      <c r="E1850" s="27" t="s">
        <v>6</v>
      </c>
    </row>
    <row r="1851" spans="2:5" x14ac:dyDescent="0.2">
      <c r="B1851" s="27" t="str">
        <f>IF(Limpieza!$I70="SI",Limpieza!$H$67,"")</f>
        <v>HIJOS</v>
      </c>
      <c r="C1851" s="45" t="str">
        <f>IF(Limpieza!$I70="SI",Limpieza!$H70,"")</f>
        <v>Utiles Escolares</v>
      </c>
      <c r="D1851" s="45">
        <f>IF(Limpieza!$I70="SI",Limpieza!$L70,"")</f>
        <v>0</v>
      </c>
      <c r="E1851" s="27" t="s">
        <v>6</v>
      </c>
    </row>
    <row r="1852" spans="2:5" x14ac:dyDescent="0.2">
      <c r="B1852" s="27" t="str">
        <f>IF(Limpieza!$I71="SI",Limpieza!$H$67,"")</f>
        <v/>
      </c>
      <c r="C1852" s="45" t="str">
        <f>IF(Limpieza!$I71="SI",Limpieza!$H71,"")</f>
        <v/>
      </c>
      <c r="D1852" s="45" t="str">
        <f>IF(Limpieza!$I71="SI",Limpieza!$L71,"")</f>
        <v/>
      </c>
      <c r="E1852" s="27" t="s">
        <v>6</v>
      </c>
    </row>
    <row r="1853" spans="2:5" x14ac:dyDescent="0.2">
      <c r="B1853" s="27" t="str">
        <f>IF(Limpieza!$I72="SI",Limpieza!$H$67,"")</f>
        <v/>
      </c>
      <c r="C1853" s="45" t="str">
        <f>IF(Limpieza!$I72="SI",Limpieza!$H72,"")</f>
        <v/>
      </c>
      <c r="D1853" s="45" t="str">
        <f>IF(Limpieza!$I72="SI",Limpieza!$L72,"")</f>
        <v/>
      </c>
      <c r="E1853" s="27" t="s">
        <v>6</v>
      </c>
    </row>
    <row r="1854" spans="2:5" x14ac:dyDescent="0.2">
      <c r="B1854" s="27" t="str">
        <f>IF(Limpieza!$I73="SI",Limpieza!$H$67,"")</f>
        <v/>
      </c>
      <c r="C1854" s="45" t="str">
        <f>IF(Limpieza!$I73="SI",Limpieza!$H73,"")</f>
        <v/>
      </c>
      <c r="D1854" s="45" t="str">
        <f>IF(Limpieza!$I73="SI",Limpieza!$L73,"")</f>
        <v/>
      </c>
      <c r="E1854" s="27" t="s">
        <v>6</v>
      </c>
    </row>
    <row r="1855" spans="2:5" x14ac:dyDescent="0.2">
      <c r="B1855" s="27" t="str">
        <f>IF(Limpieza!$I74="SI",Limpieza!$H$67,"")</f>
        <v/>
      </c>
      <c r="C1855" s="45" t="str">
        <f>IF(Limpieza!$I74="SI",Limpieza!$H74,"")</f>
        <v/>
      </c>
      <c r="D1855" s="45" t="str">
        <f>IF(Limpieza!$I74="SI",Limpieza!$L74,"")</f>
        <v/>
      </c>
      <c r="E1855" s="27" t="s">
        <v>6</v>
      </c>
    </row>
    <row r="1856" spans="2:5" x14ac:dyDescent="0.2">
      <c r="B1856" s="27" t="str">
        <f>IF(Limpieza!$I75="SI",Limpieza!$H$67,"")</f>
        <v/>
      </c>
      <c r="C1856" s="45" t="str">
        <f>IF(Limpieza!$I75="SI",Limpieza!$H75,"")</f>
        <v/>
      </c>
      <c r="D1856" s="45" t="str">
        <f>IF(Limpieza!$I75="SI",Limpieza!$L75,"")</f>
        <v/>
      </c>
      <c r="E1856" s="27" t="s">
        <v>6</v>
      </c>
    </row>
    <row r="1857" spans="2:5" x14ac:dyDescent="0.2">
      <c r="B1857" s="27" t="str">
        <f>IF(Limpieza!$I76="SI",Limpieza!$H$67,"")</f>
        <v/>
      </c>
      <c r="C1857" s="45" t="str">
        <f>IF(Limpieza!$I76="SI",Limpieza!$H76,"")</f>
        <v/>
      </c>
      <c r="D1857" s="45" t="str">
        <f>IF(Limpieza!$I76="SI",Limpieza!$L76,"")</f>
        <v/>
      </c>
      <c r="E1857" s="27" t="s">
        <v>6</v>
      </c>
    </row>
    <row r="1858" spans="2:5" x14ac:dyDescent="0.2">
      <c r="B1858" s="27" t="str">
        <f>IF(Limpieza!$I77="SI",Limpieza!$H$67,"")</f>
        <v/>
      </c>
      <c r="C1858" s="45" t="str">
        <f>IF(Limpieza!$I77="SI",Limpieza!$H77,"")</f>
        <v/>
      </c>
      <c r="D1858" s="45" t="str">
        <f>IF(Limpieza!$I77="SI",Limpieza!$L77,"")</f>
        <v/>
      </c>
      <c r="E1858" s="27" t="s">
        <v>6</v>
      </c>
    </row>
    <row r="1859" spans="2:5" x14ac:dyDescent="0.2">
      <c r="B1859" s="27" t="str">
        <f>IF(Limpieza!$I78="SI",Limpieza!$H$67,"")</f>
        <v/>
      </c>
      <c r="C1859" s="45" t="str">
        <f>IF(Limpieza!$I78="SI",Limpieza!$H78,"")</f>
        <v/>
      </c>
      <c r="D1859" s="45" t="str">
        <f>IF(Limpieza!$I78="SI",Limpieza!$L78,"")</f>
        <v/>
      </c>
      <c r="E1859" s="27" t="s">
        <v>6</v>
      </c>
    </row>
    <row r="1860" spans="2:5" s="45" customFormat="1" x14ac:dyDescent="0.2">
      <c r="B1860" s="45" t="str">
        <f>IF(Limpieza!$I82="SI",Limpieza!$H$81,"")</f>
        <v/>
      </c>
      <c r="C1860" s="45" t="str">
        <f>IF(Limpieza!$I82="SI",Limpieza!$H82,"")</f>
        <v/>
      </c>
      <c r="D1860" s="45" t="str">
        <f>IF(Limpieza!$I82="SI",Limpieza!$L82,"")</f>
        <v/>
      </c>
      <c r="E1860" s="27" t="s">
        <v>6</v>
      </c>
    </row>
    <row r="1861" spans="2:5" x14ac:dyDescent="0.2">
      <c r="B1861" s="27" t="str">
        <f>IF(Limpieza!$I83="SI",Limpieza!$H$81,"")</f>
        <v/>
      </c>
      <c r="C1861" s="45" t="str">
        <f>IF(Limpieza!$I83="SI",Limpieza!$H83,"")</f>
        <v/>
      </c>
      <c r="D1861" s="45" t="str">
        <f>IF(Limpieza!$I83="SI",Limpieza!$L83,"")</f>
        <v/>
      </c>
      <c r="E1861" s="27" t="s">
        <v>6</v>
      </c>
    </row>
    <row r="1862" spans="2:5" x14ac:dyDescent="0.2">
      <c r="B1862" s="27" t="str">
        <f>IF(Limpieza!$I84="SI",Limpieza!$H$81,"")</f>
        <v/>
      </c>
      <c r="C1862" s="45" t="str">
        <f>IF(Limpieza!$I84="SI",Limpieza!$H84,"")</f>
        <v/>
      </c>
      <c r="D1862" s="45" t="str">
        <f>IF(Limpieza!$I84="SI",Limpieza!$L84,"")</f>
        <v/>
      </c>
      <c r="E1862" s="27" t="s">
        <v>6</v>
      </c>
    </row>
    <row r="1863" spans="2:5" x14ac:dyDescent="0.2">
      <c r="B1863" s="27" t="str">
        <f>IF(Limpieza!$I85="SI",Limpieza!$H$81,"")</f>
        <v/>
      </c>
      <c r="C1863" s="45" t="str">
        <f>IF(Limpieza!$I85="SI",Limpieza!$H85,"")</f>
        <v/>
      </c>
      <c r="D1863" s="45" t="str">
        <f>IF(Limpieza!$I85="SI",Limpieza!$L85,"")</f>
        <v/>
      </c>
      <c r="E1863" s="27" t="s">
        <v>6</v>
      </c>
    </row>
    <row r="1864" spans="2:5" x14ac:dyDescent="0.2">
      <c r="B1864" s="27" t="str">
        <f>IF(Limpieza!$I86="SI",Limpieza!$H$81,"")</f>
        <v/>
      </c>
      <c r="C1864" s="45" t="str">
        <f>IF(Limpieza!$I86="SI",Limpieza!$H86,"")</f>
        <v/>
      </c>
      <c r="D1864" s="45" t="str">
        <f>IF(Limpieza!$I86="SI",Limpieza!$L86,"")</f>
        <v/>
      </c>
      <c r="E1864" s="27" t="s">
        <v>6</v>
      </c>
    </row>
    <row r="1865" spans="2:5" x14ac:dyDescent="0.2">
      <c r="B1865" s="27" t="str">
        <f>IF(Limpieza!$I87="SI",Limpieza!$H$81,"")</f>
        <v/>
      </c>
      <c r="C1865" s="45" t="str">
        <f>IF(Limpieza!$I87="SI",Limpieza!$H87,"")</f>
        <v/>
      </c>
      <c r="D1865" s="45" t="str">
        <f>IF(Limpieza!$I87="SI",Limpieza!$L87,"")</f>
        <v/>
      </c>
      <c r="E1865" s="27" t="s">
        <v>6</v>
      </c>
    </row>
    <row r="1866" spans="2:5" s="45" customFormat="1" x14ac:dyDescent="0.2">
      <c r="B1866" s="45" t="str">
        <f>IF(Limpieza!$I91="SI",Limpieza!$H$90,"")</f>
        <v/>
      </c>
      <c r="C1866" s="45" t="str">
        <f>IF(Limpieza!$I91="SI",Limpieza!$H91,"")</f>
        <v/>
      </c>
      <c r="D1866" s="45" t="str">
        <f>IF(Limpieza!$I91="SI",Limpieza!$L91,"")</f>
        <v/>
      </c>
      <c r="E1866" s="27" t="s">
        <v>6</v>
      </c>
    </row>
    <row r="1867" spans="2:5" x14ac:dyDescent="0.2">
      <c r="B1867" s="27" t="str">
        <f>IF(Limpieza!$I92="SI",Limpieza!$H$90,"")</f>
        <v/>
      </c>
      <c r="C1867" s="45" t="str">
        <f>IF(Limpieza!$I92="SI",Limpieza!$H92,"")</f>
        <v/>
      </c>
      <c r="D1867" s="45" t="str">
        <f>IF(Limpieza!$I92="SI",Limpieza!$L92,"")</f>
        <v/>
      </c>
      <c r="E1867" s="27" t="s">
        <v>6</v>
      </c>
    </row>
    <row r="1868" spans="2:5" x14ac:dyDescent="0.2">
      <c r="B1868" s="27" t="str">
        <f>IF(Limpieza!$I93="SI",Limpieza!$H$90,"")</f>
        <v/>
      </c>
      <c r="C1868" s="45" t="str">
        <f>IF(Limpieza!$I93="SI",Limpieza!$H93,"")</f>
        <v/>
      </c>
      <c r="D1868" s="45" t="str">
        <f>IF(Limpieza!$I93="SI",Limpieza!$L93,"")</f>
        <v/>
      </c>
      <c r="E1868" s="27" t="s">
        <v>6</v>
      </c>
    </row>
    <row r="1869" spans="2:5" x14ac:dyDescent="0.2">
      <c r="B1869" s="27" t="str">
        <f>IF(Limpieza!$I94="SI",Limpieza!$H$90,"")</f>
        <v/>
      </c>
      <c r="C1869" s="45" t="str">
        <f>IF(Limpieza!$I94="SI",Limpieza!$H94,"")</f>
        <v/>
      </c>
      <c r="D1869" s="45" t="str">
        <f>IF(Limpieza!$I94="SI",Limpieza!$L94,"")</f>
        <v/>
      </c>
      <c r="E1869" s="27" t="s">
        <v>6</v>
      </c>
    </row>
    <row r="1870" spans="2:5" x14ac:dyDescent="0.2">
      <c r="B1870" s="27" t="str">
        <f>IF(Limpieza!$I95="SI",Limpieza!$H$90,"")</f>
        <v/>
      </c>
      <c r="C1870" s="45" t="str">
        <f>IF(Limpieza!$I95="SI",Limpieza!$H95,"")</f>
        <v/>
      </c>
      <c r="D1870" s="45" t="str">
        <f>IF(Limpieza!$I95="SI",Limpieza!$L95,"")</f>
        <v/>
      </c>
      <c r="E1870" s="27" t="s">
        <v>6</v>
      </c>
    </row>
    <row r="1871" spans="2:5" x14ac:dyDescent="0.2">
      <c r="B1871" s="27" t="str">
        <f>IF(Limpieza!$I96="SI",Limpieza!$H$90,"")</f>
        <v/>
      </c>
      <c r="C1871" s="45" t="str">
        <f>IF(Limpieza!$I96="SI",Limpieza!$H96,"")</f>
        <v/>
      </c>
      <c r="D1871" s="45" t="str">
        <f>IF(Limpieza!$I96="SI",Limpieza!$L96,"")</f>
        <v/>
      </c>
      <c r="E1871" s="27" t="s">
        <v>6</v>
      </c>
    </row>
    <row r="1872" spans="2:5" x14ac:dyDescent="0.2">
      <c r="B1872" s="27" t="str">
        <f>IF(Limpieza!$I97="SI",Limpieza!$H$90,"")</f>
        <v/>
      </c>
      <c r="C1872" s="45" t="str">
        <f>IF(Limpieza!$I97="SI",Limpieza!$H97,"")</f>
        <v/>
      </c>
      <c r="D1872" s="45" t="str">
        <f>IF(Limpieza!$I97="SI",Limpieza!$L97,"")</f>
        <v/>
      </c>
      <c r="E1872" s="27" t="s">
        <v>6</v>
      </c>
    </row>
    <row r="1873" spans="2:5" s="45" customFormat="1" x14ac:dyDescent="0.2">
      <c r="B1873" s="45" t="str">
        <f>IF(Limpieza!$I101="SI",Limpieza!$H$100,"")</f>
        <v/>
      </c>
      <c r="C1873" s="45" t="str">
        <f>IF(Limpieza!$I101="SI",Limpieza!$H101,"")</f>
        <v/>
      </c>
      <c r="D1873" s="45" t="str">
        <f>IF(Limpieza!$I101="SI",Limpieza!$L101,"")</f>
        <v/>
      </c>
      <c r="E1873" s="27" t="s">
        <v>6</v>
      </c>
    </row>
    <row r="1874" spans="2:5" x14ac:dyDescent="0.2">
      <c r="B1874" s="27" t="str">
        <f>IF(Limpieza!$I102="SI",Limpieza!$H$100,"")</f>
        <v/>
      </c>
      <c r="C1874" s="45" t="str">
        <f>IF(Limpieza!$I102="SI",Limpieza!$H102,"")</f>
        <v/>
      </c>
      <c r="D1874" s="45" t="str">
        <f>IF(Limpieza!$I102="SI",Limpieza!$L102,"")</f>
        <v/>
      </c>
      <c r="E1874" s="27" t="s">
        <v>6</v>
      </c>
    </row>
    <row r="1875" spans="2:5" x14ac:dyDescent="0.2">
      <c r="B1875" s="27" t="str">
        <f>IF(Limpieza!$I103="SI",Limpieza!$H$100,"")</f>
        <v/>
      </c>
      <c r="C1875" s="45" t="str">
        <f>IF(Limpieza!$I103="SI",Limpieza!$H103,"")</f>
        <v/>
      </c>
      <c r="D1875" s="45" t="str">
        <f>IF(Limpieza!$I103="SI",Limpieza!$L103,"")</f>
        <v/>
      </c>
      <c r="E1875" s="27" t="s">
        <v>6</v>
      </c>
    </row>
    <row r="1876" spans="2:5" x14ac:dyDescent="0.2">
      <c r="B1876" s="27" t="str">
        <f>IF(Limpieza!$I104="SI",Limpieza!$H$100,"")</f>
        <v/>
      </c>
      <c r="C1876" s="45" t="str">
        <f>IF(Limpieza!$I104="SI",Limpieza!$H104,"")</f>
        <v/>
      </c>
      <c r="D1876" s="45" t="str">
        <f>IF(Limpieza!$I104="SI",Limpieza!$L104,"")</f>
        <v/>
      </c>
      <c r="E1876" s="27" t="s">
        <v>6</v>
      </c>
    </row>
    <row r="1877" spans="2:5" x14ac:dyDescent="0.2">
      <c r="B1877" s="27" t="str">
        <f>IF(Limpieza!$I105="SI",Limpieza!$H$100,"")</f>
        <v/>
      </c>
      <c r="C1877" s="45" t="str">
        <f>IF(Limpieza!$I105="SI",Limpieza!$H105,"")</f>
        <v/>
      </c>
      <c r="D1877" s="45" t="str">
        <f>IF(Limpieza!$I105="SI",Limpieza!$L105,"")</f>
        <v/>
      </c>
      <c r="E1877" s="27" t="s">
        <v>6</v>
      </c>
    </row>
    <row r="1878" spans="2:5" x14ac:dyDescent="0.2">
      <c r="B1878" s="27" t="str">
        <f>IF(Limpieza!$I106="SI",Limpieza!$H$100,"")</f>
        <v/>
      </c>
      <c r="C1878" s="45" t="str">
        <f>IF(Limpieza!$I106="SI",Limpieza!$H106,"")</f>
        <v/>
      </c>
      <c r="D1878" s="45" t="str">
        <f>IF(Limpieza!$I106="SI",Limpieza!$L106,"")</f>
        <v/>
      </c>
      <c r="E1878" s="27" t="s">
        <v>6</v>
      </c>
    </row>
    <row r="1879" spans="2:5" x14ac:dyDescent="0.2">
      <c r="B1879" s="27" t="str">
        <f>IF(Limpieza!$I107="SI",Limpieza!$H$100,"")</f>
        <v/>
      </c>
      <c r="C1879" s="45" t="str">
        <f>IF(Limpieza!$I107="SI",Limpieza!$H107,"")</f>
        <v/>
      </c>
      <c r="D1879" s="45" t="str">
        <f>IF(Limpieza!$I107="SI",Limpieza!$L107,"")</f>
        <v/>
      </c>
      <c r="E1879" s="27" t="s">
        <v>6</v>
      </c>
    </row>
    <row r="1880" spans="2:5" x14ac:dyDescent="0.2">
      <c r="B1880" s="46"/>
      <c r="C1880" s="45"/>
      <c r="D1880" s="45"/>
      <c r="E1880" s="27" t="s">
        <v>6</v>
      </c>
    </row>
  </sheetData>
  <phoneticPr fontId="20" type="noConversion"/>
  <pageMargins left="0.7" right="0.7" top="0.75" bottom="0.75" header="0.3" footer="0.3"/>
  <pageSetup orientation="portrait" r:id="rId1"/>
  <headerFooter>
    <oddHeader>&amp;R&amp;KE3170D &amp;B &amp;UHighly Restricted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6275E711-BD11-4E1B-BEF6-566226354B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Resumen</vt:lpstr>
      <vt:lpstr>Plantilla Ppto</vt:lpstr>
      <vt:lpstr>Para proyectar</vt:lpstr>
      <vt:lpstr>Limpieza</vt:lpstr>
      <vt:lpstr>Ene</vt:lpstr>
      <vt:lpstr>Enero - registro gastos</vt:lpstr>
      <vt:lpstr>Feb</vt:lpstr>
      <vt:lpstr>Feb - registro gastos</vt:lpstr>
      <vt:lpstr>Mar</vt:lpstr>
      <vt:lpstr>Mar - registro gastos</vt:lpstr>
      <vt:lpstr>Abr</vt:lpstr>
      <vt:lpstr>Abr - registro gastos</vt:lpstr>
      <vt:lpstr>May</vt:lpstr>
      <vt:lpstr>May - registro gastos</vt:lpstr>
      <vt:lpstr>Jun</vt:lpstr>
      <vt:lpstr>Jun - registro gastos</vt:lpstr>
      <vt:lpstr>Jul</vt:lpstr>
      <vt:lpstr>Jul - registro gastos</vt:lpstr>
      <vt:lpstr>Ago</vt:lpstr>
      <vt:lpstr>Ago - registro gastos</vt:lpstr>
      <vt:lpstr>Sep</vt:lpstr>
      <vt:lpstr>Sep - registro gastos</vt:lpstr>
      <vt:lpstr>Oct</vt:lpstr>
      <vt:lpstr>Oct - registro gastos</vt:lpstr>
      <vt:lpstr>Nov</vt:lpstr>
      <vt:lpstr>Nov - registro gastos</vt:lpstr>
      <vt:lpstr>Dec</vt:lpstr>
      <vt:lpstr>Dec - registro gastos</vt:lpstr>
      <vt:lpstr>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Elizabeth</dc:creator>
  <cp:keywords/>
  <dc:description/>
  <cp:lastModifiedBy>Alexandra Castaño</cp:lastModifiedBy>
  <cp:revision/>
  <dcterms:created xsi:type="dcterms:W3CDTF">2018-04-26T00:48:33Z</dcterms:created>
  <dcterms:modified xsi:type="dcterms:W3CDTF">2026-01-21T17:57:46Z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TC041010719991</vt:lpwstr>
  </property>
</Properties>
</file>